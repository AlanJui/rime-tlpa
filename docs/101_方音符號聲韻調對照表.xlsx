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7A3DF082-0B86-4BC6-92A2-B95FD63574CE}" xr6:coauthVersionLast="47" xr6:coauthVersionMax="47" xr10:uidLastSave="{00000000-0000-0000-0000-000000000000}"/>
  <bookViews>
    <workbookView xWindow="67080" yWindow="-120" windowWidth="16440" windowHeight="28320" xr2:uid="{298E0E31-C5B6-4337-BAAB-84B2B6E61BF1}"/>
  </bookViews>
  <sheets>
    <sheet name="宋人三十六字母表" sheetId="10" r:id="rId1"/>
    <sheet name="聲母" sheetId="8" r:id="rId2"/>
    <sheet name="韻母" sheetId="9" r:id="rId3"/>
    <sheet name="朱兆祥方音符號聲母表" sheetId="1" r:id="rId4"/>
    <sheet name="【聲】聲母排序表" sheetId="2" r:id="rId5"/>
    <sheet name="【聲】聲母對照表" sheetId="3" r:id="rId6"/>
    <sheet name="【韻】韻母對照表" sheetId="4" r:id="rId7"/>
    <sheet name="【調】韻母標調" sheetId="5" r:id="rId8"/>
    <sheet name="符號工具" sheetId="6" r:id="rId9"/>
    <sheet name="十五音音節表 (BPM)" sheetId="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6" hidden="1">【韻】韻母對照表!$B$2:$O$88</definedName>
    <definedName name="_xlnm._FilterDatabase" localSheetId="9" hidden="1">'十五音音節表 (BPM)'!$B$6:$AA$85</definedName>
    <definedName name="十五音韻母" localSheetId="0">#REF!</definedName>
    <definedName name="十五音韻母" localSheetId="1">#REF!</definedName>
    <definedName name="十五音韻母" localSheetId="2">'[1]十五音-韻母'!$C$5:$C$54</definedName>
    <definedName name="十五音韻母">'[1]十五音-韻母'!$C$5:$C$54</definedName>
    <definedName name="十五音韻母對照表" localSheetId="0">#REF!</definedName>
    <definedName name="十五音韻母對照表" localSheetId="1">#REF!</definedName>
    <definedName name="十五音韻母對照表" localSheetId="2">'[1]十五音-韻母'!$B$5:$R$54</definedName>
    <definedName name="十五音韻母對照表">'[1]十五音-韻母'!$B$5:$R$54</definedName>
    <definedName name="方音符號聲調">[2]設定!$J$3:$J$10</definedName>
    <definedName name="台羅韻母八音反切" localSheetId="0">#REF!</definedName>
    <definedName name="台羅韻母八音反切" localSheetId="1">#REF!</definedName>
    <definedName name="台羅韻母八音反切" localSheetId="2">'[1]台羅-韻母八音反切'!$R$5:$Y$54</definedName>
    <definedName name="台羅韻母八音反切">'[1]台羅-韻母八音反切'!$R$5:$Y$54</definedName>
    <definedName name="白話字韻母八音反切" localSheetId="0">#REF!</definedName>
    <definedName name="白話字韻母八音反切" localSheetId="1">#REF!</definedName>
    <definedName name="白話字韻母八音反切" localSheetId="2">'[1]白話字-韻母八音反切'!$R$5:$Y$54</definedName>
    <definedName name="白話字韻母八音反切">'[1]白話字-韻母八音反切'!$R$5:$Y$54</definedName>
    <definedName name="閩拼八聲調">[2]設定!$I$3:$I$10</definedName>
    <definedName name="閩拼韻母八音反切" localSheetId="0">#REF!</definedName>
    <definedName name="閩拼韻母八音反切" localSheetId="1">#REF!</definedName>
    <definedName name="閩拼韻母八音反切" localSheetId="2">'[1]閩拼-韻母八音反切'!$R$5:$Y$54</definedName>
    <definedName name="閩拼韻母八音反切">'[1]閩拼-韻母八音反切'!$R$5:$Y$54</definedName>
    <definedName name="聲母碼" localSheetId="0">[3]十五音聲母對照表!$F$4:$F$25</definedName>
    <definedName name="聲母碼" localSheetId="1">[3]十五音聲母對照表!$F$4:$F$25</definedName>
    <definedName name="聲母碼" localSheetId="2">#REF!</definedName>
    <definedName name="聲母碼">[2]聲母對照表!$B$4:$B$21</definedName>
    <definedName name="聲母碼表" localSheetId="0">#REF!</definedName>
    <definedName name="聲母碼表" localSheetId="1">#REF!</definedName>
    <definedName name="聲母碼表" localSheetId="2">[1]聲母碼!$D$6:$K$22</definedName>
    <definedName name="聲母碼表">[1]聲母碼!$D$6:$K$22</definedName>
    <definedName name="韻母對照表" localSheetId="0">#REF!</definedName>
    <definedName name="韻母對照表" localSheetId="1">#REF!</definedName>
    <definedName name="韻母對照表" localSheetId="2">[1]韻母對照表!$B$6:$K$105</definedName>
    <definedName name="韻母對照表">[1]韻母對照表!$B$6:$K$105</definedName>
    <definedName name="韻母碼">[2]韻母對照表!$B$4:$B$103</definedName>
    <definedName name="韻母碼表" localSheetId="0">#REF!</definedName>
    <definedName name="韻母碼表" localSheetId="1">#REF!</definedName>
    <definedName name="韻母碼表" localSheetId="2">[1]韻母碼!$F$5:$M$78</definedName>
    <definedName name="韻母碼表">[1]韻母碼!$F$5:$M$78</definedName>
    <definedName name="顯示注音輸入" localSheetId="0">#REF!</definedName>
    <definedName name="顯示注音輸入" localSheetId="1">#REF!</definedName>
    <definedName name="顯示注音輸入" localSheetId="2">[4]env!$C$10</definedName>
    <definedName name="顯示注音輸入">[4]env!$C$10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W85" i="7" l="1"/>
  <c r="V85" i="7"/>
  <c r="U85" i="7"/>
  <c r="T85" i="7"/>
  <c r="S85" i="7"/>
  <c r="Q85" i="7"/>
  <c r="P85" i="7"/>
  <c r="O85" i="7"/>
  <c r="N85" i="7"/>
  <c r="M85" i="7"/>
  <c r="L85" i="7"/>
  <c r="K85" i="7"/>
  <c r="J85" i="7"/>
  <c r="I85" i="7"/>
  <c r="H85" i="7"/>
  <c r="G85" i="7"/>
  <c r="V84" i="7"/>
  <c r="U84" i="7"/>
  <c r="T84" i="7"/>
  <c r="S84" i="7"/>
  <c r="P84" i="7"/>
  <c r="N84" i="7"/>
  <c r="M84" i="7"/>
  <c r="I84" i="7"/>
  <c r="H84" i="7"/>
  <c r="G84" i="7"/>
  <c r="W83" i="7"/>
  <c r="V83" i="7"/>
  <c r="U83" i="7"/>
  <c r="T83" i="7"/>
  <c r="S83" i="7"/>
  <c r="Q83" i="7"/>
  <c r="P83" i="7"/>
  <c r="O83" i="7"/>
  <c r="N83" i="7"/>
  <c r="M83" i="7"/>
  <c r="L83" i="7"/>
  <c r="K83" i="7"/>
  <c r="J83" i="7"/>
  <c r="I83" i="7"/>
  <c r="H83" i="7"/>
  <c r="G83" i="7"/>
  <c r="X81" i="7"/>
  <c r="W81" i="7"/>
  <c r="V81" i="7"/>
  <c r="U81" i="7"/>
  <c r="T81" i="7"/>
  <c r="S81" i="7"/>
  <c r="P81" i="7"/>
  <c r="O81" i="7"/>
  <c r="N81" i="7"/>
  <c r="M81" i="7"/>
  <c r="K81" i="7"/>
  <c r="J81" i="7"/>
  <c r="I81" i="7"/>
  <c r="H81" i="7"/>
  <c r="G81" i="7"/>
  <c r="X80" i="7"/>
  <c r="W80" i="7"/>
  <c r="V80" i="7"/>
  <c r="U80" i="7"/>
  <c r="T80" i="7"/>
  <c r="S80" i="7"/>
  <c r="Q80" i="7"/>
  <c r="P80" i="7"/>
  <c r="O80" i="7"/>
  <c r="N80" i="7"/>
  <c r="M80" i="7"/>
  <c r="L80" i="7"/>
  <c r="K80" i="7"/>
  <c r="J80" i="7"/>
  <c r="I80" i="7"/>
  <c r="H80" i="7"/>
  <c r="G80" i="7"/>
  <c r="W79" i="7"/>
  <c r="V79" i="7"/>
  <c r="U79" i="7"/>
  <c r="T79" i="7"/>
  <c r="S79" i="7"/>
  <c r="P79" i="7"/>
  <c r="N79" i="7"/>
  <c r="M79" i="7"/>
  <c r="L79" i="7"/>
  <c r="K79" i="7"/>
  <c r="I79" i="7"/>
  <c r="H79" i="7"/>
  <c r="G79" i="7"/>
  <c r="X78" i="7"/>
  <c r="V78" i="7"/>
  <c r="U78" i="7"/>
  <c r="T78" i="7"/>
  <c r="S78" i="7"/>
  <c r="Q78" i="7"/>
  <c r="P78" i="7"/>
  <c r="O78" i="7"/>
  <c r="N78" i="7"/>
  <c r="M78" i="7"/>
  <c r="L78" i="7"/>
  <c r="K78" i="7"/>
  <c r="J78" i="7"/>
  <c r="I78" i="7"/>
  <c r="H78" i="7"/>
  <c r="G78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W76" i="7"/>
  <c r="V76" i="7"/>
  <c r="U76" i="7"/>
  <c r="T76" i="7"/>
  <c r="S76" i="7"/>
  <c r="Q76" i="7"/>
  <c r="P76" i="7"/>
  <c r="O76" i="7"/>
  <c r="N76" i="7"/>
  <c r="M76" i="7"/>
  <c r="L76" i="7"/>
  <c r="K76" i="7"/>
  <c r="J76" i="7"/>
  <c r="I76" i="7"/>
  <c r="H76" i="7"/>
  <c r="G76" i="7"/>
  <c r="W75" i="7"/>
  <c r="V75" i="7"/>
  <c r="U75" i="7"/>
  <c r="T75" i="7"/>
  <c r="S75" i="7"/>
  <c r="Q75" i="7"/>
  <c r="P75" i="7"/>
  <c r="O75" i="7"/>
  <c r="N75" i="7"/>
  <c r="M75" i="7"/>
  <c r="L75" i="7"/>
  <c r="K75" i="7"/>
  <c r="I75" i="7"/>
  <c r="H75" i="7"/>
  <c r="G75" i="7"/>
  <c r="W74" i="7"/>
  <c r="V74" i="7"/>
  <c r="U74" i="7"/>
  <c r="T74" i="7"/>
  <c r="S74" i="7"/>
  <c r="Q74" i="7"/>
  <c r="P74" i="7"/>
  <c r="N74" i="7"/>
  <c r="I74" i="7"/>
  <c r="H74" i="7"/>
  <c r="G74" i="7"/>
  <c r="U73" i="7"/>
  <c r="P73" i="7"/>
  <c r="M73" i="7"/>
  <c r="V72" i="7"/>
  <c r="U72" i="7"/>
  <c r="T72" i="7"/>
  <c r="S72" i="7"/>
  <c r="R72" i="7"/>
  <c r="P72" i="7"/>
  <c r="O72" i="7"/>
  <c r="N72" i="7"/>
  <c r="L72" i="7"/>
  <c r="K72" i="7"/>
  <c r="J72" i="7"/>
  <c r="I72" i="7"/>
  <c r="H72" i="7"/>
  <c r="G72" i="7"/>
  <c r="V71" i="7"/>
  <c r="U71" i="7"/>
  <c r="S71" i="7"/>
  <c r="P71" i="7"/>
  <c r="M71" i="7"/>
  <c r="G71" i="7"/>
  <c r="V70" i="7"/>
  <c r="U70" i="7"/>
  <c r="T70" i="7"/>
  <c r="S70" i="7"/>
  <c r="P70" i="7"/>
  <c r="O70" i="7"/>
  <c r="H70" i="7"/>
  <c r="G70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V68" i="7"/>
  <c r="U68" i="7"/>
  <c r="T68" i="7"/>
  <c r="S68" i="7"/>
  <c r="P68" i="7"/>
  <c r="M68" i="7"/>
  <c r="K68" i="7"/>
  <c r="H68" i="7"/>
  <c r="G68" i="7"/>
  <c r="V67" i="7"/>
  <c r="T67" i="7"/>
  <c r="S67" i="7"/>
  <c r="P67" i="7"/>
  <c r="N67" i="7"/>
  <c r="M67" i="7"/>
  <c r="I67" i="7"/>
  <c r="H67" i="7"/>
  <c r="V66" i="7"/>
  <c r="U66" i="7"/>
  <c r="T66" i="7"/>
  <c r="S66" i="7"/>
  <c r="P66" i="7"/>
  <c r="M66" i="7"/>
  <c r="I66" i="7"/>
  <c r="H66" i="7"/>
  <c r="G66" i="7"/>
  <c r="V65" i="7"/>
  <c r="T65" i="7"/>
  <c r="S65" i="7"/>
  <c r="P65" i="7"/>
  <c r="N65" i="7"/>
  <c r="M65" i="7"/>
  <c r="I65" i="7"/>
  <c r="H65" i="7"/>
  <c r="V64" i="7"/>
  <c r="T64" i="7"/>
  <c r="H64" i="7"/>
  <c r="W63" i="7"/>
  <c r="V63" i="7"/>
  <c r="U63" i="7"/>
  <c r="T63" i="7"/>
  <c r="S63" i="7"/>
  <c r="R63" i="7"/>
  <c r="Q63" i="7"/>
  <c r="P63" i="7"/>
  <c r="O63" i="7"/>
  <c r="N63" i="7"/>
  <c r="M63" i="7"/>
  <c r="L63" i="7"/>
  <c r="J63" i="7"/>
  <c r="I63" i="7"/>
  <c r="H63" i="7"/>
  <c r="G63" i="7"/>
  <c r="V62" i="7"/>
  <c r="U62" i="7"/>
  <c r="T62" i="7"/>
  <c r="S62" i="7"/>
  <c r="P62" i="7"/>
  <c r="H62" i="7"/>
  <c r="G62" i="7"/>
  <c r="V61" i="7"/>
  <c r="T61" i="7"/>
  <c r="M61" i="7"/>
  <c r="X60" i="7"/>
  <c r="V60" i="7"/>
  <c r="U60" i="7"/>
  <c r="R60" i="7"/>
  <c r="P60" i="7"/>
  <c r="J60" i="7"/>
  <c r="G60" i="7"/>
  <c r="V59" i="7"/>
  <c r="V58" i="7"/>
  <c r="U58" i="7"/>
  <c r="T58" i="7"/>
  <c r="P58" i="7"/>
  <c r="P57" i="7"/>
  <c r="X56" i="7"/>
  <c r="V56" i="7"/>
  <c r="U56" i="7"/>
  <c r="T56" i="7"/>
  <c r="S56" i="7"/>
  <c r="Q56" i="7"/>
  <c r="P56" i="7"/>
  <c r="J56" i="7"/>
  <c r="H56" i="7"/>
  <c r="G56" i="7"/>
  <c r="V55" i="7"/>
  <c r="T55" i="7"/>
  <c r="H55" i="7"/>
  <c r="W54" i="7"/>
  <c r="V54" i="7"/>
  <c r="U54" i="7"/>
  <c r="T54" i="7"/>
  <c r="S54" i="7"/>
  <c r="R54" i="7"/>
  <c r="P54" i="7"/>
  <c r="O54" i="7"/>
  <c r="N54" i="7"/>
  <c r="M54" i="7"/>
  <c r="L54" i="7"/>
  <c r="K54" i="7"/>
  <c r="J54" i="7"/>
  <c r="I54" i="7"/>
  <c r="H54" i="7"/>
  <c r="G54" i="7"/>
  <c r="V53" i="7"/>
  <c r="U53" i="7"/>
  <c r="T53" i="7"/>
  <c r="S53" i="7"/>
  <c r="P53" i="7"/>
  <c r="I53" i="7"/>
  <c r="H53" i="7"/>
  <c r="G53" i="7"/>
  <c r="W52" i="7"/>
  <c r="V52" i="7"/>
  <c r="T52" i="7"/>
  <c r="P52" i="7"/>
  <c r="O52" i="7"/>
  <c r="N52" i="7"/>
  <c r="L52" i="7"/>
  <c r="H52" i="7"/>
  <c r="G52" i="7"/>
  <c r="V51" i="7"/>
  <c r="T51" i="7"/>
  <c r="N51" i="7"/>
  <c r="H51" i="7"/>
  <c r="V50" i="7"/>
  <c r="T50" i="7"/>
  <c r="S50" i="7"/>
  <c r="P50" i="7"/>
  <c r="H50" i="7"/>
  <c r="S49" i="7"/>
  <c r="N49" i="7"/>
  <c r="M49" i="7"/>
  <c r="I49" i="7"/>
  <c r="G49" i="7"/>
  <c r="X48" i="7"/>
  <c r="V48" i="7"/>
  <c r="U48" i="7"/>
  <c r="S48" i="7"/>
  <c r="R48" i="7"/>
  <c r="Q48" i="7"/>
  <c r="P48" i="7"/>
  <c r="O48" i="7"/>
  <c r="N48" i="7"/>
  <c r="K48" i="7"/>
  <c r="I48" i="7"/>
  <c r="P47" i="7"/>
  <c r="V46" i="7"/>
  <c r="T46" i="7"/>
  <c r="S46" i="7"/>
  <c r="M46" i="7"/>
  <c r="I46" i="7"/>
  <c r="H46" i="7"/>
  <c r="V45" i="7"/>
  <c r="T45" i="7"/>
  <c r="S45" i="7"/>
  <c r="M45" i="7"/>
  <c r="I45" i="7"/>
  <c r="H45" i="7"/>
  <c r="V44" i="7"/>
  <c r="T44" i="7"/>
  <c r="P44" i="7"/>
  <c r="H44" i="7"/>
  <c r="V43" i="7"/>
  <c r="T43" i="7"/>
  <c r="P43" i="7"/>
  <c r="H43" i="7"/>
  <c r="V42" i="7"/>
  <c r="U42" i="7"/>
  <c r="T42" i="7"/>
  <c r="L42" i="7"/>
  <c r="H42" i="7"/>
  <c r="V41" i="7"/>
  <c r="P41" i="7"/>
  <c r="V40" i="7"/>
  <c r="U40" i="7"/>
  <c r="T40" i="7"/>
  <c r="S40" i="7"/>
  <c r="P40" i="7"/>
  <c r="M40" i="7"/>
  <c r="I40" i="7"/>
  <c r="H40" i="7"/>
  <c r="V39" i="7"/>
  <c r="T39" i="7"/>
  <c r="S39" i="7"/>
  <c r="P39" i="7"/>
  <c r="M39" i="7"/>
  <c r="I39" i="7"/>
  <c r="H39" i="7"/>
  <c r="X38" i="7"/>
  <c r="V38" i="7"/>
  <c r="U38" i="7"/>
  <c r="T38" i="7"/>
  <c r="S38" i="7"/>
  <c r="R38" i="7"/>
  <c r="P38" i="7"/>
  <c r="O38" i="7"/>
  <c r="N38" i="7"/>
  <c r="J38" i="7"/>
  <c r="H38" i="7"/>
  <c r="G38" i="7"/>
  <c r="V37" i="7"/>
  <c r="T37" i="7"/>
  <c r="S37" i="7"/>
  <c r="N37" i="7"/>
  <c r="L37" i="7"/>
  <c r="J37" i="7"/>
  <c r="H37" i="7"/>
  <c r="V36" i="7"/>
  <c r="U36" i="7"/>
  <c r="T36" i="7"/>
  <c r="N36" i="7"/>
  <c r="H36" i="7"/>
  <c r="G36" i="7"/>
  <c r="V35" i="7"/>
  <c r="T35" i="7"/>
  <c r="H35" i="7"/>
  <c r="P34" i="7"/>
  <c r="V33" i="7"/>
  <c r="U33" i="7"/>
  <c r="T33" i="7"/>
  <c r="S33" i="7"/>
  <c r="P33" i="7"/>
  <c r="K33" i="7"/>
  <c r="H33" i="7"/>
  <c r="V32" i="7"/>
  <c r="T32" i="7"/>
  <c r="P32" i="7"/>
  <c r="H32" i="7"/>
  <c r="V31" i="7"/>
  <c r="T31" i="7"/>
  <c r="S31" i="7"/>
  <c r="M31" i="7"/>
  <c r="I31" i="7"/>
  <c r="H31" i="7"/>
  <c r="V30" i="7"/>
  <c r="T30" i="7"/>
  <c r="S30" i="7"/>
  <c r="M30" i="7"/>
  <c r="I30" i="7"/>
  <c r="H30" i="7"/>
  <c r="P29" i="7"/>
  <c r="W28" i="7"/>
  <c r="U28" i="7"/>
  <c r="T28" i="7"/>
  <c r="S28" i="7"/>
  <c r="R28" i="7"/>
  <c r="Q28" i="7"/>
  <c r="P28" i="7"/>
  <c r="O28" i="7"/>
  <c r="N28" i="7"/>
  <c r="M28" i="7"/>
  <c r="L28" i="7"/>
  <c r="J28" i="7"/>
  <c r="I28" i="7"/>
  <c r="H28" i="7"/>
  <c r="G28" i="7"/>
  <c r="X26" i="7"/>
  <c r="W26" i="7"/>
  <c r="V26" i="7"/>
  <c r="U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P25" i="7"/>
  <c r="W24" i="7"/>
  <c r="V24" i="7"/>
  <c r="T24" i="7"/>
  <c r="P24" i="7"/>
  <c r="H24" i="7"/>
  <c r="V23" i="7"/>
  <c r="T23" i="7"/>
  <c r="P23" i="7"/>
  <c r="H23" i="7"/>
  <c r="V22" i="7"/>
  <c r="T22" i="7"/>
  <c r="P22" i="7"/>
  <c r="K22" i="7"/>
  <c r="H22" i="7"/>
  <c r="V21" i="7"/>
  <c r="T21" i="7"/>
  <c r="P21" i="7"/>
  <c r="H21" i="7"/>
  <c r="W20" i="7"/>
  <c r="V20" i="7"/>
  <c r="U20" i="7"/>
  <c r="T20" i="7"/>
  <c r="S20" i="7"/>
  <c r="P20" i="7"/>
  <c r="O20" i="7"/>
  <c r="N20" i="7"/>
  <c r="M20" i="7"/>
  <c r="L20" i="7"/>
  <c r="I20" i="7"/>
  <c r="H20" i="7"/>
  <c r="G20" i="7"/>
  <c r="V19" i="7"/>
  <c r="T19" i="7"/>
  <c r="P19" i="7"/>
  <c r="H19" i="7"/>
  <c r="V18" i="7"/>
  <c r="T18" i="7"/>
  <c r="P18" i="7"/>
  <c r="H18" i="7"/>
  <c r="V17" i="7"/>
  <c r="U17" i="7"/>
  <c r="T17" i="7"/>
  <c r="P17" i="7"/>
  <c r="M17" i="7"/>
  <c r="H17" i="7"/>
  <c r="V16" i="7"/>
  <c r="T16" i="7"/>
  <c r="P16" i="7"/>
  <c r="H16" i="7"/>
  <c r="V15" i="7"/>
  <c r="P15" i="7"/>
  <c r="H15" i="7"/>
  <c r="V14" i="7"/>
  <c r="U14" i="7"/>
  <c r="T14" i="7"/>
  <c r="S14" i="7"/>
  <c r="N14" i="7"/>
  <c r="M14" i="7"/>
  <c r="L14" i="7"/>
  <c r="I14" i="7"/>
  <c r="H14" i="7"/>
  <c r="V13" i="7"/>
  <c r="P13" i="7"/>
  <c r="H13" i="7"/>
  <c r="V12" i="7"/>
  <c r="U12" i="7"/>
  <c r="T12" i="7"/>
  <c r="S12" i="7"/>
  <c r="N12" i="7"/>
  <c r="M12" i="7"/>
  <c r="L12" i="7"/>
  <c r="I12" i="7"/>
  <c r="H12" i="7"/>
  <c r="V11" i="7"/>
  <c r="T11" i="7"/>
  <c r="S11" i="7"/>
  <c r="M11" i="7"/>
  <c r="I11" i="7"/>
  <c r="H11" i="7"/>
  <c r="V10" i="7"/>
  <c r="T10" i="7"/>
  <c r="H10" i="7"/>
  <c r="V9" i="7"/>
  <c r="T9" i="7"/>
  <c r="H9" i="7"/>
  <c r="V8" i="7"/>
  <c r="U8" i="7"/>
  <c r="T8" i="7"/>
  <c r="P8" i="7"/>
  <c r="H8" i="7"/>
  <c r="V7" i="7"/>
  <c r="T7" i="7"/>
  <c r="H7" i="7"/>
  <c r="T37" i="6"/>
  <c r="S37" i="6"/>
  <c r="P37" i="6"/>
  <c r="O37" i="6"/>
  <c r="N37" i="6"/>
  <c r="M37" i="6"/>
  <c r="L37" i="6"/>
  <c r="K37" i="6"/>
  <c r="J37" i="6"/>
  <c r="T36" i="6"/>
  <c r="S36" i="6"/>
  <c r="P36" i="6"/>
  <c r="O36" i="6"/>
  <c r="N36" i="6"/>
  <c r="M36" i="6"/>
  <c r="L36" i="6"/>
  <c r="K36" i="6"/>
  <c r="J36" i="6"/>
  <c r="T35" i="6"/>
  <c r="S35" i="6"/>
  <c r="P35" i="6"/>
  <c r="O35" i="6"/>
  <c r="N35" i="6"/>
  <c r="M35" i="6"/>
  <c r="L35" i="6"/>
  <c r="K35" i="6"/>
  <c r="J35" i="6"/>
  <c r="T34" i="6"/>
  <c r="S34" i="6"/>
  <c r="P34" i="6"/>
  <c r="O34" i="6"/>
  <c r="N34" i="6"/>
  <c r="M34" i="6"/>
  <c r="L34" i="6"/>
  <c r="K34" i="6"/>
  <c r="J34" i="6"/>
  <c r="T33" i="6"/>
  <c r="S33" i="6"/>
  <c r="P33" i="6"/>
  <c r="O33" i="6"/>
  <c r="N33" i="6"/>
  <c r="M33" i="6"/>
  <c r="L33" i="6"/>
  <c r="K33" i="6"/>
  <c r="J33" i="6"/>
  <c r="T32" i="6"/>
  <c r="S32" i="6"/>
  <c r="P32" i="6"/>
  <c r="O32" i="6"/>
  <c r="N32" i="6"/>
  <c r="M32" i="6"/>
  <c r="L32" i="6"/>
  <c r="K32" i="6"/>
  <c r="J32" i="6"/>
  <c r="T31" i="6"/>
  <c r="S31" i="6"/>
  <c r="P31" i="6"/>
  <c r="O31" i="6"/>
  <c r="N31" i="6"/>
  <c r="M31" i="6"/>
  <c r="L31" i="6"/>
  <c r="K31" i="6"/>
  <c r="J31" i="6"/>
  <c r="T30" i="6"/>
  <c r="S30" i="6"/>
  <c r="P30" i="6"/>
  <c r="O30" i="6"/>
  <c r="N30" i="6"/>
  <c r="M30" i="6"/>
  <c r="L30" i="6"/>
  <c r="K30" i="6"/>
  <c r="J30" i="6"/>
  <c r="P24" i="6"/>
  <c r="O24" i="6"/>
  <c r="N24" i="6"/>
  <c r="M24" i="6"/>
  <c r="L24" i="6"/>
  <c r="K24" i="6"/>
  <c r="J24" i="6"/>
  <c r="T23" i="6"/>
  <c r="S23" i="6"/>
  <c r="P23" i="6"/>
  <c r="O23" i="6"/>
  <c r="N23" i="6"/>
  <c r="M23" i="6"/>
  <c r="L23" i="6"/>
  <c r="K23" i="6"/>
  <c r="J23" i="6"/>
  <c r="T22" i="6"/>
  <c r="S22" i="6"/>
  <c r="P22" i="6"/>
  <c r="O22" i="6"/>
  <c r="N22" i="6"/>
  <c r="M22" i="6"/>
  <c r="L22" i="6"/>
  <c r="K22" i="6"/>
  <c r="J22" i="6"/>
  <c r="T21" i="6"/>
  <c r="S21" i="6"/>
  <c r="P21" i="6"/>
  <c r="O21" i="6"/>
  <c r="N21" i="6"/>
  <c r="M21" i="6"/>
  <c r="L21" i="6"/>
  <c r="K21" i="6"/>
  <c r="J21" i="6"/>
  <c r="T20" i="6"/>
  <c r="S20" i="6"/>
  <c r="P20" i="6"/>
  <c r="O20" i="6"/>
  <c r="N20" i="6"/>
  <c r="M20" i="6"/>
  <c r="L20" i="6"/>
  <c r="K20" i="6"/>
  <c r="J20" i="6"/>
  <c r="T19" i="6"/>
  <c r="S19" i="6"/>
  <c r="P19" i="6"/>
  <c r="O19" i="6"/>
  <c r="N19" i="6"/>
  <c r="M19" i="6"/>
  <c r="L19" i="6"/>
  <c r="K19" i="6"/>
  <c r="J19" i="6"/>
  <c r="T18" i="6"/>
  <c r="S18" i="6"/>
  <c r="P18" i="6"/>
  <c r="O18" i="6"/>
  <c r="N18" i="6"/>
  <c r="M18" i="6"/>
  <c r="L18" i="6"/>
  <c r="K18" i="6"/>
  <c r="J18" i="6"/>
  <c r="T17" i="6"/>
  <c r="S17" i="6"/>
  <c r="P17" i="6"/>
  <c r="O17" i="6"/>
  <c r="N17" i="6"/>
  <c r="M17" i="6"/>
  <c r="L17" i="6"/>
  <c r="K17" i="6"/>
  <c r="J17" i="6"/>
  <c r="T16" i="6"/>
  <c r="S16" i="6"/>
  <c r="Q13" i="6"/>
  <c r="P13" i="6"/>
  <c r="O13" i="6"/>
  <c r="N13" i="6"/>
  <c r="M13" i="6"/>
  <c r="L13" i="6"/>
  <c r="K13" i="6"/>
  <c r="J13" i="6"/>
  <c r="Q12" i="6"/>
  <c r="P12" i="6"/>
  <c r="O12" i="6"/>
  <c r="N12" i="6"/>
  <c r="M12" i="6"/>
  <c r="L12" i="6"/>
  <c r="K12" i="6"/>
  <c r="J12" i="6"/>
  <c r="Q11" i="6"/>
  <c r="P11" i="6"/>
  <c r="O11" i="6"/>
  <c r="N11" i="6"/>
  <c r="M11" i="6"/>
  <c r="L11" i="6"/>
  <c r="K11" i="6"/>
  <c r="J11" i="6"/>
  <c r="Q10" i="6"/>
  <c r="P10" i="6"/>
  <c r="O10" i="6"/>
  <c r="N10" i="6"/>
  <c r="M10" i="6"/>
  <c r="L10" i="6"/>
  <c r="K10" i="6"/>
  <c r="J10" i="6"/>
  <c r="Q9" i="6"/>
  <c r="P9" i="6"/>
  <c r="O9" i="6"/>
  <c r="N9" i="6"/>
  <c r="M9" i="6"/>
  <c r="L9" i="6"/>
  <c r="K9" i="6"/>
  <c r="J9" i="6"/>
  <c r="Q8" i="6"/>
  <c r="P8" i="6"/>
  <c r="O8" i="6"/>
  <c r="N8" i="6"/>
  <c r="M8" i="6"/>
  <c r="L8" i="6"/>
  <c r="K8" i="6"/>
  <c r="J8" i="6"/>
  <c r="Q7" i="6"/>
  <c r="P7" i="6"/>
  <c r="O7" i="6"/>
  <c r="N7" i="6"/>
  <c r="M7" i="6"/>
  <c r="L7" i="6"/>
  <c r="K7" i="6"/>
  <c r="Q6" i="6"/>
  <c r="P6" i="6"/>
  <c r="O6" i="6"/>
  <c r="N6" i="6"/>
  <c r="M6" i="6"/>
  <c r="L6" i="6"/>
  <c r="K6" i="6"/>
  <c r="J6" i="6"/>
  <c r="Q5" i="6"/>
  <c r="P5" i="6"/>
  <c r="O5" i="6"/>
  <c r="N5" i="6"/>
  <c r="M5" i="6"/>
  <c r="L5" i="6"/>
  <c r="K5" i="6"/>
  <c r="J5" i="6"/>
  <c r="Q4" i="6"/>
  <c r="P4" i="6"/>
  <c r="O4" i="6"/>
  <c r="N4" i="6"/>
  <c r="M4" i="6"/>
  <c r="L4" i="6"/>
  <c r="K4" i="6"/>
  <c r="J3" i="6"/>
  <c r="J7" i="6" s="1"/>
  <c r="D6" i="6"/>
  <c r="D4" i="6"/>
  <c r="D3" i="6"/>
  <c r="D13" i="6"/>
  <c r="C10" i="6"/>
  <c r="G3" i="6"/>
  <c r="G4" i="6" s="1"/>
  <c r="G6" i="6"/>
  <c r="G7" i="6" s="1"/>
  <c r="G8" i="6" s="1"/>
  <c r="D6" i="4"/>
  <c r="D9" i="4"/>
  <c r="D15" i="4"/>
  <c r="D16" i="4"/>
  <c r="D17" i="4"/>
  <c r="D18" i="4"/>
  <c r="D22" i="4"/>
  <c r="D25" i="4"/>
  <c r="D28" i="4"/>
  <c r="D30" i="4"/>
  <c r="D31" i="4"/>
  <c r="D32" i="4"/>
  <c r="D33" i="4"/>
  <c r="D34" i="4"/>
  <c r="D45" i="4"/>
  <c r="D46" i="4"/>
  <c r="D48" i="4"/>
  <c r="D49" i="4"/>
  <c r="D60" i="4"/>
  <c r="D62" i="4"/>
  <c r="D63" i="4"/>
  <c r="D65" i="4"/>
  <c r="D66" i="4"/>
  <c r="D70" i="4"/>
  <c r="D76" i="4"/>
  <c r="D78" i="4"/>
  <c r="D79" i="4"/>
  <c r="D81" i="4"/>
  <c r="D82" i="4"/>
  <c r="D86" i="4"/>
  <c r="P4" i="3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3" i="2" a="1"/>
  <c r="C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3" i="2" a="1"/>
  <c r="B3" i="2" s="1"/>
  <c r="E21" i="2" a="1"/>
  <c r="E21" i="2" s="1"/>
  <c r="H21" i="2" a="1"/>
  <c r="H21" i="2" s="1"/>
  <c r="I21" i="2" a="1"/>
  <c r="I21" i="2" s="1"/>
  <c r="J21" i="2" a="1"/>
  <c r="J21" i="2" s="1"/>
  <c r="F21" i="2" a="1"/>
  <c r="F21" i="2" s="1"/>
  <c r="G21" i="2" a="1"/>
  <c r="G21" i="2" s="1"/>
  <c r="E20" i="2" a="1"/>
  <c r="E20" i="2" s="1"/>
  <c r="H20" i="2" a="1"/>
  <c r="H20" i="2" s="1"/>
  <c r="I20" i="2" a="1"/>
  <c r="I20" i="2" s="1"/>
  <c r="J20" i="2" a="1"/>
  <c r="J20" i="2" s="1"/>
  <c r="F20" i="2" a="1"/>
  <c r="F20" i="2" s="1"/>
  <c r="G20" i="2" a="1"/>
  <c r="G20" i="2" s="1"/>
  <c r="E22" i="2" a="1"/>
  <c r="E22" i="2" s="1"/>
  <c r="H22" i="2" a="1"/>
  <c r="H22" i="2" s="1"/>
  <c r="I22" i="2" a="1"/>
  <c r="I22" i="2" s="1"/>
  <c r="J22" i="2" a="1"/>
  <c r="J22" i="2" s="1"/>
  <c r="F22" i="2" a="1"/>
  <c r="F22" i="2" s="1"/>
  <c r="G22" i="2" a="1"/>
  <c r="G22" i="2" s="1"/>
  <c r="E23" i="2" a="1"/>
  <c r="E23" i="2" s="1"/>
  <c r="H23" i="2" a="1"/>
  <c r="H23" i="2" s="1"/>
  <c r="I23" i="2" a="1"/>
  <c r="I23" i="2" s="1"/>
  <c r="J23" i="2" a="1"/>
  <c r="J23" i="2" s="1"/>
  <c r="F23" i="2" a="1"/>
  <c r="F23" i="2" s="1"/>
  <c r="G23" i="2" a="1"/>
  <c r="G23" i="2" s="1"/>
  <c r="E19" i="2" a="1"/>
  <c r="E19" i="2" s="1"/>
  <c r="H19" i="2" a="1"/>
  <c r="H19" i="2" s="1"/>
  <c r="I19" i="2" a="1"/>
  <c r="I19" i="2" s="1"/>
  <c r="J19" i="2" a="1"/>
  <c r="J19" i="2" s="1"/>
  <c r="F19" i="2" a="1"/>
  <c r="F19" i="2" s="1"/>
  <c r="G19" i="2" a="1"/>
  <c r="G19" i="2" s="1"/>
  <c r="E17" i="2" a="1"/>
  <c r="E17" i="2" s="1"/>
  <c r="H17" i="2" a="1"/>
  <c r="H17" i="2" s="1"/>
  <c r="I17" i="2" a="1"/>
  <c r="I17" i="2" s="1"/>
  <c r="J17" i="2" a="1"/>
  <c r="J17" i="2" s="1"/>
  <c r="F17" i="2" a="1"/>
  <c r="F17" i="2" s="1"/>
  <c r="G17" i="2" a="1"/>
  <c r="G17" i="2" s="1"/>
  <c r="E4" i="2" a="1"/>
  <c r="E4" i="2" s="1"/>
  <c r="H4" i="2" a="1"/>
  <c r="H4" i="2" s="1"/>
  <c r="I4" i="2" a="1"/>
  <c r="I4" i="2" s="1"/>
  <c r="J4" i="2" a="1"/>
  <c r="J4" i="2" s="1"/>
  <c r="F4" i="2" a="1"/>
  <c r="F4" i="2" s="1"/>
  <c r="G4" i="2" a="1"/>
  <c r="G4" i="2" s="1"/>
  <c r="E5" i="2" a="1"/>
  <c r="E5" i="2" s="1"/>
  <c r="H5" i="2" a="1"/>
  <c r="H5" i="2" s="1"/>
  <c r="I5" i="2" a="1"/>
  <c r="I5" i="2" s="1"/>
  <c r="J5" i="2" a="1"/>
  <c r="J5" i="2" s="1"/>
  <c r="F5" i="2" a="1"/>
  <c r="F5" i="2" s="1"/>
  <c r="G5" i="2" a="1"/>
  <c r="G5" i="2" s="1"/>
  <c r="E6" i="2" a="1"/>
  <c r="E6" i="2" s="1"/>
  <c r="H6" i="2" a="1"/>
  <c r="H6" i="2" s="1"/>
  <c r="I6" i="2" a="1"/>
  <c r="I6" i="2" s="1"/>
  <c r="J6" i="2" a="1"/>
  <c r="J6" i="2" s="1"/>
  <c r="F6" i="2" a="1"/>
  <c r="F6" i="2" s="1"/>
  <c r="G6" i="2" a="1"/>
  <c r="G6" i="2" s="1"/>
  <c r="E7" i="2" a="1"/>
  <c r="E7" i="2" s="1"/>
  <c r="H7" i="2" a="1"/>
  <c r="H7" i="2" s="1"/>
  <c r="I7" i="2" a="1"/>
  <c r="I7" i="2" s="1"/>
  <c r="J7" i="2" a="1"/>
  <c r="J7" i="2" s="1"/>
  <c r="F7" i="2" a="1"/>
  <c r="F7" i="2" s="1"/>
  <c r="G7" i="2" a="1"/>
  <c r="G7" i="2" s="1"/>
  <c r="E8" i="2" a="1"/>
  <c r="E8" i="2" s="1"/>
  <c r="H8" i="2" a="1"/>
  <c r="H8" i="2" s="1"/>
  <c r="I8" i="2" a="1"/>
  <c r="I8" i="2" s="1"/>
  <c r="J8" i="2" a="1"/>
  <c r="J8" i="2" s="1"/>
  <c r="F8" i="2" a="1"/>
  <c r="F8" i="2" s="1"/>
  <c r="G8" i="2" a="1"/>
  <c r="G8" i="2" s="1"/>
  <c r="E9" i="2" a="1"/>
  <c r="E9" i="2" s="1"/>
  <c r="H9" i="2" a="1"/>
  <c r="H9" i="2" s="1"/>
  <c r="I9" i="2" a="1"/>
  <c r="I9" i="2" s="1"/>
  <c r="J9" i="2" a="1"/>
  <c r="J9" i="2" s="1"/>
  <c r="F9" i="2" a="1"/>
  <c r="F9" i="2" s="1"/>
  <c r="G9" i="2" a="1"/>
  <c r="G9" i="2" s="1"/>
  <c r="E10" i="2" a="1"/>
  <c r="E10" i="2" s="1"/>
  <c r="H10" i="2" a="1"/>
  <c r="H10" i="2" s="1"/>
  <c r="I10" i="2" a="1"/>
  <c r="I10" i="2" s="1"/>
  <c r="J10" i="2" a="1"/>
  <c r="J10" i="2" s="1"/>
  <c r="F10" i="2" a="1"/>
  <c r="F10" i="2" s="1"/>
  <c r="G10" i="2" a="1"/>
  <c r="G10" i="2" s="1"/>
  <c r="E11" i="2" a="1"/>
  <c r="E11" i="2" s="1"/>
  <c r="H11" i="2" a="1"/>
  <c r="H11" i="2" s="1"/>
  <c r="I11" i="2" a="1"/>
  <c r="I11" i="2" s="1"/>
  <c r="J11" i="2" a="1"/>
  <c r="J11" i="2" s="1"/>
  <c r="F11" i="2" a="1"/>
  <c r="F11" i="2" s="1"/>
  <c r="G11" i="2" a="1"/>
  <c r="G11" i="2" s="1"/>
  <c r="E12" i="2" a="1"/>
  <c r="E12" i="2" s="1"/>
  <c r="H12" i="2" a="1"/>
  <c r="H12" i="2" s="1"/>
  <c r="I12" i="2" a="1"/>
  <c r="I12" i="2" s="1"/>
  <c r="J12" i="2" a="1"/>
  <c r="J12" i="2" s="1"/>
  <c r="F12" i="2" a="1"/>
  <c r="F12" i="2" s="1"/>
  <c r="G12" i="2" a="1"/>
  <c r="G12" i="2" s="1"/>
  <c r="E13" i="2" a="1"/>
  <c r="E13" i="2" s="1"/>
  <c r="H13" i="2" a="1"/>
  <c r="H13" i="2" s="1"/>
  <c r="I13" i="2" a="1"/>
  <c r="I13" i="2" s="1"/>
  <c r="J13" i="2" a="1"/>
  <c r="J13" i="2" s="1"/>
  <c r="F13" i="2" a="1"/>
  <c r="F13" i="2" s="1"/>
  <c r="G13" i="2" a="1"/>
  <c r="G13" i="2" s="1"/>
  <c r="E14" i="2" a="1"/>
  <c r="E14" i="2" s="1"/>
  <c r="H14" i="2" a="1"/>
  <c r="H14" i="2" s="1"/>
  <c r="I14" i="2" a="1"/>
  <c r="I14" i="2" s="1"/>
  <c r="J14" i="2" a="1"/>
  <c r="J14" i="2" s="1"/>
  <c r="F14" i="2" a="1"/>
  <c r="F14" i="2" s="1"/>
  <c r="G14" i="2" a="1"/>
  <c r="G14" i="2" s="1"/>
  <c r="E15" i="2" a="1"/>
  <c r="E15" i="2" s="1"/>
  <c r="H15" i="2" a="1"/>
  <c r="H15" i="2" s="1"/>
  <c r="I15" i="2" a="1"/>
  <c r="I15" i="2" s="1"/>
  <c r="J15" i="2" a="1"/>
  <c r="J15" i="2" s="1"/>
  <c r="F15" i="2" a="1"/>
  <c r="F15" i="2" s="1"/>
  <c r="G15" i="2" a="1"/>
  <c r="G15" i="2" s="1"/>
  <c r="E16" i="2" a="1"/>
  <c r="E16" i="2" s="1"/>
  <c r="H16" i="2" a="1"/>
  <c r="H16" i="2" s="1"/>
  <c r="I16" i="2" a="1"/>
  <c r="I16" i="2" s="1"/>
  <c r="J16" i="2" a="1"/>
  <c r="J16" i="2" s="1"/>
  <c r="F16" i="2" a="1"/>
  <c r="F16" i="2" s="1"/>
  <c r="G16" i="2" a="1"/>
  <c r="G16" i="2" s="1"/>
  <c r="E18" i="2" a="1"/>
  <c r="E18" i="2" s="1"/>
  <c r="H18" i="2" a="1"/>
  <c r="H18" i="2" s="1"/>
  <c r="I18" i="2" a="1"/>
  <c r="I18" i="2" s="1"/>
  <c r="J18" i="2" a="1"/>
  <c r="J18" i="2" s="1"/>
  <c r="F18" i="2" a="1"/>
  <c r="F18" i="2" s="1"/>
  <c r="G18" i="2" a="1"/>
  <c r="G18" i="2" s="1"/>
  <c r="G3" i="2" a="1"/>
  <c r="G3" i="2" s="1"/>
  <c r="F3" i="2" a="1"/>
  <c r="F3" i="2" s="1"/>
  <c r="J3" i="2" a="1"/>
  <c r="J3" i="2" s="1"/>
  <c r="I3" i="2" a="1"/>
  <c r="I3" i="2" s="1"/>
  <c r="H3" i="2" a="1"/>
  <c r="H3" i="2" s="1"/>
  <c r="E3" i="2" a="1"/>
  <c r="E3" i="2" s="1"/>
  <c r="I26" i="5"/>
  <c r="I25" i="5"/>
  <c r="F24" i="5"/>
  <c r="I23" i="5"/>
  <c r="F23" i="5"/>
  <c r="I22" i="5"/>
  <c r="F22" i="5"/>
  <c r="I21" i="5"/>
  <c r="F21" i="5"/>
  <c r="I20" i="5"/>
  <c r="F20" i="5"/>
  <c r="I19" i="5"/>
  <c r="F19" i="5"/>
  <c r="I18" i="5"/>
  <c r="F18" i="5"/>
  <c r="I17" i="5"/>
  <c r="F17" i="5"/>
  <c r="I16" i="5"/>
  <c r="I15" i="5"/>
  <c r="I14" i="5"/>
  <c r="F13" i="5"/>
  <c r="F12" i="5"/>
  <c r="P11" i="5"/>
  <c r="Q11" i="5" s="1"/>
  <c r="N11" i="5"/>
  <c r="F11" i="5"/>
  <c r="P10" i="5"/>
  <c r="N10" i="5"/>
  <c r="F10" i="5"/>
  <c r="P9" i="5"/>
  <c r="N9" i="5"/>
  <c r="F9" i="5"/>
  <c r="P8" i="5"/>
  <c r="N8" i="5"/>
  <c r="F8" i="5"/>
  <c r="P7" i="5"/>
  <c r="N7" i="5"/>
  <c r="F7" i="5"/>
  <c r="P6" i="5"/>
  <c r="N6" i="5"/>
  <c r="F6" i="5"/>
  <c r="P5" i="5"/>
  <c r="N5" i="5"/>
  <c r="F5" i="5"/>
  <c r="P4" i="5"/>
  <c r="N4" i="5"/>
  <c r="F4" i="5"/>
  <c r="A100" i="4"/>
  <c r="Q88" i="4"/>
  <c r="P88" i="4"/>
  <c r="N88" i="4"/>
  <c r="D88" i="4"/>
  <c r="A88" i="4"/>
  <c r="Q87" i="4"/>
  <c r="P87" i="4"/>
  <c r="U87" i="4" s="1"/>
  <c r="N87" i="4"/>
  <c r="D87" i="4"/>
  <c r="A87" i="4"/>
  <c r="Q86" i="4"/>
  <c r="P86" i="4"/>
  <c r="S86" i="4" s="1"/>
  <c r="N86" i="4"/>
  <c r="A86" i="4"/>
  <c r="Q85" i="4"/>
  <c r="P85" i="4"/>
  <c r="N85" i="4"/>
  <c r="D85" i="4"/>
  <c r="A85" i="4"/>
  <c r="Q84" i="4"/>
  <c r="P84" i="4"/>
  <c r="S84" i="4" s="1"/>
  <c r="N84" i="4"/>
  <c r="D84" i="4"/>
  <c r="A84" i="4"/>
  <c r="Q83" i="4"/>
  <c r="P83" i="4"/>
  <c r="S83" i="4" s="1"/>
  <c r="N83" i="4"/>
  <c r="D83" i="4"/>
  <c r="A83" i="4"/>
  <c r="Q82" i="4"/>
  <c r="P82" i="4"/>
  <c r="U82" i="4" s="1"/>
  <c r="V82" i="4" s="1"/>
  <c r="N82" i="4"/>
  <c r="A82" i="4"/>
  <c r="Q81" i="4"/>
  <c r="P81" i="4"/>
  <c r="N81" i="4"/>
  <c r="A81" i="4"/>
  <c r="Q80" i="4"/>
  <c r="P80" i="4"/>
  <c r="N80" i="4"/>
  <c r="D80" i="4"/>
  <c r="A80" i="4"/>
  <c r="Q79" i="4"/>
  <c r="P79" i="4"/>
  <c r="S79" i="4" s="1"/>
  <c r="N79" i="4"/>
  <c r="A79" i="4"/>
  <c r="Q78" i="4"/>
  <c r="P78" i="4"/>
  <c r="S78" i="4" s="1"/>
  <c r="N78" i="4"/>
  <c r="A78" i="4"/>
  <c r="Q77" i="4"/>
  <c r="P77" i="4"/>
  <c r="U77" i="4" s="1"/>
  <c r="V77" i="4" s="1"/>
  <c r="N77" i="4"/>
  <c r="D77" i="4"/>
  <c r="A77" i="4"/>
  <c r="Q76" i="4"/>
  <c r="P76" i="4"/>
  <c r="N76" i="4"/>
  <c r="A76" i="4"/>
  <c r="Q75" i="4"/>
  <c r="P75" i="4"/>
  <c r="S75" i="4" s="1"/>
  <c r="N75" i="4"/>
  <c r="D75" i="4"/>
  <c r="A75" i="4"/>
  <c r="Q74" i="4"/>
  <c r="P74" i="4"/>
  <c r="U74" i="4" s="1"/>
  <c r="V74" i="4" s="1"/>
  <c r="N74" i="4"/>
  <c r="D74" i="4"/>
  <c r="A74" i="4"/>
  <c r="Q73" i="4"/>
  <c r="P73" i="4"/>
  <c r="N73" i="4"/>
  <c r="D73" i="4"/>
  <c r="A73" i="4"/>
  <c r="Q72" i="4"/>
  <c r="P72" i="4"/>
  <c r="N72" i="4"/>
  <c r="D72" i="4"/>
  <c r="A72" i="4"/>
  <c r="Q71" i="4"/>
  <c r="P71" i="4"/>
  <c r="S71" i="4" s="1"/>
  <c r="N71" i="4"/>
  <c r="D71" i="4"/>
  <c r="A71" i="4"/>
  <c r="Q70" i="4"/>
  <c r="P70" i="4"/>
  <c r="S70" i="4" s="1"/>
  <c r="N70" i="4"/>
  <c r="A70" i="4"/>
  <c r="Q69" i="4"/>
  <c r="P69" i="4"/>
  <c r="U69" i="4" s="1"/>
  <c r="V69" i="4" s="1"/>
  <c r="N69" i="4"/>
  <c r="D69" i="4"/>
  <c r="A69" i="4"/>
  <c r="Q68" i="4"/>
  <c r="P68" i="4"/>
  <c r="N68" i="4"/>
  <c r="D68" i="4"/>
  <c r="A68" i="4"/>
  <c r="Q67" i="4"/>
  <c r="P67" i="4"/>
  <c r="S67" i="4" s="1"/>
  <c r="N67" i="4"/>
  <c r="D67" i="4"/>
  <c r="A67" i="4"/>
  <c r="Q66" i="4"/>
  <c r="P66" i="4"/>
  <c r="U66" i="4" s="1"/>
  <c r="V66" i="4" s="1"/>
  <c r="N66" i="4"/>
  <c r="A66" i="4"/>
  <c r="Q65" i="4"/>
  <c r="P65" i="4"/>
  <c r="N65" i="4"/>
  <c r="A65" i="4"/>
  <c r="Q64" i="4"/>
  <c r="P64" i="4"/>
  <c r="N64" i="4"/>
  <c r="D64" i="4"/>
  <c r="A64" i="4"/>
  <c r="Q63" i="4"/>
  <c r="P63" i="4"/>
  <c r="N63" i="4"/>
  <c r="A63" i="4"/>
  <c r="Q62" i="4"/>
  <c r="P62" i="4"/>
  <c r="S62" i="4" s="1"/>
  <c r="N62" i="4"/>
  <c r="A62" i="4"/>
  <c r="Q61" i="4"/>
  <c r="P61" i="4"/>
  <c r="N61" i="4"/>
  <c r="D61" i="4"/>
  <c r="A61" i="4"/>
  <c r="Q60" i="4"/>
  <c r="P60" i="4"/>
  <c r="N60" i="4"/>
  <c r="A60" i="4"/>
  <c r="N59" i="4"/>
  <c r="D59" i="4"/>
  <c r="A59" i="4"/>
  <c r="N58" i="4"/>
  <c r="D58" i="4"/>
  <c r="A58" i="4"/>
  <c r="N57" i="4"/>
  <c r="D57" i="4"/>
  <c r="A57" i="4"/>
  <c r="N56" i="4"/>
  <c r="D56" i="4"/>
  <c r="A56" i="4"/>
  <c r="Q55" i="4"/>
  <c r="P55" i="4"/>
  <c r="U55" i="4" s="1"/>
  <c r="V55" i="4" s="1"/>
  <c r="N55" i="4"/>
  <c r="D55" i="4"/>
  <c r="A55" i="4"/>
  <c r="Q54" i="4"/>
  <c r="P54" i="4"/>
  <c r="U54" i="4" s="1"/>
  <c r="V54" i="4" s="1"/>
  <c r="N54" i="4"/>
  <c r="D54" i="4"/>
  <c r="B54" i="4"/>
  <c r="B55" i="4" s="1"/>
  <c r="A54" i="4"/>
  <c r="Q53" i="4"/>
  <c r="P53" i="4"/>
  <c r="N53" i="4"/>
  <c r="D53" i="4"/>
  <c r="B53" i="4"/>
  <c r="A53" i="4"/>
  <c r="Q52" i="4"/>
  <c r="P52" i="4"/>
  <c r="N52" i="4"/>
  <c r="D52" i="4"/>
  <c r="A52" i="4"/>
  <c r="Q51" i="4"/>
  <c r="P51" i="4"/>
  <c r="S51" i="4" s="1"/>
  <c r="N51" i="4"/>
  <c r="D51" i="4"/>
  <c r="A51" i="4"/>
  <c r="Q50" i="4"/>
  <c r="P50" i="4"/>
  <c r="N50" i="4"/>
  <c r="D50" i="4"/>
  <c r="A50" i="4"/>
  <c r="Q49" i="4"/>
  <c r="P49" i="4"/>
  <c r="S49" i="4" s="1"/>
  <c r="N49" i="4"/>
  <c r="A49" i="4"/>
  <c r="Q48" i="4"/>
  <c r="P48" i="4"/>
  <c r="U48" i="4" s="1"/>
  <c r="V48" i="4" s="1"/>
  <c r="N48" i="4"/>
  <c r="A48" i="4"/>
  <c r="Q47" i="4"/>
  <c r="P47" i="4"/>
  <c r="S47" i="4" s="1"/>
  <c r="N47" i="4"/>
  <c r="D47" i="4"/>
  <c r="A47" i="4"/>
  <c r="Q46" i="4"/>
  <c r="P46" i="4"/>
  <c r="U46" i="4" s="1"/>
  <c r="V46" i="4" s="1"/>
  <c r="N46" i="4"/>
  <c r="A46" i="4"/>
  <c r="Q45" i="4"/>
  <c r="P45" i="4"/>
  <c r="U45" i="4" s="1"/>
  <c r="N45" i="4"/>
  <c r="A45" i="4"/>
  <c r="Q44" i="4"/>
  <c r="P44" i="4"/>
  <c r="U44" i="4" s="1"/>
  <c r="N44" i="4"/>
  <c r="D44" i="4"/>
  <c r="A44" i="4"/>
  <c r="Q43" i="4"/>
  <c r="P43" i="4"/>
  <c r="S43" i="4" s="1"/>
  <c r="N43" i="4"/>
  <c r="D43" i="4"/>
  <c r="A43" i="4"/>
  <c r="Q42" i="4"/>
  <c r="P42" i="4"/>
  <c r="N42" i="4"/>
  <c r="D42" i="4"/>
  <c r="A42" i="4"/>
  <c r="Q41" i="4"/>
  <c r="P41" i="4"/>
  <c r="S41" i="4" s="1"/>
  <c r="N41" i="4"/>
  <c r="D41" i="4"/>
  <c r="A41" i="4"/>
  <c r="Q40" i="4"/>
  <c r="P40" i="4"/>
  <c r="S40" i="4" s="1"/>
  <c r="N40" i="4"/>
  <c r="D40" i="4"/>
  <c r="A40" i="4"/>
  <c r="Q39" i="4"/>
  <c r="P39" i="4"/>
  <c r="S39" i="4" s="1"/>
  <c r="N39" i="4"/>
  <c r="D39" i="4"/>
  <c r="B39" i="4"/>
  <c r="A39" i="4"/>
  <c r="Q38" i="4"/>
  <c r="P38" i="4"/>
  <c r="N38" i="4"/>
  <c r="D38" i="4"/>
  <c r="B38" i="4"/>
  <c r="A38" i="4"/>
  <c r="Q37" i="4"/>
  <c r="P37" i="4"/>
  <c r="U37" i="4" s="1"/>
  <c r="V37" i="4" s="1"/>
  <c r="N37" i="4"/>
  <c r="D37" i="4"/>
  <c r="A37" i="4"/>
  <c r="Q36" i="4"/>
  <c r="P36" i="4"/>
  <c r="S36" i="4" s="1"/>
  <c r="N36" i="4"/>
  <c r="D36" i="4"/>
  <c r="A36" i="4"/>
  <c r="Q35" i="4"/>
  <c r="P35" i="4"/>
  <c r="U35" i="4" s="1"/>
  <c r="V35" i="4" s="1"/>
  <c r="N35" i="4"/>
  <c r="D35" i="4"/>
  <c r="A35" i="4"/>
  <c r="Q34" i="4"/>
  <c r="P34" i="4"/>
  <c r="U34" i="4" s="1"/>
  <c r="N34" i="4"/>
  <c r="A34" i="4"/>
  <c r="Q33" i="4"/>
  <c r="P33" i="4"/>
  <c r="S33" i="4" s="1"/>
  <c r="N33" i="4"/>
  <c r="B33" i="4"/>
  <c r="B34" i="4" s="1"/>
  <c r="A33" i="4"/>
  <c r="Q32" i="4"/>
  <c r="P32" i="4"/>
  <c r="U32" i="4" s="1"/>
  <c r="V32" i="4" s="1"/>
  <c r="N32" i="4"/>
  <c r="A32" i="4"/>
  <c r="Q31" i="4"/>
  <c r="P31" i="4"/>
  <c r="U31" i="4" s="1"/>
  <c r="N31" i="4"/>
  <c r="A31" i="4"/>
  <c r="Q30" i="4"/>
  <c r="P30" i="4"/>
  <c r="S30" i="4" s="1"/>
  <c r="N30" i="4"/>
  <c r="A30" i="4"/>
  <c r="Q29" i="4"/>
  <c r="P29" i="4"/>
  <c r="U29" i="4" s="1"/>
  <c r="V29" i="4" s="1"/>
  <c r="N29" i="4"/>
  <c r="D29" i="4"/>
  <c r="A29" i="4"/>
  <c r="Q28" i="4"/>
  <c r="P28" i="4"/>
  <c r="N28" i="4"/>
  <c r="B28" i="4"/>
  <c r="A28" i="4"/>
  <c r="Q27" i="4"/>
  <c r="P27" i="4"/>
  <c r="U27" i="4" s="1"/>
  <c r="V27" i="4" s="1"/>
  <c r="N27" i="4"/>
  <c r="D27" i="4"/>
  <c r="A27" i="4"/>
  <c r="Q26" i="4"/>
  <c r="P26" i="4"/>
  <c r="U26" i="4" s="1"/>
  <c r="V26" i="4" s="1"/>
  <c r="N26" i="4"/>
  <c r="D26" i="4"/>
  <c r="A26" i="4"/>
  <c r="Q25" i="4"/>
  <c r="P25" i="4"/>
  <c r="N25" i="4"/>
  <c r="A25" i="4"/>
  <c r="Q24" i="4"/>
  <c r="P24" i="4"/>
  <c r="N24" i="4"/>
  <c r="D24" i="4"/>
  <c r="A24" i="4"/>
  <c r="Q23" i="4"/>
  <c r="P23" i="4"/>
  <c r="U23" i="4" s="1"/>
  <c r="N23" i="4"/>
  <c r="D23" i="4"/>
  <c r="B23" i="4"/>
  <c r="A23" i="4"/>
  <c r="Q22" i="4"/>
  <c r="P22" i="4"/>
  <c r="S22" i="4" s="1"/>
  <c r="N22" i="4"/>
  <c r="B22" i="4"/>
  <c r="A22" i="4"/>
  <c r="Q21" i="4"/>
  <c r="P21" i="4"/>
  <c r="N21" i="4"/>
  <c r="D21" i="4"/>
  <c r="A21" i="4"/>
  <c r="Q20" i="4"/>
  <c r="P20" i="4"/>
  <c r="N20" i="4"/>
  <c r="D20" i="4"/>
  <c r="B20" i="4"/>
  <c r="A20" i="4"/>
  <c r="Q19" i="4"/>
  <c r="P19" i="4"/>
  <c r="S19" i="4" s="1"/>
  <c r="N19" i="4"/>
  <c r="D19" i="4"/>
  <c r="A19" i="4"/>
  <c r="Q18" i="4"/>
  <c r="P18" i="4"/>
  <c r="U18" i="4" s="1"/>
  <c r="V18" i="4" s="1"/>
  <c r="N18" i="4"/>
  <c r="A18" i="4"/>
  <c r="Q17" i="4"/>
  <c r="P17" i="4"/>
  <c r="S17" i="4" s="1"/>
  <c r="N17" i="4"/>
  <c r="A17" i="4"/>
  <c r="Q16" i="4"/>
  <c r="P16" i="4"/>
  <c r="U16" i="4" s="1"/>
  <c r="N16" i="4"/>
  <c r="A16" i="4"/>
  <c r="Q15" i="4"/>
  <c r="P15" i="4"/>
  <c r="U15" i="4" s="1"/>
  <c r="V15" i="4" s="1"/>
  <c r="N15" i="4"/>
  <c r="B15" i="4"/>
  <c r="A15" i="4"/>
  <c r="Q14" i="4"/>
  <c r="P14" i="4"/>
  <c r="N14" i="4"/>
  <c r="D14" i="4"/>
  <c r="B14" i="4"/>
  <c r="A14" i="4"/>
  <c r="AJ13" i="4"/>
  <c r="AU13" i="4" s="1"/>
  <c r="AI13" i="4"/>
  <c r="AT13" i="4" s="1"/>
  <c r="AH13" i="4"/>
  <c r="AS13" i="4" s="1"/>
  <c r="AG13" i="4"/>
  <c r="AR13" i="4" s="1"/>
  <c r="AF13" i="4"/>
  <c r="AQ13" i="4" s="1"/>
  <c r="AE13" i="4"/>
  <c r="AP13" i="4" s="1"/>
  <c r="AD13" i="4"/>
  <c r="AO13" i="4" s="1"/>
  <c r="AC13" i="4"/>
  <c r="AN13" i="4" s="1"/>
  <c r="AB13" i="4"/>
  <c r="AM13" i="4" s="1"/>
  <c r="AA13" i="4"/>
  <c r="AL13" i="4" s="1"/>
  <c r="Q13" i="4"/>
  <c r="P13" i="4"/>
  <c r="N13" i="4"/>
  <c r="D13" i="4"/>
  <c r="A13" i="4"/>
  <c r="AJ12" i="4"/>
  <c r="AU12" i="4" s="1"/>
  <c r="AI12" i="4"/>
  <c r="AT12" i="4" s="1"/>
  <c r="AH12" i="4"/>
  <c r="AS12" i="4" s="1"/>
  <c r="AG12" i="4"/>
  <c r="AR12" i="4" s="1"/>
  <c r="AF12" i="4"/>
  <c r="AQ12" i="4" s="1"/>
  <c r="AE12" i="4"/>
  <c r="AP12" i="4" s="1"/>
  <c r="AD12" i="4"/>
  <c r="AO12" i="4" s="1"/>
  <c r="AC12" i="4"/>
  <c r="AN12" i="4" s="1"/>
  <c r="AB12" i="4"/>
  <c r="AM12" i="4" s="1"/>
  <c r="AA12" i="4"/>
  <c r="AL12" i="4" s="1"/>
  <c r="Q12" i="4"/>
  <c r="P12" i="4"/>
  <c r="S12" i="4" s="1"/>
  <c r="N12" i="4"/>
  <c r="D12" i="4"/>
  <c r="A12" i="4"/>
  <c r="AJ11" i="4"/>
  <c r="AU11" i="4" s="1"/>
  <c r="AI11" i="4"/>
  <c r="AT11" i="4" s="1"/>
  <c r="AH11" i="4"/>
  <c r="AS11" i="4" s="1"/>
  <c r="AG11" i="4"/>
  <c r="AR11" i="4" s="1"/>
  <c r="AF11" i="4"/>
  <c r="AQ11" i="4" s="1"/>
  <c r="AE11" i="4"/>
  <c r="AP11" i="4" s="1"/>
  <c r="AD11" i="4"/>
  <c r="AO11" i="4" s="1"/>
  <c r="AC11" i="4"/>
  <c r="AN11" i="4" s="1"/>
  <c r="AB11" i="4"/>
  <c r="AM11" i="4" s="1"/>
  <c r="AA11" i="4"/>
  <c r="AL11" i="4" s="1"/>
  <c r="Q11" i="4"/>
  <c r="P11" i="4"/>
  <c r="S11" i="4" s="1"/>
  <c r="N11" i="4"/>
  <c r="D11" i="4"/>
  <c r="A11" i="4"/>
  <c r="AJ10" i="4"/>
  <c r="AU10" i="4" s="1"/>
  <c r="AI10" i="4"/>
  <c r="AT10" i="4" s="1"/>
  <c r="AH10" i="4"/>
  <c r="AS10" i="4" s="1"/>
  <c r="AG10" i="4"/>
  <c r="AR10" i="4" s="1"/>
  <c r="AF10" i="4"/>
  <c r="AQ10" i="4" s="1"/>
  <c r="AE10" i="4"/>
  <c r="AP10" i="4" s="1"/>
  <c r="AD10" i="4"/>
  <c r="AO10" i="4" s="1"/>
  <c r="AC10" i="4"/>
  <c r="AN10" i="4" s="1"/>
  <c r="AB10" i="4"/>
  <c r="AM10" i="4" s="1"/>
  <c r="AA10" i="4"/>
  <c r="AL10" i="4" s="1"/>
  <c r="Q10" i="4"/>
  <c r="P10" i="4"/>
  <c r="S10" i="4" s="1"/>
  <c r="N10" i="4"/>
  <c r="D10" i="4"/>
  <c r="A10" i="4"/>
  <c r="AJ9" i="4"/>
  <c r="AU9" i="4" s="1"/>
  <c r="AI9" i="4"/>
  <c r="AT9" i="4" s="1"/>
  <c r="AH9" i="4"/>
  <c r="AS9" i="4" s="1"/>
  <c r="AG9" i="4"/>
  <c r="AR9" i="4" s="1"/>
  <c r="AF9" i="4"/>
  <c r="AQ9" i="4" s="1"/>
  <c r="AE9" i="4"/>
  <c r="AP9" i="4" s="1"/>
  <c r="AD9" i="4"/>
  <c r="AO9" i="4" s="1"/>
  <c r="AC9" i="4"/>
  <c r="AN9" i="4" s="1"/>
  <c r="AB9" i="4"/>
  <c r="AM9" i="4" s="1"/>
  <c r="AA9" i="4"/>
  <c r="AL9" i="4" s="1"/>
  <c r="Q9" i="4"/>
  <c r="P9" i="4"/>
  <c r="N9" i="4"/>
  <c r="A9" i="4"/>
  <c r="Q8" i="4"/>
  <c r="P8" i="4"/>
  <c r="U8" i="4" s="1"/>
  <c r="N8" i="4"/>
  <c r="D8" i="4"/>
  <c r="B8" i="4"/>
  <c r="A8" i="4"/>
  <c r="Q7" i="4"/>
  <c r="P7" i="4"/>
  <c r="U7" i="4" s="1"/>
  <c r="V7" i="4" s="1"/>
  <c r="N7" i="4"/>
  <c r="D7" i="4"/>
  <c r="A7" i="4"/>
  <c r="Q6" i="4"/>
  <c r="P6" i="4"/>
  <c r="U6" i="4" s="1"/>
  <c r="V6" i="4" s="1"/>
  <c r="N6" i="4"/>
  <c r="A6" i="4"/>
  <c r="Q5" i="4"/>
  <c r="P5" i="4"/>
  <c r="S5" i="4" s="1"/>
  <c r="N5" i="4"/>
  <c r="D5" i="4"/>
  <c r="A5" i="4"/>
  <c r="AJ4" i="4"/>
  <c r="AU4" i="4" s="1"/>
  <c r="AI4" i="4"/>
  <c r="AT4" i="4" s="1"/>
  <c r="AH4" i="4"/>
  <c r="AS4" i="4" s="1"/>
  <c r="AG4" i="4"/>
  <c r="AR4" i="4" s="1"/>
  <c r="AF4" i="4"/>
  <c r="AQ4" i="4" s="1"/>
  <c r="AE4" i="4"/>
  <c r="AP4" i="4" s="1"/>
  <c r="AD4" i="4"/>
  <c r="AO4" i="4" s="1"/>
  <c r="AC4" i="4"/>
  <c r="AN4" i="4" s="1"/>
  <c r="AB4" i="4"/>
  <c r="AM4" i="4" s="1"/>
  <c r="AA4" i="4"/>
  <c r="AL4" i="4" s="1"/>
  <c r="Q4" i="4"/>
  <c r="P4" i="4"/>
  <c r="U4" i="4" s="1"/>
  <c r="N4" i="4"/>
  <c r="D4" i="4"/>
  <c r="A4" i="4"/>
  <c r="AJ3" i="4"/>
  <c r="AU3" i="4" s="1"/>
  <c r="AI3" i="4"/>
  <c r="AT3" i="4" s="1"/>
  <c r="AH3" i="4"/>
  <c r="AS3" i="4" s="1"/>
  <c r="AG3" i="4"/>
  <c r="AR3" i="4" s="1"/>
  <c r="AF3" i="4"/>
  <c r="AQ3" i="4" s="1"/>
  <c r="AE3" i="4"/>
  <c r="AP3" i="4" s="1"/>
  <c r="AD3" i="4"/>
  <c r="AO3" i="4" s="1"/>
  <c r="AC3" i="4"/>
  <c r="AN3" i="4" s="1"/>
  <c r="AB3" i="4"/>
  <c r="AM3" i="4" s="1"/>
  <c r="AA3" i="4"/>
  <c r="AL3" i="4" s="1"/>
  <c r="Q3" i="4"/>
  <c r="P3" i="4"/>
  <c r="U3" i="4" s="1"/>
  <c r="V3" i="4" s="1"/>
  <c r="N3" i="4"/>
  <c r="D3" i="4"/>
  <c r="A3" i="4"/>
  <c r="R13" i="7" l="1"/>
  <c r="N53" i="7"/>
  <c r="M8" i="7"/>
  <c r="Q45" i="7"/>
  <c r="R62" i="7"/>
  <c r="R75" i="7"/>
  <c r="K53" i="7"/>
  <c r="X28" i="7"/>
  <c r="R30" i="7"/>
  <c r="R70" i="7"/>
  <c r="R81" i="7"/>
  <c r="R53" i="7"/>
  <c r="R76" i="7"/>
  <c r="R83" i="7"/>
  <c r="R85" i="7"/>
  <c r="R74" i="7"/>
  <c r="R7" i="7"/>
  <c r="P9" i="7"/>
  <c r="R67" i="7"/>
  <c r="T27" i="7"/>
  <c r="J40" i="7"/>
  <c r="O53" i="7"/>
  <c r="S32" i="7"/>
  <c r="R78" i="7"/>
  <c r="U13" i="7"/>
  <c r="R45" i="7"/>
  <c r="V28" i="7"/>
  <c r="R29" i="7"/>
  <c r="W55" i="7"/>
  <c r="R79" i="7"/>
  <c r="R80" i="7"/>
  <c r="H41" i="7"/>
  <c r="R64" i="7"/>
  <c r="I57" i="7"/>
  <c r="R34" i="7"/>
  <c r="R20" i="7"/>
  <c r="R61" i="7"/>
  <c r="R24" i="7"/>
  <c r="R22" i="7"/>
  <c r="R71" i="7"/>
  <c r="R84" i="7"/>
  <c r="R41" i="7"/>
  <c r="R55" i="7"/>
  <c r="R21" i="7"/>
  <c r="R49" i="7"/>
  <c r="R40" i="7"/>
  <c r="R17" i="7"/>
  <c r="R19" i="7"/>
  <c r="R36" i="7"/>
  <c r="R12" i="7"/>
  <c r="R25" i="7"/>
  <c r="R31" i="7"/>
  <c r="R59" i="7"/>
  <c r="R32" i="7"/>
  <c r="R18" i="7"/>
  <c r="R39" i="7"/>
  <c r="R43" i="7"/>
  <c r="R37" i="7"/>
  <c r="R35" i="7"/>
  <c r="R51" i="7"/>
  <c r="J4" i="6"/>
  <c r="R10" i="7"/>
  <c r="R44" i="7"/>
  <c r="R11" i="7"/>
  <c r="R46" i="7"/>
  <c r="R9" i="7"/>
  <c r="R14" i="7"/>
  <c r="R16" i="7"/>
  <c r="R27" i="7"/>
  <c r="R47" i="7"/>
  <c r="R8" i="7"/>
  <c r="R57" i="7"/>
  <c r="R66" i="7"/>
  <c r="R23" i="7"/>
  <c r="R68" i="7"/>
  <c r="G5" i="6"/>
  <c r="D5" i="6"/>
  <c r="U43" i="4"/>
  <c r="V43" i="4" s="1"/>
  <c r="X43" i="4" s="1"/>
  <c r="S55" i="4"/>
  <c r="X55" i="4" s="1"/>
  <c r="S48" i="4"/>
  <c r="X48" i="4" s="1"/>
  <c r="S15" i="4"/>
  <c r="X15" i="4" s="1"/>
  <c r="S29" i="4"/>
  <c r="X29" i="4" s="1"/>
  <c r="S27" i="4"/>
  <c r="X27" i="4" s="1"/>
  <c r="S82" i="4"/>
  <c r="X82" i="4" s="1"/>
  <c r="U22" i="4"/>
  <c r="V22" i="4" s="1"/>
  <c r="X22" i="4" s="1"/>
  <c r="U10" i="4"/>
  <c r="V10" i="4" s="1"/>
  <c r="X10" i="4" s="1"/>
  <c r="S77" i="4"/>
  <c r="X77" i="4" s="1"/>
  <c r="U39" i="4"/>
  <c r="V39" i="4" s="1"/>
  <c r="X39" i="4" s="1"/>
  <c r="S37" i="4"/>
  <c r="X37" i="4" s="1"/>
  <c r="U51" i="4"/>
  <c r="V51" i="4" s="1"/>
  <c r="X51" i="4" s="1"/>
  <c r="U67" i="4"/>
  <c r="V67" i="4" s="1"/>
  <c r="X67" i="4" s="1"/>
  <c r="S44" i="4"/>
  <c r="U12" i="4"/>
  <c r="V12" i="4" s="1"/>
  <c r="X12" i="4" s="1"/>
  <c r="V44" i="4"/>
  <c r="U75" i="4"/>
  <c r="V75" i="4" s="1"/>
  <c r="X75" i="4" s="1"/>
  <c r="U47" i="4"/>
  <c r="V47" i="4" s="1"/>
  <c r="X47" i="4" s="1"/>
  <c r="S16" i="4"/>
  <c r="U30" i="4"/>
  <c r="V30" i="4" s="1"/>
  <c r="X30" i="4" s="1"/>
  <c r="U40" i="4"/>
  <c r="V40" i="4" s="1"/>
  <c r="X40" i="4" s="1"/>
  <c r="S54" i="4"/>
  <c r="X54" i="4" s="1"/>
  <c r="U83" i="4"/>
  <c r="V83" i="4" s="1"/>
  <c r="X83" i="4" s="1"/>
  <c r="V16" i="4"/>
  <c r="S26" i="4"/>
  <c r="X26" i="4" s="1"/>
  <c r="S52" i="4"/>
  <c r="U19" i="4"/>
  <c r="V19" i="4" s="1"/>
  <c r="X19" i="4" s="1"/>
  <c r="U36" i="4"/>
  <c r="V36" i="4" s="1"/>
  <c r="X36" i="4" s="1"/>
  <c r="U52" i="4"/>
  <c r="V52" i="4" s="1"/>
  <c r="S61" i="4"/>
  <c r="S66" i="4"/>
  <c r="X66" i="4" s="1"/>
  <c r="U85" i="4"/>
  <c r="V85" i="4" s="1"/>
  <c r="U61" i="4"/>
  <c r="V61" i="4" s="1"/>
  <c r="U11" i="4"/>
  <c r="V11" i="4" s="1"/>
  <c r="X11" i="4" s="1"/>
  <c r="S85" i="4"/>
  <c r="S69" i="4"/>
  <c r="X69" i="4" s="1"/>
  <c r="S74" i="4"/>
  <c r="X74" i="4" s="1"/>
  <c r="U20" i="4"/>
  <c r="V20" i="4" s="1"/>
  <c r="S31" i="4"/>
  <c r="S45" i="4"/>
  <c r="U79" i="4"/>
  <c r="V79" i="4" s="1"/>
  <c r="X79" i="4" s="1"/>
  <c r="U17" i="4"/>
  <c r="V17" i="4" s="1"/>
  <c r="X17" i="4" s="1"/>
  <c r="V23" i="4"/>
  <c r="S53" i="4"/>
  <c r="S60" i="4"/>
  <c r="S76" i="4"/>
  <c r="V87" i="4"/>
  <c r="U5" i="4"/>
  <c r="V5" i="4" s="1"/>
  <c r="X5" i="4" s="1"/>
  <c r="V8" i="4"/>
  <c r="U13" i="4"/>
  <c r="V13" i="4" s="1"/>
  <c r="S25" i="4"/>
  <c r="S3" i="4"/>
  <c r="X3" i="4" s="1"/>
  <c r="V4" i="4"/>
  <c r="S7" i="4"/>
  <c r="X7" i="4" s="1"/>
  <c r="U33" i="4"/>
  <c r="V33" i="4" s="1"/>
  <c r="X33" i="4" s="1"/>
  <c r="U62" i="4"/>
  <c r="V62" i="4" s="1"/>
  <c r="X62" i="4" s="1"/>
  <c r="U70" i="4"/>
  <c r="V70" i="4" s="1"/>
  <c r="X70" i="4" s="1"/>
  <c r="U78" i="4"/>
  <c r="V78" i="4" s="1"/>
  <c r="X78" i="4" s="1"/>
  <c r="U86" i="4"/>
  <c r="V86" i="4" s="1"/>
  <c r="X86" i="4" s="1"/>
  <c r="S21" i="4"/>
  <c r="S24" i="4"/>
  <c r="S38" i="4"/>
  <c r="U41" i="4"/>
  <c r="V41" i="4" s="1"/>
  <c r="X41" i="4" s="1"/>
  <c r="U49" i="4"/>
  <c r="V49" i="4" s="1"/>
  <c r="X49" i="4" s="1"/>
  <c r="S64" i="4"/>
  <c r="S72" i="4"/>
  <c r="S80" i="4"/>
  <c r="S88" i="4"/>
  <c r="S18" i="4"/>
  <c r="X18" i="4" s="1"/>
  <c r="U21" i="4"/>
  <c r="V21" i="4" s="1"/>
  <c r="U24" i="4"/>
  <c r="V24" i="4" s="1"/>
  <c r="S32" i="4"/>
  <c r="X32" i="4" s="1"/>
  <c r="S35" i="4"/>
  <c r="X35" i="4" s="1"/>
  <c r="U38" i="4"/>
  <c r="V38" i="4" s="1"/>
  <c r="S46" i="4"/>
  <c r="X46" i="4" s="1"/>
  <c r="U64" i="4"/>
  <c r="V64" i="4" s="1"/>
  <c r="U72" i="4"/>
  <c r="V72" i="4" s="1"/>
  <c r="U80" i="4"/>
  <c r="V80" i="4" s="1"/>
  <c r="U88" i="4"/>
  <c r="V88" i="4" s="1"/>
  <c r="S34" i="4"/>
  <c r="U9" i="4"/>
  <c r="V9" i="4" s="1"/>
  <c r="S87" i="4"/>
  <c r="U71" i="4"/>
  <c r="V71" i="4" s="1"/>
  <c r="X71" i="4" s="1"/>
  <c r="S9" i="4"/>
  <c r="S6" i="4"/>
  <c r="X6" i="4" s="1"/>
  <c r="S13" i="4"/>
  <c r="U14" i="4"/>
  <c r="V14" i="4" s="1"/>
  <c r="S28" i="4"/>
  <c r="V31" i="4"/>
  <c r="V34" i="4"/>
  <c r="S42" i="4"/>
  <c r="V45" i="4"/>
  <c r="S50" i="4"/>
  <c r="U53" i="4"/>
  <c r="V53" i="4" s="1"/>
  <c r="U60" i="4"/>
  <c r="V60" i="4" s="1"/>
  <c r="U68" i="4"/>
  <c r="V68" i="4" s="1"/>
  <c r="U76" i="4"/>
  <c r="V76" i="4" s="1"/>
  <c r="U84" i="4"/>
  <c r="V84" i="4" s="1"/>
  <c r="X84" i="4" s="1"/>
  <c r="S20" i="4"/>
  <c r="S63" i="4"/>
  <c r="S8" i="4"/>
  <c r="S68" i="4"/>
  <c r="U28" i="4"/>
  <c r="V28" i="4" s="1"/>
  <c r="U42" i="4"/>
  <c r="V42" i="4" s="1"/>
  <c r="U50" i="4"/>
  <c r="V50" i="4" s="1"/>
  <c r="S65" i="4"/>
  <c r="S73" i="4"/>
  <c r="S81" i="4"/>
  <c r="S23" i="4"/>
  <c r="U63" i="4"/>
  <c r="V63" i="4" s="1"/>
  <c r="S14" i="4"/>
  <c r="S4" i="4"/>
  <c r="U25" i="4"/>
  <c r="V25" i="4" s="1"/>
  <c r="U65" i="4"/>
  <c r="V65" i="4" s="1"/>
  <c r="U73" i="4"/>
  <c r="V73" i="4" s="1"/>
  <c r="U81" i="4"/>
  <c r="V81" i="4" s="1"/>
  <c r="X10" i="7" l="1"/>
  <c r="X68" i="7"/>
  <c r="X32" i="7"/>
  <c r="M53" i="7"/>
  <c r="P51" i="7"/>
  <c r="M37" i="7"/>
  <c r="P7" i="7"/>
  <c r="P27" i="7"/>
  <c r="M10" i="7"/>
  <c r="P30" i="7"/>
  <c r="P49" i="7"/>
  <c r="M72" i="7"/>
  <c r="P11" i="7"/>
  <c r="M55" i="7"/>
  <c r="H71" i="7"/>
  <c r="P14" i="7"/>
  <c r="M64" i="7"/>
  <c r="H34" i="7"/>
  <c r="X9" i="7"/>
  <c r="M48" i="7"/>
  <c r="X54" i="7"/>
  <c r="X77" i="7"/>
  <c r="P46" i="7"/>
  <c r="L7" i="7"/>
  <c r="M19" i="7"/>
  <c r="H59" i="7"/>
  <c r="H29" i="7"/>
  <c r="H49" i="7"/>
  <c r="X41" i="7"/>
  <c r="H27" i="7"/>
  <c r="H25" i="7"/>
  <c r="H57" i="7"/>
  <c r="K35" i="7"/>
  <c r="K64" i="7"/>
  <c r="M57" i="7"/>
  <c r="P37" i="7"/>
  <c r="T26" i="7"/>
  <c r="M41" i="7"/>
  <c r="P55" i="7"/>
  <c r="Q12" i="7"/>
  <c r="Q10" i="7"/>
  <c r="Q30" i="7"/>
  <c r="Q39" i="7"/>
  <c r="Q64" i="7"/>
  <c r="Q47" i="7"/>
  <c r="Q55" i="7"/>
  <c r="Q71" i="7"/>
  <c r="I34" i="7"/>
  <c r="P35" i="7"/>
  <c r="P12" i="7"/>
  <c r="T59" i="7"/>
  <c r="T13" i="7"/>
  <c r="N60" i="7"/>
  <c r="P10" i="7"/>
  <c r="M51" i="7"/>
  <c r="M25" i="7"/>
  <c r="M47" i="7"/>
  <c r="P45" i="7"/>
  <c r="M18" i="7"/>
  <c r="P31" i="7"/>
  <c r="M22" i="7"/>
  <c r="M32" i="7"/>
  <c r="X24" i="7"/>
  <c r="Q43" i="7"/>
  <c r="X70" i="7"/>
  <c r="Q20" i="7"/>
  <c r="Q7" i="7"/>
  <c r="M35" i="7"/>
  <c r="X30" i="7"/>
  <c r="K13" i="7"/>
  <c r="M23" i="7"/>
  <c r="P59" i="7"/>
  <c r="P64" i="7"/>
  <c r="M44" i="7"/>
  <c r="X18" i="7"/>
  <c r="P61" i="7"/>
  <c r="M16" i="7"/>
  <c r="Q17" i="7"/>
  <c r="P36" i="7"/>
  <c r="M13" i="7"/>
  <c r="M62" i="7"/>
  <c r="M21" i="7"/>
  <c r="M34" i="7"/>
  <c r="Q32" i="7"/>
  <c r="Q18" i="7"/>
  <c r="Q66" i="7"/>
  <c r="Q19" i="7"/>
  <c r="T47" i="7"/>
  <c r="Q79" i="7"/>
  <c r="T71" i="7"/>
  <c r="Q40" i="7"/>
  <c r="K32" i="7"/>
  <c r="Q84" i="7"/>
  <c r="K19" i="7"/>
  <c r="Q36" i="7"/>
  <c r="S18" i="7"/>
  <c r="K31" i="7"/>
  <c r="Q22" i="7"/>
  <c r="Q81" i="7"/>
  <c r="K25" i="7"/>
  <c r="K23" i="7"/>
  <c r="K27" i="7"/>
  <c r="Q27" i="7"/>
  <c r="K61" i="7"/>
  <c r="Q61" i="7"/>
  <c r="N31" i="7"/>
  <c r="S42" i="7"/>
  <c r="Q21" i="7"/>
  <c r="K12" i="7"/>
  <c r="Q25" i="7"/>
  <c r="J18" i="7"/>
  <c r="Q14" i="7"/>
  <c r="Q24" i="7"/>
  <c r="X40" i="7"/>
  <c r="X55" i="7"/>
  <c r="X51" i="7"/>
  <c r="X63" i="7"/>
  <c r="X64" i="7"/>
  <c r="X49" i="7"/>
  <c r="X59" i="7"/>
  <c r="X25" i="7"/>
  <c r="X69" i="7"/>
  <c r="X21" i="7"/>
  <c r="H61" i="7"/>
  <c r="H47" i="7"/>
  <c r="X12" i="7"/>
  <c r="X75" i="7"/>
  <c r="X47" i="7"/>
  <c r="X29" i="7"/>
  <c r="X79" i="7"/>
  <c r="V49" i="7"/>
  <c r="X36" i="7"/>
  <c r="X39" i="7"/>
  <c r="X44" i="7"/>
  <c r="V27" i="7"/>
  <c r="X71" i="7"/>
  <c r="X53" i="7"/>
  <c r="X17" i="7"/>
  <c r="X76" i="7"/>
  <c r="V57" i="7"/>
  <c r="V29" i="7"/>
  <c r="X34" i="7"/>
  <c r="X83" i="7"/>
  <c r="X46" i="7"/>
  <c r="X61" i="7"/>
  <c r="W40" i="7"/>
  <c r="V47" i="7"/>
  <c r="V34" i="7"/>
  <c r="X19" i="7"/>
  <c r="X23" i="7"/>
  <c r="V25" i="7"/>
  <c r="X45" i="7"/>
  <c r="X57" i="7"/>
  <c r="X27" i="7"/>
  <c r="X84" i="7"/>
  <c r="X31" i="7"/>
  <c r="X66" i="7"/>
  <c r="X43" i="7"/>
  <c r="X37" i="7"/>
  <c r="X62" i="7"/>
  <c r="X20" i="7"/>
  <c r="X67" i="7"/>
  <c r="X35" i="7"/>
  <c r="X85" i="7"/>
  <c r="X7" i="7"/>
  <c r="X74" i="7"/>
  <c r="X8" i="7"/>
  <c r="X14" i="7"/>
  <c r="X13" i="7"/>
  <c r="X16" i="7"/>
  <c r="X22" i="7"/>
  <c r="X11" i="7"/>
  <c r="S24" i="7"/>
  <c r="S23" i="7"/>
  <c r="L35" i="7"/>
  <c r="I35" i="7"/>
  <c r="Q38" i="7"/>
  <c r="Q35" i="7"/>
  <c r="Q23" i="7"/>
  <c r="T25" i="7"/>
  <c r="Q62" i="7"/>
  <c r="I64" i="7"/>
  <c r="Q46" i="7"/>
  <c r="Q37" i="7"/>
  <c r="Q34" i="7"/>
  <c r="Q31" i="7"/>
  <c r="T34" i="7"/>
  <c r="K37" i="7"/>
  <c r="N64" i="7"/>
  <c r="K51" i="7"/>
  <c r="Q11" i="7"/>
  <c r="Q68" i="7"/>
  <c r="S51" i="7"/>
  <c r="J41" i="7"/>
  <c r="Q29" i="7"/>
  <c r="Q70" i="7"/>
  <c r="Q44" i="7"/>
  <c r="K16" i="7"/>
  <c r="K59" i="7"/>
  <c r="Q8" i="7"/>
  <c r="Q53" i="7"/>
  <c r="Q41" i="7"/>
  <c r="Q13" i="7"/>
  <c r="Q59" i="7"/>
  <c r="K67" i="7"/>
  <c r="Q67" i="7"/>
  <c r="Q16" i="7"/>
  <c r="Q49" i="7"/>
  <c r="T41" i="7"/>
  <c r="I36" i="7"/>
  <c r="Q9" i="7"/>
  <c r="N40" i="7"/>
  <c r="K40" i="7"/>
  <c r="Q51" i="7"/>
  <c r="Q57" i="7"/>
  <c r="T29" i="7"/>
  <c r="J36" i="7"/>
  <c r="K8" i="7"/>
  <c r="S29" i="7"/>
  <c r="S55" i="7"/>
  <c r="N61" i="7"/>
  <c r="U55" i="7"/>
  <c r="N11" i="7"/>
  <c r="S44" i="7"/>
  <c r="S8" i="7"/>
  <c r="S10" i="7"/>
  <c r="L34" i="7"/>
  <c r="S41" i="7"/>
  <c r="N44" i="7"/>
  <c r="N22" i="7"/>
  <c r="O62" i="7"/>
  <c r="N47" i="7"/>
  <c r="N30" i="7"/>
  <c r="K44" i="7"/>
  <c r="K74" i="7"/>
  <c r="S35" i="7"/>
  <c r="N24" i="7"/>
  <c r="K45" i="7"/>
  <c r="S7" i="7"/>
  <c r="O79" i="7"/>
  <c r="N33" i="7"/>
  <c r="N18" i="7"/>
  <c r="U52" i="7"/>
  <c r="N57" i="7"/>
  <c r="O21" i="7"/>
  <c r="O27" i="7"/>
  <c r="N39" i="7"/>
  <c r="S57" i="7"/>
  <c r="N58" i="7"/>
  <c r="N46" i="7"/>
  <c r="K10" i="7"/>
  <c r="K28" i="7"/>
  <c r="N71" i="7"/>
  <c r="S16" i="7"/>
  <c r="S13" i="7"/>
  <c r="K34" i="7"/>
  <c r="N25" i="7"/>
  <c r="N41" i="7"/>
  <c r="N27" i="7"/>
  <c r="O84" i="7"/>
  <c r="O68" i="7"/>
  <c r="N16" i="7"/>
  <c r="L36" i="7"/>
  <c r="K38" i="7"/>
  <c r="K66" i="7"/>
  <c r="N10" i="7"/>
  <c r="S25" i="7"/>
  <c r="N59" i="7"/>
  <c r="S34" i="7"/>
  <c r="N34" i="7"/>
  <c r="N9" i="7"/>
  <c r="N23" i="7"/>
  <c r="S64" i="7"/>
  <c r="S36" i="7"/>
  <c r="N17" i="7"/>
  <c r="S19" i="7"/>
  <c r="J35" i="7"/>
  <c r="L47" i="7"/>
  <c r="K46" i="7"/>
  <c r="O44" i="7"/>
  <c r="O64" i="7"/>
  <c r="S43" i="7"/>
  <c r="L16" i="7"/>
  <c r="S47" i="7"/>
  <c r="S61" i="7"/>
  <c r="S17" i="7"/>
  <c r="O25" i="7"/>
  <c r="N68" i="7"/>
  <c r="S21" i="7"/>
  <c r="T49" i="7"/>
  <c r="O67" i="7"/>
  <c r="W32" i="7"/>
  <c r="L27" i="7"/>
  <c r="K43" i="7"/>
  <c r="K84" i="7"/>
  <c r="S22" i="7"/>
  <c r="S27" i="7"/>
  <c r="S9" i="7"/>
  <c r="U16" i="7"/>
  <c r="L62" i="7"/>
  <c r="W12" i="7"/>
  <c r="W34" i="7"/>
  <c r="J51" i="7"/>
  <c r="W10" i="7"/>
  <c r="L41" i="7"/>
  <c r="L70" i="7"/>
  <c r="L10" i="7"/>
  <c r="L18" i="7"/>
  <c r="U57" i="7"/>
  <c r="L17" i="7"/>
  <c r="W78" i="7"/>
  <c r="L29" i="7"/>
  <c r="L56" i="7"/>
  <c r="J59" i="7"/>
  <c r="W71" i="7"/>
  <c r="I61" i="7"/>
  <c r="W23" i="7"/>
  <c r="L11" i="7"/>
  <c r="K49" i="7"/>
  <c r="K62" i="7"/>
  <c r="K39" i="7"/>
  <c r="W51" i="7"/>
  <c r="W11" i="7"/>
  <c r="T57" i="7"/>
  <c r="W14" i="7"/>
  <c r="O12" i="7"/>
  <c r="W17" i="7"/>
  <c r="L8" i="7"/>
  <c r="W21" i="7"/>
  <c r="L24" i="7"/>
  <c r="J64" i="7"/>
  <c r="I70" i="7"/>
  <c r="W16" i="7"/>
  <c r="L19" i="7"/>
  <c r="K21" i="7"/>
  <c r="K70" i="7"/>
  <c r="W7" i="7"/>
  <c r="U49" i="7"/>
  <c r="K29" i="7"/>
  <c r="W44" i="7"/>
  <c r="L81" i="7"/>
  <c r="I21" i="7"/>
  <c r="W43" i="7"/>
  <c r="W27" i="7"/>
  <c r="I17" i="7"/>
  <c r="J44" i="7"/>
  <c r="W66" i="7"/>
  <c r="N62" i="7"/>
  <c r="L40" i="7"/>
  <c r="K41" i="7"/>
  <c r="K17" i="7"/>
  <c r="U27" i="7"/>
  <c r="O51" i="7"/>
  <c r="O40" i="7"/>
  <c r="L49" i="7"/>
  <c r="L68" i="7"/>
  <c r="W59" i="7"/>
  <c r="W46" i="7"/>
  <c r="W64" i="7"/>
  <c r="L21" i="7"/>
  <c r="U9" i="7"/>
  <c r="L32" i="7"/>
  <c r="W70" i="7"/>
  <c r="L45" i="7"/>
  <c r="W30" i="7"/>
  <c r="W37" i="7"/>
  <c r="L51" i="7"/>
  <c r="W62" i="7"/>
  <c r="W36" i="7"/>
  <c r="W84" i="7"/>
  <c r="J45" i="7"/>
  <c r="W45" i="7"/>
  <c r="L64" i="7"/>
  <c r="L59" i="7"/>
  <c r="L23" i="7"/>
  <c r="W18" i="7"/>
  <c r="L31" i="7"/>
  <c r="U35" i="7"/>
  <c r="W22" i="7"/>
  <c r="W61" i="7"/>
  <c r="L61" i="7"/>
  <c r="K71" i="7"/>
  <c r="J12" i="7"/>
  <c r="W38" i="7"/>
  <c r="N70" i="7"/>
  <c r="O66" i="7"/>
  <c r="L22" i="7"/>
  <c r="K24" i="7"/>
  <c r="K36" i="7"/>
  <c r="W9" i="7"/>
  <c r="U21" i="7"/>
  <c r="K18" i="7"/>
  <c r="N32" i="7"/>
  <c r="S59" i="7"/>
  <c r="W25" i="7"/>
  <c r="O74" i="7"/>
  <c r="O22" i="7"/>
  <c r="N55" i="7"/>
  <c r="L53" i="7"/>
  <c r="W68" i="7"/>
  <c r="L9" i="7"/>
  <c r="W53" i="7"/>
  <c r="W35" i="7"/>
  <c r="I47" i="7"/>
  <c r="W19" i="7"/>
  <c r="W49" i="7"/>
  <c r="N21" i="7"/>
  <c r="W8" i="7"/>
  <c r="W29" i="7"/>
  <c r="J53" i="7"/>
  <c r="J71" i="7"/>
  <c r="L30" i="7"/>
  <c r="K57" i="7"/>
  <c r="K11" i="7"/>
  <c r="O9" i="7"/>
  <c r="U29" i="7"/>
  <c r="W39" i="7"/>
  <c r="W57" i="7"/>
  <c r="L66" i="7"/>
  <c r="L13" i="7"/>
  <c r="L43" i="7"/>
  <c r="U7" i="7"/>
  <c r="U10" i="7"/>
  <c r="U22" i="7"/>
  <c r="W47" i="7"/>
  <c r="L67" i="7"/>
  <c r="L25" i="7"/>
  <c r="L74" i="7"/>
  <c r="L71" i="7"/>
  <c r="W67" i="7"/>
  <c r="U59" i="7"/>
  <c r="N19" i="7"/>
  <c r="N45" i="7"/>
  <c r="K55" i="7"/>
  <c r="L38" i="7"/>
  <c r="K14" i="7"/>
  <c r="U34" i="7"/>
  <c r="O10" i="7"/>
  <c r="J39" i="7"/>
  <c r="O46" i="7"/>
  <c r="W31" i="7"/>
  <c r="L57" i="7"/>
  <c r="O55" i="7"/>
  <c r="K7" i="7"/>
  <c r="N8" i="7"/>
  <c r="L44" i="7"/>
  <c r="W13" i="7"/>
  <c r="I27" i="7"/>
  <c r="L55" i="7"/>
  <c r="K47" i="7"/>
  <c r="L46" i="7"/>
  <c r="K20" i="7"/>
  <c r="K30" i="7"/>
  <c r="L84" i="7"/>
  <c r="K9" i="7"/>
  <c r="U47" i="7"/>
  <c r="L39" i="7"/>
  <c r="O17" i="7"/>
  <c r="W41" i="7"/>
  <c r="J14" i="7"/>
  <c r="J68" i="7"/>
  <c r="J13" i="7"/>
  <c r="J79" i="7"/>
  <c r="J11" i="7"/>
  <c r="I43" i="7"/>
  <c r="I10" i="7"/>
  <c r="O23" i="7"/>
  <c r="O47" i="7"/>
  <c r="O18" i="7"/>
  <c r="U11" i="7"/>
  <c r="U37" i="7"/>
  <c r="O32" i="7"/>
  <c r="I62" i="7"/>
  <c r="O14" i="7"/>
  <c r="O41" i="7"/>
  <c r="I13" i="7"/>
  <c r="J19" i="7"/>
  <c r="J57" i="7"/>
  <c r="I51" i="7"/>
  <c r="I71" i="7"/>
  <c r="O31" i="7"/>
  <c r="U44" i="7"/>
  <c r="U45" i="7"/>
  <c r="I44" i="7"/>
  <c r="O37" i="7"/>
  <c r="O39" i="7"/>
  <c r="J49" i="7"/>
  <c r="O13" i="7"/>
  <c r="I68" i="7"/>
  <c r="O24" i="7"/>
  <c r="O34" i="7"/>
  <c r="J70" i="7"/>
  <c r="J27" i="7"/>
  <c r="I59" i="7"/>
  <c r="J55" i="7"/>
  <c r="I16" i="7"/>
  <c r="U64" i="7"/>
  <c r="U61" i="7"/>
  <c r="J46" i="7"/>
  <c r="I8" i="7"/>
  <c r="J84" i="7"/>
  <c r="J61" i="7"/>
  <c r="I32" i="7"/>
  <c r="J43" i="7"/>
  <c r="I37" i="7"/>
  <c r="J47" i="7"/>
  <c r="O16" i="7"/>
  <c r="U32" i="7"/>
  <c r="U39" i="7"/>
  <c r="J7" i="7"/>
  <c r="O61" i="7"/>
  <c r="I55" i="7"/>
  <c r="M24" i="7"/>
  <c r="M29" i="7"/>
  <c r="J67" i="7"/>
  <c r="J20" i="7"/>
  <c r="J75" i="7"/>
  <c r="I24" i="7"/>
  <c r="J21" i="7"/>
  <c r="U41" i="7"/>
  <c r="U46" i="7"/>
  <c r="J10" i="7"/>
  <c r="N35" i="7"/>
  <c r="N43" i="7"/>
  <c r="I7" i="7"/>
  <c r="M36" i="7"/>
  <c r="M38" i="7"/>
  <c r="N13" i="7"/>
  <c r="I22" i="7"/>
  <c r="J62" i="7"/>
  <c r="I38" i="7"/>
  <c r="I41" i="7"/>
  <c r="J34" i="7"/>
  <c r="J8" i="7"/>
  <c r="U51" i="7"/>
  <c r="U18" i="7"/>
  <c r="O11" i="7"/>
  <c r="O35" i="7"/>
  <c r="O43" i="7"/>
  <c r="O36" i="7"/>
  <c r="O30" i="7"/>
  <c r="J30" i="7"/>
  <c r="J74" i="7"/>
  <c r="O29" i="7"/>
  <c r="J23" i="7"/>
  <c r="J25" i="7"/>
  <c r="I29" i="7"/>
  <c r="J16" i="7"/>
  <c r="I23" i="7"/>
  <c r="U24" i="7"/>
  <c r="U25" i="7"/>
  <c r="I18" i="7"/>
  <c r="J31" i="7"/>
  <c r="O8" i="7"/>
  <c r="J24" i="7"/>
  <c r="J17" i="7"/>
  <c r="U31" i="7"/>
  <c r="U30" i="7"/>
  <c r="M43" i="7"/>
  <c r="M7" i="7"/>
  <c r="I25" i="7"/>
  <c r="O19" i="7"/>
  <c r="M74" i="7"/>
  <c r="I9" i="7"/>
  <c r="J22" i="7"/>
  <c r="J29" i="7"/>
  <c r="M70" i="7"/>
  <c r="J32" i="7"/>
  <c r="O57" i="7"/>
  <c r="U67" i="7"/>
  <c r="U43" i="7"/>
  <c r="M27" i="7"/>
  <c r="O7" i="7"/>
  <c r="N66" i="7"/>
  <c r="N29" i="7"/>
  <c r="J9" i="7"/>
  <c r="U23" i="7"/>
  <c r="J66" i="7"/>
  <c r="O49" i="7"/>
  <c r="I19" i="7"/>
  <c r="M59" i="7"/>
  <c r="M9" i="7"/>
  <c r="U19" i="7"/>
  <c r="N7" i="7"/>
  <c r="O45" i="7"/>
  <c r="O71" i="7"/>
  <c r="O59" i="7"/>
  <c r="K56" i="7"/>
  <c r="L50" i="7"/>
  <c r="W56" i="7"/>
  <c r="T60" i="7"/>
  <c r="L60" i="7"/>
  <c r="K52" i="7"/>
  <c r="V73" i="7"/>
  <c r="X73" i="7"/>
  <c r="W42" i="7"/>
  <c r="N73" i="7"/>
  <c r="L33" i="7"/>
  <c r="J52" i="7"/>
  <c r="X42" i="7"/>
  <c r="Q42" i="7"/>
  <c r="Q50" i="7"/>
  <c r="R15" i="7"/>
  <c r="W15" i="7"/>
  <c r="J15" i="7"/>
  <c r="I15" i="7"/>
  <c r="N15" i="7"/>
  <c r="O15" i="7"/>
  <c r="M15" i="7"/>
  <c r="L15" i="7"/>
  <c r="Q15" i="7"/>
  <c r="O73" i="7"/>
  <c r="J73" i="7"/>
  <c r="I73" i="7"/>
  <c r="R73" i="7"/>
  <c r="W50" i="7"/>
  <c r="H73" i="7"/>
  <c r="J48" i="7"/>
  <c r="W58" i="7"/>
  <c r="Q73" i="7"/>
  <c r="T48" i="7"/>
  <c r="U65" i="7"/>
  <c r="U15" i="7"/>
  <c r="H48" i="7"/>
  <c r="Q65" i="7"/>
  <c r="H58" i="7"/>
  <c r="Q72" i="7"/>
  <c r="J58" i="7"/>
  <c r="W73" i="7"/>
  <c r="L73" i="7"/>
  <c r="J65" i="7"/>
  <c r="X72" i="7"/>
  <c r="R50" i="7"/>
  <c r="N50" i="7"/>
  <c r="M50" i="7"/>
  <c r="K50" i="7"/>
  <c r="J50" i="7"/>
  <c r="O50" i="7"/>
  <c r="X50" i="7"/>
  <c r="N56" i="7"/>
  <c r="W72" i="7"/>
  <c r="Q52" i="7"/>
  <c r="R58" i="7"/>
  <c r="O58" i="7"/>
  <c r="M58" i="7"/>
  <c r="L58" i="7"/>
  <c r="K58" i="7"/>
  <c r="K15" i="7"/>
  <c r="Q58" i="7"/>
  <c r="Q54" i="7"/>
  <c r="I58" i="7"/>
  <c r="O60" i="7"/>
  <c r="M60" i="7"/>
  <c r="W60" i="7"/>
  <c r="I60" i="7"/>
  <c r="H60" i="7"/>
  <c r="K60" i="7"/>
  <c r="M33" i="7"/>
  <c r="R33" i="7"/>
  <c r="O33" i="7"/>
  <c r="W33" i="7"/>
  <c r="X33" i="7"/>
  <c r="J33" i="7"/>
  <c r="I33" i="7"/>
  <c r="L48" i="7"/>
  <c r="K63" i="7"/>
  <c r="K73" i="7"/>
  <c r="Q33" i="7"/>
  <c r="Q60" i="7"/>
  <c r="T15" i="7"/>
  <c r="S52" i="7"/>
  <c r="O65" i="7"/>
  <c r="X65" i="7"/>
  <c r="W65" i="7"/>
  <c r="L65" i="7"/>
  <c r="R65" i="7"/>
  <c r="I56" i="7"/>
  <c r="X15" i="7"/>
  <c r="S60" i="7"/>
  <c r="S58" i="7"/>
  <c r="W48" i="7"/>
  <c r="R56" i="7"/>
  <c r="O56" i="7"/>
  <c r="M56" i="7"/>
  <c r="T73" i="7"/>
  <c r="S15" i="7"/>
  <c r="S73" i="7"/>
  <c r="X58" i="7"/>
  <c r="I50" i="7"/>
  <c r="K65" i="7"/>
  <c r="U50" i="7"/>
  <c r="N42" i="7"/>
  <c r="M42" i="7"/>
  <c r="K42" i="7"/>
  <c r="J42" i="7"/>
  <c r="I42" i="7"/>
  <c r="R42" i="7"/>
  <c r="P42" i="7"/>
  <c r="O42" i="7"/>
  <c r="R52" i="7"/>
  <c r="I52" i="7"/>
  <c r="M52" i="7"/>
  <c r="X52" i="7"/>
  <c r="X23" i="4"/>
  <c r="X13" i="4"/>
  <c r="X65" i="4"/>
  <c r="X85" i="4"/>
  <c r="X25" i="4"/>
  <c r="X63" i="4"/>
  <c r="X44" i="4"/>
  <c r="X50" i="4"/>
  <c r="X14" i="4"/>
  <c r="X68" i="4"/>
  <c r="X8" i="4"/>
  <c r="X81" i="4"/>
  <c r="X31" i="4"/>
  <c r="X61" i="4"/>
  <c r="X87" i="4"/>
  <c r="X76" i="4"/>
  <c r="X80" i="4"/>
  <c r="X52" i="4"/>
  <c r="X42" i="4"/>
  <c r="X34" i="4"/>
  <c r="X73" i="4"/>
  <c r="X4" i="4"/>
  <c r="X60" i="4"/>
  <c r="X16" i="4"/>
  <c r="X24" i="4"/>
  <c r="X45" i="4"/>
  <c r="X28" i="4"/>
  <c r="X21" i="4"/>
  <c r="X20" i="4"/>
  <c r="X53" i="4"/>
  <c r="X9" i="4"/>
  <c r="X88" i="4"/>
  <c r="X72" i="4"/>
  <c r="X64" i="4"/>
  <c r="X38" i="4"/>
  <c r="P5" i="3" l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G10" i="7"/>
  <c r="G29" i="7"/>
  <c r="G37" i="7"/>
  <c r="G59" i="7"/>
  <c r="G61" i="7"/>
  <c r="G17" i="7"/>
  <c r="G21" i="7"/>
  <c r="G43" i="7"/>
  <c r="G12" i="7"/>
  <c r="G32" i="7"/>
  <c r="G45" i="7"/>
  <c r="G24" i="7"/>
  <c r="G15" i="7"/>
  <c r="G40" i="7"/>
  <c r="G31" i="7"/>
  <c r="G34" i="7"/>
  <c r="G13" i="7"/>
  <c r="G9" i="7"/>
  <c r="G51" i="7"/>
  <c r="G8" i="7"/>
  <c r="G30" i="7"/>
  <c r="G67" i="7"/>
  <c r="G39" i="7"/>
  <c r="G33" i="7"/>
  <c r="G41" i="7"/>
  <c r="G7" i="7"/>
  <c r="G22" i="7"/>
  <c r="G47" i="7"/>
  <c r="G50" i="7"/>
  <c r="G18" i="7"/>
  <c r="G11" i="7"/>
  <c r="G44" i="7"/>
  <c r="G46" i="7"/>
  <c r="G25" i="7"/>
  <c r="G65" i="7" l="1"/>
  <c r="G14" i="7"/>
  <c r="G35" i="7"/>
  <c r="G57" i="7"/>
  <c r="G16" i="7"/>
  <c r="G42" i="7"/>
  <c r="G73" i="7"/>
  <c r="G48" i="7"/>
  <c r="G23" i="7"/>
  <c r="G19" i="7"/>
  <c r="G27" i="7"/>
  <c r="G64" i="7"/>
  <c r="G55" i="7"/>
  <c r="G5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AlanJui</author>
  </authors>
  <commentList>
    <comment ref="D10" authorId="0" shapeId="0" xr:uid="{CA8BFDC6-3B10-4522-AFD1-313E73D1489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漳</t>
        </r>
      </text>
    </comment>
    <comment ref="D26" authorId="0" shapeId="0" xr:uid="{A60D01A1-B799-4AE9-9106-D95E3C08DFB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泉</t>
        </r>
      </text>
    </comment>
    <comment ref="D32" authorId="0" shapeId="0" xr:uid="{3EF61CBF-773E-4CD0-A9CB-EDC7BA2A9BA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泉</t>
        </r>
      </text>
    </comment>
    <comment ref="D40" authorId="0" shapeId="0" xr:uid="{CA113D9F-C2C4-4AD0-8C34-0862EDE2556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漳</t>
        </r>
      </text>
    </comment>
    <comment ref="D48" authorId="0" shapeId="0" xr:uid="{13EAF39E-EAAA-4DF4-A1B9-BE335B610F6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1" authorId="0" shapeId="0" xr:uid="{9E3D07D3-1F22-4CC7-8105-E7CC9371F4E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6" authorId="0" shapeId="0" xr:uid="{E544AF3A-C330-4DBD-B0D7-9E7717B40A5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1" authorId="0" shapeId="0" xr:uid="{0E3E29E1-7591-4D59-A281-45E93C7E42A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6" authorId="0" shapeId="0" xr:uid="{B9C11EED-C133-4CB7-99D8-FD3B0100D86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7" authorId="0" shapeId="0" xr:uid="{C54D8666-875A-4C29-8472-42A6CE31204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60" authorId="0" shapeId="0" xr:uid="{FFB75595-E4A1-49F4-8147-160646E9920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1" authorId="0" shapeId="0" xr:uid="{B6C63035-5284-4381-98B0-D423ED660F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<sst xmlns="http://schemas.openxmlformats.org/spreadsheetml/2006/main" count="3105" uniqueCount="1555">
  <si>
    <t>雙唇音</t>
  </si>
  <si>
    <t>舌尖前音</t>
    <phoneticPr fontId="3" type="noConversion"/>
  </si>
  <si>
    <t>舌尖中音</t>
    <phoneticPr fontId="3" type="noConversion"/>
  </si>
  <si>
    <t>舌根音</t>
    <phoneticPr fontId="3" type="noConversion"/>
  </si>
  <si>
    <t>㗋塞音</t>
    <phoneticPr fontId="3" type="noConversion"/>
  </si>
  <si>
    <t>上脣。下脣</t>
    <phoneticPr fontId="3" type="noConversion"/>
  </si>
  <si>
    <t>舌尖。上齒背</t>
    <phoneticPr fontId="3" type="noConversion"/>
  </si>
  <si>
    <t>舌尖。上齒齦</t>
    <phoneticPr fontId="3" type="noConversion"/>
  </si>
  <si>
    <t>舌根軟顎</t>
    <phoneticPr fontId="5" type="noConversion"/>
  </si>
  <si>
    <t>氣管咽頭</t>
    <phoneticPr fontId="5" type="noConversion"/>
  </si>
  <si>
    <t>清音</t>
  </si>
  <si>
    <t>濁音</t>
  </si>
  <si>
    <t>鼻音</t>
  </si>
  <si>
    <t>門</t>
  </si>
  <si>
    <t>m</t>
  </si>
  <si>
    <t>柳</t>
  </si>
  <si>
    <t>n</t>
  </si>
  <si>
    <t>語</t>
  </si>
  <si>
    <t>ng</t>
  </si>
  <si>
    <t>ㄅ</t>
  </si>
  <si>
    <t>ㄇ</t>
  </si>
  <si>
    <t>m</t>
    <phoneticPr fontId="15" type="noConversion"/>
  </si>
  <si>
    <t>ㄋ</t>
  </si>
  <si>
    <t>n</t>
    <phoneticPr fontId="15" type="noConversion"/>
  </si>
  <si>
    <t>ㄫ</t>
  </si>
  <si>
    <t>ng</t>
    <phoneticPr fontId="15" type="noConversion"/>
  </si>
  <si>
    <t>塞音</t>
  </si>
  <si>
    <t>不送氣</t>
  </si>
  <si>
    <t>邊</t>
  </si>
  <si>
    <t>p</t>
  </si>
  <si>
    <t>b</t>
  </si>
  <si>
    <t>地</t>
  </si>
  <si>
    <t>t</t>
    <phoneticPr fontId="5" type="noConversion"/>
  </si>
  <si>
    <t>求</t>
  </si>
  <si>
    <t>k</t>
    <phoneticPr fontId="5" type="noConversion"/>
  </si>
  <si>
    <t>g</t>
  </si>
  <si>
    <t>英</t>
  </si>
  <si>
    <t>Ø</t>
    <phoneticPr fontId="5" type="noConversion"/>
  </si>
  <si>
    <t>頗</t>
  </si>
  <si>
    <t>ph</t>
  </si>
  <si>
    <t>毛</t>
    <phoneticPr fontId="5" type="noConversion"/>
  </si>
  <si>
    <t>ㆠ</t>
  </si>
  <si>
    <t>bb</t>
  </si>
  <si>
    <t>ㄉ</t>
  </si>
  <si>
    <t>d</t>
    <phoneticPr fontId="5" type="noConversion"/>
  </si>
  <si>
    <t>ㄍ</t>
  </si>
  <si>
    <t>g</t>
    <phoneticPr fontId="5" type="noConversion"/>
  </si>
  <si>
    <t>ㆣ</t>
  </si>
  <si>
    <t>gg</t>
  </si>
  <si>
    <t>Ø</t>
    <phoneticPr fontId="15" type="noConversion"/>
  </si>
  <si>
    <t>ㄆ</t>
  </si>
  <si>
    <t>送氣</t>
  </si>
  <si>
    <t>他</t>
  </si>
  <si>
    <t>th</t>
    <phoneticPr fontId="5" type="noConversion"/>
  </si>
  <si>
    <t>去</t>
  </si>
  <si>
    <t>kh</t>
    <phoneticPr fontId="5" type="noConversion"/>
  </si>
  <si>
    <t>耐</t>
    <phoneticPr fontId="5" type="noConversion"/>
  </si>
  <si>
    <t>l</t>
    <phoneticPr fontId="5" type="noConversion"/>
  </si>
  <si>
    <t>ㄊ</t>
  </si>
  <si>
    <t>ㄎ</t>
  </si>
  <si>
    <t>ㄌ</t>
  </si>
  <si>
    <t>塞擦音</t>
  </si>
  <si>
    <t>曾</t>
  </si>
  <si>
    <t>tsi</t>
    <phoneticPr fontId="5" type="noConversion"/>
  </si>
  <si>
    <t>入</t>
  </si>
  <si>
    <t>ji</t>
  </si>
  <si>
    <t>ts</t>
    <phoneticPr fontId="5" type="noConversion"/>
  </si>
  <si>
    <t>j</t>
  </si>
  <si>
    <t>雅</t>
    <phoneticPr fontId="5" type="noConversion"/>
  </si>
  <si>
    <t>ㄐ</t>
  </si>
  <si>
    <t>ji</t>
    <phoneticPr fontId="5" type="noConversion"/>
  </si>
  <si>
    <t>ㆢ</t>
  </si>
  <si>
    <t>jji</t>
    <phoneticPr fontId="5" type="noConversion"/>
  </si>
  <si>
    <t>ㄗ</t>
  </si>
  <si>
    <t>z</t>
    <phoneticPr fontId="5" type="noConversion"/>
  </si>
  <si>
    <t>ㆡ</t>
  </si>
  <si>
    <t>zz</t>
    <phoneticPr fontId="5" type="noConversion"/>
  </si>
  <si>
    <t>出</t>
  </si>
  <si>
    <t>tshi</t>
    <phoneticPr fontId="5" type="noConversion"/>
  </si>
  <si>
    <t>tsh</t>
    <phoneticPr fontId="5" type="noConversion"/>
  </si>
  <si>
    <t>喜</t>
  </si>
  <si>
    <t>h</t>
    <phoneticPr fontId="5" type="noConversion"/>
  </si>
  <si>
    <t>ㄑ</t>
  </si>
  <si>
    <t>chi</t>
    <phoneticPr fontId="5" type="noConversion"/>
  </si>
  <si>
    <t>ㄘ</t>
  </si>
  <si>
    <t>c</t>
    <phoneticPr fontId="5" type="noConversion"/>
  </si>
  <si>
    <t>ㄏ</t>
  </si>
  <si>
    <t>h</t>
    <phoneticPr fontId="15" type="noConversion"/>
  </si>
  <si>
    <t>擦音</t>
  </si>
  <si>
    <t>時</t>
  </si>
  <si>
    <t>si</t>
    <phoneticPr fontId="5" type="noConversion"/>
  </si>
  <si>
    <t>s</t>
    <phoneticPr fontId="5" type="noConversion"/>
  </si>
  <si>
    <t>ㄒ</t>
  </si>
  <si>
    <t>shi</t>
    <phoneticPr fontId="5" type="noConversion"/>
  </si>
  <si>
    <t>ㄙ</t>
  </si>
  <si>
    <t>邊音</t>
  </si>
  <si>
    <t>l</t>
  </si>
  <si>
    <t>l</t>
    <phoneticPr fontId="15" type="noConversion"/>
  </si>
  <si>
    <t>s</t>
    <phoneticPr fontId="15" type="noConversion"/>
  </si>
  <si>
    <t>十五音序</t>
    <phoneticPr fontId="24" type="noConversion"/>
  </si>
  <si>
    <t>十五音</t>
  </si>
  <si>
    <t>漢字例</t>
  </si>
  <si>
    <t>國際音標</t>
  </si>
  <si>
    <t>備註</t>
  </si>
  <si>
    <t>注音序</t>
    <phoneticPr fontId="24" type="noConversion"/>
  </si>
  <si>
    <t>方音符號</t>
  </si>
  <si>
    <t>台語注音</t>
  </si>
  <si>
    <t>台羅拼音</t>
  </si>
  <si>
    <t>台語音標</t>
  </si>
  <si>
    <t>白話字</t>
  </si>
  <si>
    <t>注音二式</t>
  </si>
  <si>
    <t>閩拼方案</t>
  </si>
  <si>
    <t>理</t>
  </si>
  <si>
    <t>耐</t>
  </si>
  <si>
    <t xml:space="preserve">l/n 本不分，此處分柳/耐 </t>
  </si>
  <si>
    <t>比</t>
  </si>
  <si>
    <t>bbn</t>
  </si>
  <si>
    <t>己</t>
  </si>
  <si>
    <t>k</t>
  </si>
  <si>
    <t>ㄪ</t>
  </si>
  <si>
    <t>起</t>
  </si>
  <si>
    <t>kʰ</t>
  </si>
  <si>
    <t>t</t>
  </si>
  <si>
    <t>d</t>
  </si>
  <si>
    <t>底</t>
  </si>
  <si>
    <t>th</t>
  </si>
  <si>
    <t>鄙</t>
  </si>
  <si>
    <t>pʰ</t>
  </si>
  <si>
    <t>ln</t>
  </si>
  <si>
    <t>恥</t>
  </si>
  <si>
    <t>tʰ</t>
  </si>
  <si>
    <t>阻</t>
  </si>
  <si>
    <t>ʦ</t>
  </si>
  <si>
    <t>熱</t>
  </si>
  <si>
    <t>ʣ</t>
  </si>
  <si>
    <t>kh</t>
  </si>
  <si>
    <t>詞</t>
  </si>
  <si>
    <t>s</t>
  </si>
  <si>
    <t xml:space="preserve">⁰ㄫ </t>
  </si>
  <si>
    <t>ggn</t>
  </si>
  <si>
    <t>以</t>
  </si>
  <si>
    <t>Ø</t>
    <phoneticPr fontId="24" type="noConversion"/>
  </si>
  <si>
    <t>美</t>
  </si>
  <si>
    <t>ts</t>
  </si>
  <si>
    <t>z</t>
  </si>
  <si>
    <t>ch</t>
  </si>
  <si>
    <t>毛</t>
  </si>
  <si>
    <t xml:space="preserve">b/m 本不分，此處分門/毛 </t>
  </si>
  <si>
    <t>ㄘ</t>
    <phoneticPr fontId="24" type="noConversion"/>
  </si>
  <si>
    <t>tsh</t>
  </si>
  <si>
    <t>c</t>
  </si>
  <si>
    <t>chh</t>
  </si>
  <si>
    <t>禦</t>
  </si>
  <si>
    <t>ɡ</t>
  </si>
  <si>
    <t>ㄙ</t>
    <phoneticPr fontId="24" type="noConversion"/>
  </si>
  <si>
    <t>雅</t>
  </si>
  <si>
    <t>ŋ</t>
  </si>
  <si>
    <t xml:space="preserve">g/ng 本不分，此處分語/雅 </t>
  </si>
  <si>
    <t>ㄖ</t>
  </si>
  <si>
    <t>zz</t>
  </si>
  <si>
    <t>取</t>
  </si>
  <si>
    <t>ʦʰ</t>
  </si>
  <si>
    <t>h</t>
  </si>
  <si>
    <t>Ø</t>
  </si>
  <si>
    <t>零聲母</t>
    <phoneticPr fontId="24" type="noConversion"/>
  </si>
  <si>
    <t>ʥ</t>
  </si>
  <si>
    <t>ㆢ = ㆡㄧ</t>
    <phoneticPr fontId="24" type="noConversion"/>
  </si>
  <si>
    <t>ㄐ</t>
    <phoneticPr fontId="24" type="noConversion"/>
  </si>
  <si>
    <t>tsi</t>
  </si>
  <si>
    <t>zi</t>
  </si>
  <si>
    <t>chi</t>
  </si>
  <si>
    <t>j</t>
    <phoneticPr fontId="24" type="noConversion"/>
  </si>
  <si>
    <t>ㄐ = ㄗㄧ</t>
    <phoneticPr fontId="24" type="noConversion"/>
  </si>
  <si>
    <t>止</t>
  </si>
  <si>
    <t>ʨ</t>
  </si>
  <si>
    <t>ㄑ</t>
    <phoneticPr fontId="24" type="noConversion"/>
  </si>
  <si>
    <t>tshi</t>
  </si>
  <si>
    <t>ci</t>
  </si>
  <si>
    <t>chhi</t>
  </si>
  <si>
    <t>ch</t>
    <phoneticPr fontId="24" type="noConversion"/>
  </si>
  <si>
    <t>ㄑ = ㄘㄧ</t>
    <phoneticPr fontId="24" type="noConversion"/>
  </si>
  <si>
    <t>測</t>
  </si>
  <si>
    <t>ʨʰ</t>
  </si>
  <si>
    <t>ㄒ</t>
    <phoneticPr fontId="24" type="noConversion"/>
  </si>
  <si>
    <t>si</t>
  </si>
  <si>
    <t>sh</t>
    <phoneticPr fontId="24" type="noConversion"/>
  </si>
  <si>
    <t>ㄒ = ㄙㄧ</t>
    <phoneticPr fontId="24" type="noConversion"/>
  </si>
  <si>
    <t>惜</t>
  </si>
  <si>
    <t>ɕ</t>
  </si>
  <si>
    <t>jj</t>
    <phoneticPr fontId="24" type="noConversion"/>
  </si>
  <si>
    <t>zzi</t>
  </si>
  <si>
    <t>識別號</t>
  </si>
  <si>
    <t>序號</t>
    <phoneticPr fontId="24" type="noConversion"/>
  </si>
  <si>
    <t>m</t>
    <phoneticPr fontId="24" type="noConversion"/>
  </si>
  <si>
    <t>n</t>
    <phoneticPr fontId="24" type="noConversion"/>
  </si>
  <si>
    <t>國際音標</t>
    <phoneticPr fontId="3" type="noConversion"/>
  </si>
  <si>
    <t>國際音標</t>
    <phoneticPr fontId="24" type="noConversion"/>
  </si>
  <si>
    <t>台羅拼音</t>
    <phoneticPr fontId="3" type="noConversion"/>
  </si>
  <si>
    <t>台羅拼音</t>
    <phoneticPr fontId="24" type="noConversion"/>
  </si>
  <si>
    <t>台語音標</t>
    <phoneticPr fontId="24" type="noConversion"/>
  </si>
  <si>
    <t>台語注音二式</t>
    <phoneticPr fontId="24" type="noConversion"/>
  </si>
  <si>
    <t>閩拼方案</t>
    <phoneticPr fontId="3" type="noConversion"/>
  </si>
  <si>
    <t>閩拼方案</t>
    <phoneticPr fontId="24" type="noConversion"/>
  </si>
  <si>
    <t>白話字</t>
    <phoneticPr fontId="24" type="noConversion"/>
  </si>
  <si>
    <t>方音符號</t>
    <phoneticPr fontId="3" type="noConversion"/>
  </si>
  <si>
    <t>方音符號</t>
    <phoneticPr fontId="24" type="noConversion"/>
  </si>
  <si>
    <t>台語注音</t>
    <phoneticPr fontId="24" type="noConversion"/>
  </si>
  <si>
    <t>十五音</t>
    <phoneticPr fontId="3" type="noConversion"/>
  </si>
  <si>
    <t>十五音</t>
    <phoneticPr fontId="24" type="noConversion"/>
  </si>
  <si>
    <t>漢字例</t>
    <phoneticPr fontId="24" type="noConversion"/>
  </si>
  <si>
    <t>十五音識別碼</t>
    <phoneticPr fontId="24" type="noConversion"/>
  </si>
  <si>
    <t>聲韻調類</t>
    <phoneticPr fontId="24" type="noConversion"/>
  </si>
  <si>
    <t>字長</t>
    <phoneticPr fontId="24" type="noConversion"/>
  </si>
  <si>
    <t>標調字母</t>
    <phoneticPr fontId="24" type="noConversion"/>
  </si>
  <si>
    <t>search()</t>
    <phoneticPr fontId="24" type="noConversion"/>
  </si>
  <si>
    <t>U+0301</t>
  </si>
  <si>
    <t>U+0300</t>
  </si>
  <si>
    <t>U+030C</t>
    <phoneticPr fontId="24" type="noConversion"/>
  </si>
  <si>
    <t>U+0301</t>
    <phoneticPr fontId="24" type="noConversion"/>
  </si>
  <si>
    <t>U+0304</t>
  </si>
  <si>
    <t>U+030D</t>
  </si>
  <si>
    <t>U+030B</t>
  </si>
  <si>
    <t>U+030A</t>
  </si>
  <si>
    <t>a</t>
    <phoneticPr fontId="24" type="noConversion"/>
  </si>
  <si>
    <t>a</t>
  </si>
  <si>
    <t>ㄚ</t>
  </si>
  <si>
    <t>些</t>
  </si>
  <si>
    <t>aʔ</t>
    <phoneticPr fontId="24" type="noConversion"/>
  </si>
  <si>
    <t>ah</t>
  </si>
  <si>
    <t>ㄚㆷ</t>
  </si>
  <si>
    <t>百</t>
  </si>
  <si>
    <t>u</t>
    <phoneticPr fontId="24" type="noConversion"/>
  </si>
  <si>
    <t>ai</t>
  </si>
  <si>
    <t>ㄞ</t>
  </si>
  <si>
    <t>埃</t>
  </si>
  <si>
    <t>o</t>
    <phoneticPr fontId="24" type="noConversion"/>
  </si>
  <si>
    <t>aih</t>
  </si>
  <si>
    <t>aih</t>
    <phoneticPr fontId="24" type="noConversion"/>
  </si>
  <si>
    <r>
      <rPr>
        <sz val="18"/>
        <color rgb="FF000000"/>
        <rFont val="Noto Sans TC"/>
        <family val="2"/>
        <charset val="136"/>
      </rPr>
      <t>ㄞ</t>
    </r>
    <r>
      <rPr>
        <sz val="18"/>
        <color rgb="FF000000"/>
        <rFont val="Microsoft JhengHei"/>
        <family val="2"/>
      </rPr>
      <t>ㄏ</t>
    </r>
    <phoneticPr fontId="24" type="noConversion"/>
  </si>
  <si>
    <t>◯</t>
  </si>
  <si>
    <t>ainn</t>
  </si>
  <si>
    <t>nai</t>
  </si>
  <si>
    <t>aiⁿ</t>
    <phoneticPr fontId="24" type="noConversion"/>
  </si>
  <si>
    <t>ㆮ</t>
  </si>
  <si>
    <t>挨</t>
  </si>
  <si>
    <t>韻-鼻</t>
    <phoneticPr fontId="24" type="noConversion"/>
  </si>
  <si>
    <t>ak</t>
  </si>
  <si>
    <t>角</t>
  </si>
  <si>
    <t>e</t>
    <phoneticPr fontId="3" type="noConversion"/>
  </si>
  <si>
    <t>e</t>
    <phoneticPr fontId="24" type="noConversion"/>
  </si>
  <si>
    <t>am</t>
    <phoneticPr fontId="24" type="noConversion"/>
  </si>
  <si>
    <t>am</t>
  </si>
  <si>
    <t>ㆰ</t>
  </si>
  <si>
    <t>堪</t>
  </si>
  <si>
    <t>an</t>
    <phoneticPr fontId="24" type="noConversion"/>
  </si>
  <si>
    <t>an</t>
  </si>
  <si>
    <t>ㄢ</t>
  </si>
  <si>
    <t>蘭</t>
  </si>
  <si>
    <t>ang</t>
  </si>
  <si>
    <t>ㄤ</t>
  </si>
  <si>
    <t>邦</t>
  </si>
  <si>
    <t>ã</t>
    <phoneticPr fontId="24" type="noConversion"/>
  </si>
  <si>
    <t>ann</t>
  </si>
  <si>
    <t>na</t>
  </si>
  <si>
    <t>aⁿ</t>
  </si>
  <si>
    <t>ㆩ</t>
  </si>
  <si>
    <t>聽</t>
  </si>
  <si>
    <t>i</t>
    <phoneticPr fontId="24" type="noConversion"/>
  </si>
  <si>
    <t>ãʔ</t>
    <phoneticPr fontId="24" type="noConversion"/>
  </si>
  <si>
    <t>annh</t>
  </si>
  <si>
    <t>annh</t>
    <phoneticPr fontId="24" type="noConversion"/>
  </si>
  <si>
    <t>nah</t>
    <phoneticPr fontId="24" type="noConversion"/>
  </si>
  <si>
    <t>ahⁿ</t>
  </si>
  <si>
    <t>ㆩㆷ</t>
  </si>
  <si>
    <t>含</t>
  </si>
  <si>
    <t>ap</t>
  </si>
  <si>
    <t>ㄚㆴ</t>
  </si>
  <si>
    <t>答</t>
  </si>
  <si>
    <t>at</t>
  </si>
  <si>
    <t>ㄚㆵ</t>
  </si>
  <si>
    <t>識</t>
  </si>
  <si>
    <t>au</t>
  </si>
  <si>
    <t>ao</t>
  </si>
  <si>
    <t>ㄠ</t>
  </si>
  <si>
    <t>鬧</t>
  </si>
  <si>
    <t>auʔ</t>
    <phoneticPr fontId="24" type="noConversion"/>
  </si>
  <si>
    <t>auh</t>
  </si>
  <si>
    <t>aoh</t>
  </si>
  <si>
    <t>暴</t>
  </si>
  <si>
    <t>e</t>
  </si>
  <si>
    <t>ei</t>
  </si>
  <si>
    <t>ㆤ</t>
  </si>
  <si>
    <t>ㄝ</t>
  </si>
  <si>
    <t>遞</t>
  </si>
  <si>
    <t>ee</t>
    <phoneticPr fontId="24" type="noConversion"/>
  </si>
  <si>
    <t>eeh</t>
    <phoneticPr fontId="24" type="noConversion"/>
  </si>
  <si>
    <t>eʔ</t>
    <phoneticPr fontId="24" type="noConversion"/>
  </si>
  <si>
    <t>eh</t>
  </si>
  <si>
    <t>ㆤㆷ</t>
  </si>
  <si>
    <t>伯</t>
  </si>
  <si>
    <t>ek</t>
    <phoneticPr fontId="24" type="noConversion"/>
  </si>
  <si>
    <t>eng</t>
    <phoneticPr fontId="24" type="noConversion"/>
  </si>
  <si>
    <t>ẽ</t>
    <phoneticPr fontId="24" type="noConversion"/>
  </si>
  <si>
    <t>enn</t>
  </si>
  <si>
    <t>ne</t>
  </si>
  <si>
    <t>eⁿ</t>
  </si>
  <si>
    <t>ㆥ</t>
  </si>
  <si>
    <t>爭</t>
  </si>
  <si>
    <t>ẽʔ</t>
    <phoneticPr fontId="24" type="noConversion"/>
  </si>
  <si>
    <t>ennh</t>
  </si>
  <si>
    <t>ennh</t>
    <phoneticPr fontId="24" type="noConversion"/>
  </si>
  <si>
    <t>ehⁿ</t>
    <phoneticPr fontId="3" type="noConversion"/>
  </si>
  <si>
    <t>ㆥㆷ</t>
    <phoneticPr fontId="24" type="noConversion"/>
  </si>
  <si>
    <t>挾</t>
  </si>
  <si>
    <t>i</t>
  </si>
  <si>
    <t>ㄧ</t>
  </si>
  <si>
    <t>爾</t>
  </si>
  <si>
    <t>ia</t>
  </si>
  <si>
    <t>ㄧㄚ</t>
  </si>
  <si>
    <t>名</t>
  </si>
  <si>
    <t>iah</t>
  </si>
  <si>
    <t>ㄧㄚㆷ</t>
  </si>
  <si>
    <t>壁</t>
  </si>
  <si>
    <t>iak</t>
  </si>
  <si>
    <t>ㄧㄚㆻ</t>
  </si>
  <si>
    <t>爆</t>
  </si>
  <si>
    <t>iam</t>
  </si>
  <si>
    <t>ㄧㆰ</t>
  </si>
  <si>
    <t>尖</t>
  </si>
  <si>
    <t>ian</t>
  </si>
  <si>
    <t>ㄧㄢ</t>
  </si>
  <si>
    <t>掀</t>
  </si>
  <si>
    <t>iang</t>
  </si>
  <si>
    <t>ㄧㄤ</t>
  </si>
  <si>
    <t>將</t>
  </si>
  <si>
    <t>iann</t>
  </si>
  <si>
    <t>nia</t>
  </si>
  <si>
    <t>iaⁿ</t>
  </si>
  <si>
    <t>ㄧㆩ</t>
  </si>
  <si>
    <t>iannh</t>
  </si>
  <si>
    <t>iannh</t>
    <phoneticPr fontId="24" type="noConversion"/>
  </si>
  <si>
    <t>iahⁿ</t>
    <phoneticPr fontId="3" type="noConversion"/>
  </si>
  <si>
    <t>且</t>
  </si>
  <si>
    <t>iap</t>
  </si>
  <si>
    <t>ㄧㄚㆴ</t>
  </si>
  <si>
    <t>接</t>
  </si>
  <si>
    <t>iat</t>
  </si>
  <si>
    <t>ㄧㄚㆵ</t>
  </si>
  <si>
    <t>別</t>
  </si>
  <si>
    <t>iau</t>
  </si>
  <si>
    <t>iao</t>
  </si>
  <si>
    <t>ㄧㄠ</t>
  </si>
  <si>
    <t>遙</t>
  </si>
  <si>
    <t>iauh</t>
  </si>
  <si>
    <t>iaoh</t>
  </si>
  <si>
    <t>ㄧㄠㆷ</t>
  </si>
  <si>
    <t>噭</t>
  </si>
  <si>
    <t>iaunn</t>
  </si>
  <si>
    <t>niao</t>
  </si>
  <si>
    <t>iauⁿ</t>
  </si>
  <si>
    <t>ㄧㆯ</t>
  </si>
  <si>
    <t>鳥</t>
  </si>
  <si>
    <t>iʔ</t>
    <phoneticPr fontId="24" type="noConversion"/>
  </si>
  <si>
    <t>ih</t>
  </si>
  <si>
    <t>ㄧㆷ</t>
  </si>
  <si>
    <t>逼</t>
  </si>
  <si>
    <t>ik̚</t>
    <phoneticPr fontId="24" type="noConversion"/>
  </si>
  <si>
    <t>ik</t>
  </si>
  <si>
    <t>iek</t>
    <phoneticPr fontId="24" type="noConversion"/>
  </si>
  <si>
    <t>ek</t>
  </si>
  <si>
    <t>ㄧㆻ</t>
  </si>
  <si>
    <t>益</t>
  </si>
  <si>
    <t>im</t>
    <phoneticPr fontId="24" type="noConversion"/>
  </si>
  <si>
    <t>im</t>
  </si>
  <si>
    <t>ㄧㆬ</t>
  </si>
  <si>
    <t>深</t>
  </si>
  <si>
    <t>in</t>
    <phoneticPr fontId="24" type="noConversion"/>
  </si>
  <si>
    <t>in</t>
  </si>
  <si>
    <t>ㄧㄣ</t>
  </si>
  <si>
    <t>恩</t>
  </si>
  <si>
    <t>ing</t>
  </si>
  <si>
    <t>eng</t>
  </si>
  <si>
    <t>ㄧㄥ</t>
  </si>
  <si>
    <t>情</t>
  </si>
  <si>
    <t>ĩ</t>
    <phoneticPr fontId="24" type="noConversion"/>
  </si>
  <si>
    <t>inn</t>
  </si>
  <si>
    <t>ni</t>
  </si>
  <si>
    <t>iⁿ</t>
  </si>
  <si>
    <t>ㆪ</t>
  </si>
  <si>
    <t>庚</t>
  </si>
  <si>
    <t>io</t>
  </si>
  <si>
    <t>ior</t>
  </si>
  <si>
    <t>ㄧㄜ</t>
  </si>
  <si>
    <t>少</t>
  </si>
  <si>
    <t>ioh</t>
  </si>
  <si>
    <t>iorh</t>
  </si>
  <si>
    <t>ㄧㄜㆷ</t>
  </si>
  <si>
    <t>著</t>
  </si>
  <si>
    <t>iok</t>
  </si>
  <si>
    <t>iook</t>
  </si>
  <si>
    <t>ㄧㆦㆻ</t>
  </si>
  <si>
    <t>俗</t>
  </si>
  <si>
    <t>iong</t>
  </si>
  <si>
    <t>ㄧㆲ</t>
  </si>
  <si>
    <t>中</t>
  </si>
  <si>
    <t>ip̚</t>
    <phoneticPr fontId="24" type="noConversion"/>
  </si>
  <si>
    <t>ip</t>
  </si>
  <si>
    <t>一ㆴ</t>
  </si>
  <si>
    <t>蟄</t>
  </si>
  <si>
    <t>it̚</t>
    <phoneticPr fontId="24" type="noConversion"/>
  </si>
  <si>
    <t>it</t>
  </si>
  <si>
    <t>ㄧㆵ</t>
  </si>
  <si>
    <t>一</t>
  </si>
  <si>
    <t>ionn</t>
  </si>
  <si>
    <t>ioonn</t>
  </si>
  <si>
    <t>nioo</t>
  </si>
  <si>
    <t>ioⁿ</t>
  </si>
  <si>
    <t>ㄧㆧ</t>
  </si>
  <si>
    <t>腔</t>
  </si>
  <si>
    <t>iu</t>
  </si>
  <si>
    <t>ㄧㄨ</t>
  </si>
  <si>
    <t>油</t>
  </si>
  <si>
    <t>iunn</t>
  </si>
  <si>
    <t>niu</t>
  </si>
  <si>
    <t>iuⁿ</t>
  </si>
  <si>
    <t>ㄧㆫ</t>
  </si>
  <si>
    <t>香</t>
  </si>
  <si>
    <t>iunnh</t>
  </si>
  <si>
    <t>iunnh</t>
    <phoneticPr fontId="24" type="noConversion"/>
  </si>
  <si>
    <t>niuh</t>
    <phoneticPr fontId="24" type="noConversion"/>
  </si>
  <si>
    <t>iuhⁿ</t>
    <phoneticPr fontId="3" type="noConversion"/>
  </si>
  <si>
    <t>m̩</t>
    <phoneticPr fontId="24" type="noConversion"/>
  </si>
  <si>
    <t>ㆬ</t>
  </si>
  <si>
    <t>姆</t>
  </si>
  <si>
    <t>m̩ʔ</t>
  </si>
  <si>
    <t>mh</t>
  </si>
  <si>
    <t>mh</t>
    <phoneticPr fontId="24" type="noConversion"/>
  </si>
  <si>
    <t>ㆬㆷ</t>
    <phoneticPr fontId="24" type="noConversion"/>
  </si>
  <si>
    <t>ŋ̍</t>
  </si>
  <si>
    <t>ㆭ</t>
  </si>
  <si>
    <t>床</t>
  </si>
  <si>
    <t>ngh</t>
  </si>
  <si>
    <t>ngh</t>
    <phoneticPr fontId="24" type="noConversion"/>
  </si>
  <si>
    <t>ㆭㆷ</t>
    <phoneticPr fontId="24" type="noConversion"/>
  </si>
  <si>
    <t>ə</t>
    <phoneticPr fontId="24" type="noConversion"/>
  </si>
  <si>
    <t>o</t>
  </si>
  <si>
    <t>or</t>
  </si>
  <si>
    <t>ㄜ</t>
  </si>
  <si>
    <t>果</t>
  </si>
  <si>
    <t>əʔ</t>
    <phoneticPr fontId="24" type="noConversion"/>
  </si>
  <si>
    <t>oh</t>
  </si>
  <si>
    <t>orh</t>
  </si>
  <si>
    <t>ㄜㆷ</t>
  </si>
  <si>
    <t>卜</t>
  </si>
  <si>
    <t>ok</t>
  </si>
  <si>
    <t>ㆦㆻ</t>
  </si>
  <si>
    <t>福</t>
  </si>
  <si>
    <t>om</t>
  </si>
  <si>
    <t>oom</t>
  </si>
  <si>
    <t>ㆱ</t>
  </si>
  <si>
    <t>丼</t>
  </si>
  <si>
    <t>ong</t>
  </si>
  <si>
    <t>ㆲ</t>
  </si>
  <si>
    <t>風</t>
  </si>
  <si>
    <t>onn</t>
  </si>
  <si>
    <t>oonn</t>
  </si>
  <si>
    <t>noo</t>
  </si>
  <si>
    <t>oⁿ</t>
    <phoneticPr fontId="3" type="noConversion"/>
  </si>
  <si>
    <t>ㆧ</t>
  </si>
  <si>
    <t>張</t>
  </si>
  <si>
    <t>onnh</t>
  </si>
  <si>
    <t>ohnn</t>
  </si>
  <si>
    <t>niuh</t>
  </si>
  <si>
    <t>ohⁿ</t>
  </si>
  <si>
    <t>ㆧㆷ</t>
  </si>
  <si>
    <t>oo</t>
  </si>
  <si>
    <t>o͘</t>
  </si>
  <si>
    <t>ㆦ</t>
  </si>
  <si>
    <t>捕</t>
  </si>
  <si>
    <t>ooh</t>
  </si>
  <si>
    <t>ooh</t>
    <phoneticPr fontId="24" type="noConversion"/>
  </si>
  <si>
    <t>o͘h</t>
  </si>
  <si>
    <t>ㆦㆷ</t>
    <phoneticPr fontId="24" type="noConversion"/>
  </si>
  <si>
    <t>op</t>
  </si>
  <si>
    <t>oop</t>
  </si>
  <si>
    <t>ㆦㆴ</t>
  </si>
  <si>
    <t>吷</t>
  </si>
  <si>
    <t>u</t>
  </si>
  <si>
    <t>ㄨ</t>
  </si>
  <si>
    <t>夫</t>
  </si>
  <si>
    <t>ua</t>
    <phoneticPr fontId="24" type="noConversion"/>
  </si>
  <si>
    <t>ua</t>
  </si>
  <si>
    <t>oa</t>
  </si>
  <si>
    <t>ㄨㄚ</t>
  </si>
  <si>
    <t>花</t>
  </si>
  <si>
    <t>uaʔ</t>
    <phoneticPr fontId="24" type="noConversion"/>
  </si>
  <si>
    <t>uah</t>
  </si>
  <si>
    <t>oah</t>
  </si>
  <si>
    <t>ㄨㄚㆷ</t>
  </si>
  <si>
    <t>缽</t>
  </si>
  <si>
    <t>uai</t>
    <phoneticPr fontId="24" type="noConversion"/>
  </si>
  <si>
    <t>uai</t>
  </si>
  <si>
    <t>oai</t>
  </si>
  <si>
    <t>ㄨㄞ</t>
  </si>
  <si>
    <t>怪</t>
  </si>
  <si>
    <t>uãi</t>
    <phoneticPr fontId="24" type="noConversion"/>
  </si>
  <si>
    <t>uainn</t>
  </si>
  <si>
    <t>nuai</t>
  </si>
  <si>
    <t>oaiⁿ</t>
  </si>
  <si>
    <t>ㄨㆮ</t>
  </si>
  <si>
    <t>檨</t>
  </si>
  <si>
    <t>uaiʔ</t>
    <phoneticPr fontId="24" type="noConversion"/>
  </si>
  <si>
    <t>uaih</t>
  </si>
  <si>
    <t>oaih</t>
  </si>
  <si>
    <t>uãiʔ</t>
    <phoneticPr fontId="24" type="noConversion"/>
  </si>
  <si>
    <t>uainnh</t>
  </si>
  <si>
    <t>uaihnn</t>
  </si>
  <si>
    <t>uainnh</t>
    <phoneticPr fontId="24" type="noConversion"/>
  </si>
  <si>
    <t>oaihⁿ</t>
  </si>
  <si>
    <t>蹶</t>
  </si>
  <si>
    <t>uan</t>
    <phoneticPr fontId="24" type="noConversion"/>
  </si>
  <si>
    <t>uan</t>
  </si>
  <si>
    <t>oan</t>
  </si>
  <si>
    <t>ㄨㄢ</t>
  </si>
  <si>
    <t>猿</t>
  </si>
  <si>
    <t>uang</t>
  </si>
  <si>
    <t>oang</t>
  </si>
  <si>
    <t>ㄨㄤ</t>
  </si>
  <si>
    <t>闖</t>
  </si>
  <si>
    <t>uã</t>
    <phoneticPr fontId="24" type="noConversion"/>
  </si>
  <si>
    <t>uann</t>
  </si>
  <si>
    <t>nua</t>
  </si>
  <si>
    <t>oaⁿ</t>
  </si>
  <si>
    <t>ㄨㆩ</t>
  </si>
  <si>
    <t>肝</t>
  </si>
  <si>
    <t>uat̚</t>
    <phoneticPr fontId="24" type="noConversion"/>
  </si>
  <si>
    <t>uat</t>
  </si>
  <si>
    <t>oat</t>
  </si>
  <si>
    <t>ㄨㄚㆵ</t>
  </si>
  <si>
    <t>說</t>
  </si>
  <si>
    <t>ue</t>
    <phoneticPr fontId="24" type="noConversion"/>
  </si>
  <si>
    <t>ue</t>
  </si>
  <si>
    <t>oe</t>
  </si>
  <si>
    <t>ㄨㆤ</t>
  </si>
  <si>
    <t>話</t>
  </si>
  <si>
    <t>ueʔ</t>
    <phoneticPr fontId="24" type="noConversion"/>
  </si>
  <si>
    <t>ueh</t>
  </si>
  <si>
    <t>oeh</t>
  </si>
  <si>
    <t>ㄨㆤㆷ</t>
  </si>
  <si>
    <t>拔</t>
  </si>
  <si>
    <t>uʔ</t>
    <phoneticPr fontId="24" type="noConversion"/>
  </si>
  <si>
    <t>uh</t>
  </si>
  <si>
    <t>ㄨㆷ</t>
  </si>
  <si>
    <t>勃</t>
  </si>
  <si>
    <t>ui</t>
    <phoneticPr fontId="24" type="noConversion"/>
  </si>
  <si>
    <t>ui</t>
  </si>
  <si>
    <t>ㄨㄧ</t>
  </si>
  <si>
    <t>歸</t>
  </si>
  <si>
    <t>uiʔ</t>
    <phoneticPr fontId="24" type="noConversion"/>
  </si>
  <si>
    <t>uih</t>
  </si>
  <si>
    <t>uih</t>
    <phoneticPr fontId="24" type="noConversion"/>
  </si>
  <si>
    <t>uĩ</t>
    <phoneticPr fontId="24" type="noConversion"/>
  </si>
  <si>
    <t>uinn</t>
  </si>
  <si>
    <t>nui</t>
  </si>
  <si>
    <t>uiⁿ</t>
  </si>
  <si>
    <t>荒</t>
  </si>
  <si>
    <t>un</t>
    <phoneticPr fontId="24" type="noConversion"/>
  </si>
  <si>
    <t>un</t>
  </si>
  <si>
    <t>ㄨㄣ</t>
  </si>
  <si>
    <t>汾</t>
  </si>
  <si>
    <t>ut̚</t>
    <phoneticPr fontId="24" type="noConversion"/>
  </si>
  <si>
    <t>ut</t>
  </si>
  <si>
    <t>ㄨㆵ</t>
  </si>
  <si>
    <t>不</t>
  </si>
  <si>
    <t>Unicode 編碼</t>
    <phoneticPr fontId="24" type="noConversion"/>
  </si>
  <si>
    <t>實例</t>
    <phoneticPr fontId="24" type="noConversion"/>
  </si>
  <si>
    <t>U+0303</t>
    <phoneticPr fontId="24" type="noConversion"/>
  </si>
  <si>
    <t>U+0294</t>
    <phoneticPr fontId="24" type="noConversion"/>
  </si>
  <si>
    <t>U+0856</t>
    <phoneticPr fontId="24" type="noConversion"/>
  </si>
  <si>
    <t>ㄥ</t>
    <phoneticPr fontId="24" type="noConversion"/>
  </si>
  <si>
    <t>ㆭ</t>
    <phoneticPr fontId="24" type="noConversion"/>
  </si>
  <si>
    <t>響度優先次第： a &gt; oo &gt; (e = o) &gt; (i = u)〈低元音 &gt; 高元音 &gt; 無擦通音 &gt; 擦音 &gt; 塞音〉</t>
  </si>
  <si>
    <t>調號</t>
  </si>
  <si>
    <t>調名</t>
    <phoneticPr fontId="24" type="noConversion"/>
  </si>
  <si>
    <t>鍵盤按鍵</t>
  </si>
  <si>
    <t>台羅調符編碼</t>
    <phoneticPr fontId="24" type="noConversion"/>
  </si>
  <si>
    <t>傳統調號</t>
    <phoneticPr fontId="24" type="noConversion"/>
  </si>
  <si>
    <t>調值</t>
    <phoneticPr fontId="24" type="noConversion"/>
  </si>
  <si>
    <t>調性</t>
    <phoneticPr fontId="24" type="noConversion"/>
  </si>
  <si>
    <t>閩拼調符編碼</t>
    <phoneticPr fontId="24" type="noConversion"/>
  </si>
  <si>
    <t>閩拼調號</t>
    <phoneticPr fontId="24" type="noConversion"/>
  </si>
  <si>
    <t>上平</t>
    <phoneticPr fontId="24" type="noConversion"/>
  </si>
  <si>
    <t>;</t>
    <phoneticPr fontId="24" type="noConversion"/>
  </si>
  <si>
    <t>高音調</t>
    <phoneticPr fontId="24" type="noConversion"/>
  </si>
  <si>
    <t>上聲</t>
    <phoneticPr fontId="24" type="noConversion"/>
  </si>
  <si>
    <t>\</t>
    <phoneticPr fontId="24" type="noConversion"/>
  </si>
  <si>
    <t>下去</t>
    <phoneticPr fontId="24" type="noConversion"/>
  </si>
  <si>
    <t>中音調</t>
    <phoneticPr fontId="24" type="noConversion"/>
  </si>
  <si>
    <t>-</t>
    <phoneticPr fontId="24" type="noConversion"/>
  </si>
  <si>
    <t>U+0302</t>
    <phoneticPr fontId="24" type="noConversion"/>
  </si>
  <si>
    <t>上去</t>
    <phoneticPr fontId="24" type="noConversion"/>
  </si>
  <si>
    <t>_</t>
  </si>
  <si>
    <t>U+0300</t>
    <phoneticPr fontId="24" type="noConversion"/>
  </si>
  <si>
    <t>低音調</t>
    <phoneticPr fontId="24" type="noConversion"/>
  </si>
  <si>
    <t>上入</t>
    <phoneticPr fontId="24" type="noConversion"/>
  </si>
  <si>
    <t>[</t>
    <phoneticPr fontId="24" type="noConversion"/>
  </si>
  <si>
    <t>高降調</t>
    <phoneticPr fontId="24" type="noConversion"/>
  </si>
  <si>
    <t>下平</t>
    <phoneticPr fontId="24" type="noConversion"/>
  </si>
  <si>
    <t>/</t>
  </si>
  <si>
    <t>低升調</t>
    <phoneticPr fontId="24" type="noConversion"/>
  </si>
  <si>
    <t>低促調</t>
    <phoneticPr fontId="24" type="noConversion"/>
  </si>
  <si>
    <t>U+0304</t>
    <phoneticPr fontId="24" type="noConversion"/>
  </si>
  <si>
    <t>下入</t>
    <phoneticPr fontId="24" type="noConversion"/>
  </si>
  <si>
    <t>高促調</t>
    <phoneticPr fontId="24" type="noConversion"/>
  </si>
  <si>
    <t>]</t>
  </si>
  <si>
    <t>U+030D</t>
    <phoneticPr fontId="24" type="noConversion"/>
  </si>
  <si>
    <t>上聲</t>
  </si>
  <si>
    <t>輕聲</t>
    <phoneticPr fontId="24" type="noConversion"/>
  </si>
  <si>
    <t>上標值</t>
    <phoneticPr fontId="24" type="noConversion"/>
  </si>
  <si>
    <t>閩拼調符編碼</t>
  </si>
  <si>
    <t>注音二式</t>
    <phoneticPr fontId="3" type="noConversion"/>
  </si>
  <si>
    <t>注音符號序</t>
    <phoneticPr fontId="24" type="noConversion"/>
  </si>
  <si>
    <t>jji</t>
  </si>
  <si>
    <t>shi</t>
  </si>
  <si>
    <t>台羅字母序</t>
    <phoneticPr fontId="3" type="noConversion"/>
  </si>
  <si>
    <t>拼音字母序</t>
    <phoneticPr fontId="24" type="noConversion"/>
  </si>
  <si>
    <t>家</t>
    <phoneticPr fontId="24" type="noConversion"/>
  </si>
  <si>
    <t>八</t>
    <phoneticPr fontId="24" type="noConversion"/>
  </si>
  <si>
    <t>◯</t>
    <phoneticPr fontId="24" type="noConversion"/>
  </si>
  <si>
    <t>膠（舒）</t>
  </si>
  <si>
    <t>膠（促）</t>
  </si>
  <si>
    <t>皆（舒）</t>
  </si>
  <si>
    <t>皆（促）</t>
  </si>
  <si>
    <t>閒（舒）</t>
  </si>
  <si>
    <t>江（促）</t>
  </si>
  <si>
    <t>甘（舒）</t>
  </si>
  <si>
    <t>干（舒）</t>
  </si>
  <si>
    <t>江（舒）</t>
  </si>
  <si>
    <t>監（舒）</t>
  </si>
  <si>
    <t>監（促）</t>
  </si>
  <si>
    <t>甘（促）</t>
  </si>
  <si>
    <t>干（促）</t>
  </si>
  <si>
    <t>交（舒）</t>
  </si>
  <si>
    <t>交（促）</t>
  </si>
  <si>
    <t>稽（舒）</t>
  </si>
  <si>
    <t>嘉（舒）</t>
  </si>
  <si>
    <t>嘉（促）</t>
  </si>
  <si>
    <t>伽（促）</t>
  </si>
  <si>
    <t>經（促）</t>
  </si>
  <si>
    <t>經（舒）</t>
  </si>
  <si>
    <t>更（舒）</t>
  </si>
  <si>
    <t>更（促）</t>
  </si>
  <si>
    <t>居（舒）</t>
  </si>
  <si>
    <t>迦（舒）</t>
  </si>
  <si>
    <t>迦（促）</t>
  </si>
  <si>
    <t>姜（促）</t>
  </si>
  <si>
    <t>兼（舒）</t>
  </si>
  <si>
    <t>堅（舒）</t>
  </si>
  <si>
    <t>姜（舒）</t>
  </si>
  <si>
    <t>驚（舒）</t>
  </si>
  <si>
    <t>兼（促）</t>
  </si>
  <si>
    <t>堅（促）</t>
  </si>
  <si>
    <t>嬌（舒）</t>
  </si>
  <si>
    <t>嬌（促）</t>
  </si>
  <si>
    <t>嘄（舒）</t>
  </si>
  <si>
    <t>居（促）</t>
  </si>
  <si>
    <t>金（舒）</t>
  </si>
  <si>
    <t>巾（舒）</t>
  </si>
  <si>
    <t>梔（舒）</t>
  </si>
  <si>
    <t>茄（舒）</t>
  </si>
  <si>
    <t>茄（促）</t>
  </si>
  <si>
    <t>恭（促）</t>
  </si>
  <si>
    <t>恭（舒）</t>
  </si>
  <si>
    <t>金（促）</t>
  </si>
  <si>
    <t>巾（促）</t>
  </si>
  <si>
    <t>薑（舒）</t>
  </si>
  <si>
    <t>丩（舒）</t>
  </si>
  <si>
    <t>牛（舒）</t>
  </si>
  <si>
    <t>牛（促）</t>
  </si>
  <si>
    <t>姆（舒）</t>
  </si>
  <si>
    <t>姆（促）</t>
  </si>
  <si>
    <t>鋼（舒）</t>
  </si>
  <si>
    <t>鋼（促）</t>
  </si>
  <si>
    <t>高（舒）</t>
  </si>
  <si>
    <t>高（促）</t>
  </si>
  <si>
    <t>公（促）</t>
  </si>
  <si>
    <t>箴（舒）</t>
  </si>
  <si>
    <t>公（舒）</t>
  </si>
  <si>
    <t>姑（舒）</t>
  </si>
  <si>
    <t>扛（促）</t>
  </si>
  <si>
    <t>沽（舒）</t>
  </si>
  <si>
    <t>沽（促）</t>
  </si>
  <si>
    <t>箴（促）</t>
  </si>
  <si>
    <t>艍（舒）</t>
  </si>
  <si>
    <t>瓜（舒）</t>
  </si>
  <si>
    <t>瓜（促）</t>
  </si>
  <si>
    <t>乖（舒）</t>
  </si>
  <si>
    <t>閂（舒）</t>
  </si>
  <si>
    <t>乖（促）</t>
  </si>
  <si>
    <t>閂（促）</t>
  </si>
  <si>
    <t>觀（舒）</t>
  </si>
  <si>
    <t>光（舒）</t>
  </si>
  <si>
    <t>官（舒）</t>
  </si>
  <si>
    <t>觀（促）</t>
  </si>
  <si>
    <t>檜（舒）</t>
  </si>
  <si>
    <t>檜（促）</t>
  </si>
  <si>
    <t>艍（促）</t>
  </si>
  <si>
    <t>規（舒）</t>
  </si>
  <si>
    <t>褌（促）</t>
  </si>
  <si>
    <t>褌（舒）</t>
  </si>
  <si>
    <t>君（舒）</t>
  </si>
  <si>
    <t>君（促）</t>
  </si>
  <si>
    <r>
      <t>a</t>
    </r>
    <r>
      <rPr>
        <b/>
        <sz val="18"/>
        <color rgb="FFC00000"/>
        <rFont val="Noto Sans"/>
        <family val="2"/>
      </rPr>
      <t>ɪ</t>
    </r>
    <phoneticPr fontId="24" type="noConversion"/>
  </si>
  <si>
    <r>
      <t>a</t>
    </r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ʔ</t>
    </r>
    <phoneticPr fontId="24" type="noConversion"/>
  </si>
  <si>
    <r>
      <t>ã</t>
    </r>
    <r>
      <rPr>
        <b/>
        <sz val="18"/>
        <color rgb="FFC00000"/>
        <rFont val="Noto Sans"/>
        <family val="2"/>
      </rPr>
      <t>ɪ</t>
    </r>
    <phoneticPr fontId="24" type="noConversion"/>
  </si>
  <si>
    <r>
      <t>a</t>
    </r>
    <r>
      <rPr>
        <b/>
        <sz val="18"/>
        <color rgb="FFC00000"/>
        <rFont val="Noto Sans"/>
        <family val="2"/>
      </rPr>
      <t>ŋ</t>
    </r>
    <phoneticPr fontId="24" type="noConversion"/>
  </si>
  <si>
    <r>
      <t>a</t>
    </r>
    <r>
      <rPr>
        <b/>
        <sz val="18"/>
        <color rgb="FFC00000"/>
        <rFont val="Noto Sans"/>
        <family val="2"/>
      </rPr>
      <t>ʊ</t>
    </r>
    <phoneticPr fontId="24" type="noConversion"/>
  </si>
  <si>
    <r>
      <rPr>
        <b/>
        <sz val="18"/>
        <color rgb="FFC00000"/>
        <rFont val="Noto Sans"/>
        <family val="2"/>
      </rPr>
      <t>ɛ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</si>
  <si>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</si>
  <si>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ak̚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</si>
  <si>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am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</si>
  <si>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an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</si>
  <si>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r>
      <rPr>
        <b/>
        <sz val="18"/>
        <color rgb="FFC00000"/>
        <rFont val="Noto Sans"/>
        <family val="2"/>
      </rPr>
      <t>ŋ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</si>
  <si>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ap̚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</si>
  <si>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at̚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</si>
  <si>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r>
      <rPr>
        <b/>
        <sz val="18"/>
        <color rgb="FFC00000"/>
        <rFont val="Noto Sans"/>
        <family val="2"/>
      </rPr>
      <t>ʊ</t>
    </r>
    <phoneticPr fontId="24" type="noConversion"/>
  </si>
  <si>
    <r>
      <t>i</t>
    </r>
    <r>
      <rPr>
        <b/>
        <sz val="18"/>
        <color rgb="FFC00000"/>
        <rFont val="Noto Sans"/>
        <family val="2"/>
      </rPr>
      <t>ŋ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</si>
  <si>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ə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</si>
  <si>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əʔ</t>
    </r>
    <phoneticPr fontId="24" type="noConversion"/>
  </si>
  <si>
    <r>
      <rPr>
        <b/>
        <sz val="18"/>
        <color rgb="FFC00000"/>
        <rFont val="Noto Sans"/>
        <family val="2"/>
      </rPr>
      <t>ɪɔ</t>
    </r>
    <r>
      <rPr>
        <b/>
        <sz val="18"/>
        <color rgb="FFC00000"/>
        <rFont val="Charis SIL"/>
      </rPr>
      <t>k̚</t>
    </r>
    <phoneticPr fontId="24" type="noConversion"/>
  </si>
  <si>
    <r>
      <rPr>
        <b/>
        <sz val="18"/>
        <color rgb="FFC00000"/>
        <rFont val="Noto Sans"/>
        <family val="2"/>
      </rPr>
      <t>ɪɔŋ</t>
    </r>
    <phoneticPr fontId="24" type="noConversion"/>
  </si>
  <si>
    <r>
      <rPr>
        <b/>
        <sz val="18"/>
        <color rgb="FFC00000"/>
        <rFont val="Noto Sans"/>
        <family val="2"/>
      </rPr>
      <t>ɪɔ</t>
    </r>
    <r>
      <rPr>
        <b/>
        <sz val="18"/>
        <color rgb="FFC00000"/>
        <rFont val="Charis SIL"/>
      </rPr>
      <t>̃</t>
    </r>
    <phoneticPr fontId="24" type="noConversion"/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</si>
  <si>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haris SIL"/>
      </rPr>
      <t>̍</t>
    </r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</si>
  <si>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haris SIL"/>
      </rPr>
      <t>̍ʔ</t>
    </r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</si>
  <si>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k̚</t>
    </r>
    <phoneticPr fontId="24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</si>
  <si>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m</t>
    </r>
    <phoneticPr fontId="24" type="noConversion"/>
  </si>
  <si>
    <r>
      <rPr>
        <b/>
        <sz val="18"/>
        <color rgb="FFC00000"/>
        <rFont val="Noto Sans"/>
        <family val="2"/>
      </rPr>
      <t>ɔŋ</t>
    </r>
    <phoneticPr fontId="24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</si>
  <si>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̃</t>
    </r>
    <phoneticPr fontId="24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</si>
  <si>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̃ʔ</t>
    </r>
    <phoneticPr fontId="24" type="noConversion"/>
  </si>
  <si>
    <r>
      <rPr>
        <b/>
        <sz val="18"/>
        <color rgb="FFC00000"/>
        <rFont val="Noto Sans"/>
        <family val="2"/>
      </rPr>
      <t>ɔ</t>
    </r>
    <phoneticPr fontId="24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</si>
  <si>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ʔ</t>
    </r>
    <phoneticPr fontId="24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</si>
  <si>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p̚</t>
    </r>
    <phoneticPr fontId="24" type="noConversion"/>
  </si>
  <si>
    <r>
      <t>ua</t>
    </r>
    <r>
      <rPr>
        <b/>
        <sz val="18"/>
        <color rgb="FFC00000"/>
        <rFont val="Noto Sans"/>
        <family val="2"/>
      </rPr>
      <t>ŋ</t>
    </r>
    <phoneticPr fontId="24" type="noConversion"/>
  </si>
  <si>
    <r>
      <rPr>
        <sz val="18"/>
        <color rgb="FF000000"/>
        <rFont val="Noto Sans"/>
        <family val="2"/>
      </rPr>
      <t>ㄚ</t>
    </r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</si>
  <si>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</si>
  <si>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ㄚㄏ</t>
    </r>
  </si>
  <si>
    <r>
      <rPr>
        <sz val="18"/>
        <color rgb="FF000000"/>
        <rFont val="Noto Sans"/>
        <family val="2"/>
      </rPr>
      <t>ㄞ</t>
    </r>
  </si>
  <si>
    <r>
      <rPr>
        <sz val="18"/>
        <color rgb="FFFF0000"/>
        <rFont val="Microsoft JhengHei"/>
        <family val="2"/>
      </rPr>
      <t>ㄞ</t>
    </r>
    <r>
      <rPr>
        <sz val="18"/>
        <color rgb="FFFF0000"/>
        <rFont val="Charis SIL"/>
      </rPr>
      <t>ㆷ</t>
    </r>
    <phoneticPr fontId="24" type="noConversion"/>
  </si>
  <si>
    <r>
      <t>⁰</t>
    </r>
    <r>
      <rPr>
        <sz val="18"/>
        <color rgb="FF000000"/>
        <rFont val="Noto Sans"/>
        <family val="2"/>
      </rPr>
      <t>ㄞ</t>
    </r>
  </si>
  <si>
    <r>
      <rPr>
        <sz val="18"/>
        <color rgb="FF000000"/>
        <rFont val="Noto Sans TC"/>
        <family val="2"/>
        <charset val="136"/>
      </rPr>
      <t>ㄚ</t>
    </r>
    <r>
      <rPr>
        <sz val="18"/>
        <color rgb="FF000000"/>
        <rFont val="Charis SIL"/>
      </rPr>
      <t>ㆻ</t>
    </r>
    <phoneticPr fontId="24" type="noConversion"/>
  </si>
  <si>
    <r>
      <rPr>
        <sz val="18"/>
        <color rgb="FF000000"/>
        <rFont val="Noto Sans TC"/>
        <family val="2"/>
        <charset val="136"/>
      </rPr>
      <t>ㄚㄍ</t>
    </r>
  </si>
  <si>
    <r>
      <rPr>
        <sz val="18"/>
        <color rgb="FF000000"/>
        <rFont val="Noto Sans"/>
        <family val="2"/>
      </rPr>
      <t>ㄚㄇ</t>
    </r>
  </si>
  <si>
    <r>
      <rPr>
        <sz val="18"/>
        <color rgb="FF000000"/>
        <rFont val="Noto Sans"/>
        <family val="2"/>
      </rPr>
      <t>ㄢ</t>
    </r>
  </si>
  <si>
    <r>
      <rPr>
        <sz val="18"/>
        <color rgb="FF000000"/>
        <rFont val="Noto Sans"/>
        <family val="2"/>
      </rPr>
      <t>ㄤ</t>
    </r>
  </si>
  <si>
    <r>
      <t>⁰</t>
    </r>
    <r>
      <rPr>
        <sz val="18"/>
        <color rgb="FF000000"/>
        <rFont val="Noto Sans"/>
        <family val="2"/>
      </rPr>
      <t>ㄚ</t>
    </r>
  </si>
  <si>
    <r>
      <t>⁰</t>
    </r>
    <r>
      <rPr>
        <sz val="18"/>
        <color rgb="FF000000"/>
        <rFont val="Noto Sans"/>
        <family val="2"/>
      </rPr>
      <t>ㄚㄏ</t>
    </r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</si>
  <si>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</si>
  <si>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ㄚㄅ</t>
    </r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</si>
  <si>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</si>
  <si>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ㄚㄉ</t>
    </r>
  </si>
  <si>
    <r>
      <rPr>
        <sz val="18"/>
        <color rgb="FF000000"/>
        <rFont val="Noto Sans"/>
        <family val="2"/>
      </rPr>
      <t>ㄠ</t>
    </r>
  </si>
  <si>
    <r>
      <rPr>
        <sz val="18"/>
        <color rgb="FF000000"/>
        <rFont val="Noto Sans TC"/>
        <family val="2"/>
        <charset val="136"/>
      </rPr>
      <t>ㄠ</t>
    </r>
    <r>
      <rPr>
        <sz val="18"/>
        <color rgb="FF000000"/>
        <rFont val="Charis SIL"/>
      </rPr>
      <t>ㆷ</t>
    </r>
    <phoneticPr fontId="24" type="noConversion"/>
  </si>
  <si>
    <r>
      <rPr>
        <sz val="18"/>
        <color rgb="FF000000"/>
        <rFont val="Noto Sans TC"/>
        <family val="2"/>
        <charset val="136"/>
      </rPr>
      <t>ㄠㄏ</t>
    </r>
  </si>
  <si>
    <r>
      <rPr>
        <sz val="18"/>
        <color rgb="FF000000"/>
        <rFont val="Noto Sans"/>
        <family val="2"/>
      </rPr>
      <t>ㄝ</t>
    </r>
  </si>
  <si>
    <r>
      <rPr>
        <sz val="18"/>
        <color rgb="FFFF0000"/>
        <rFont val="Microsoft JhengHei UI"/>
        <family val="2"/>
      </rPr>
      <t>ㄝ</t>
    </r>
    <phoneticPr fontId="24" type="noConversion"/>
  </si>
  <si>
    <r>
      <rPr>
        <sz val="18"/>
        <color rgb="FFFF0000"/>
        <rFont val="Microsoft JhengHei UI"/>
        <family val="2"/>
      </rPr>
      <t>ㄝ</t>
    </r>
  </si>
  <si>
    <r>
      <rPr>
        <sz val="18"/>
        <color rgb="FFFF0000"/>
        <rFont val="Microsoft JhengHei UI"/>
        <family val="2"/>
      </rPr>
      <t>ㄝ</t>
    </r>
    <r>
      <rPr>
        <sz val="18"/>
        <color rgb="FFFF0000"/>
        <rFont val="Charis SIL"/>
      </rPr>
      <t>ㆷ</t>
    </r>
    <phoneticPr fontId="24" type="noConversion"/>
  </si>
  <si>
    <r>
      <rPr>
        <sz val="18"/>
        <color rgb="FFFF0000"/>
        <rFont val="Microsoft JhengHei UI"/>
        <family val="2"/>
      </rPr>
      <t>ㄝㄏ</t>
    </r>
  </si>
  <si>
    <r>
      <rPr>
        <sz val="18"/>
        <color rgb="FF000000"/>
        <rFont val="Noto Sans"/>
        <family val="2"/>
      </rPr>
      <t>ㄝㄏ</t>
    </r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</si>
  <si>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haris SIL"/>
      </rPr>
      <t>ㆻ</t>
    </r>
    <phoneticPr fontId="24" type="noConversion"/>
  </si>
  <si>
    <r>
      <rPr>
        <sz val="18"/>
        <color rgb="FFFF0000"/>
        <rFont val="微軟正黑體"/>
        <family val="2"/>
        <charset val="136"/>
      </rPr>
      <t>ㄝㄍ</t>
    </r>
    <phoneticPr fontId="24" type="noConversion"/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</si>
  <si>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haris SIL"/>
      </rPr>
      <t>ㆭ</t>
    </r>
    <phoneticPr fontId="24" type="noConversion"/>
  </si>
  <si>
    <r>
      <rPr>
        <sz val="18"/>
        <color rgb="FFFF0000"/>
        <rFont val="微軟正黑體"/>
        <family val="2"/>
        <charset val="136"/>
      </rPr>
      <t>ㄝㄥ</t>
    </r>
    <phoneticPr fontId="24" type="noConversion"/>
  </si>
  <si>
    <r>
      <t>⁰</t>
    </r>
    <r>
      <rPr>
        <sz val="18"/>
        <color rgb="FF000000"/>
        <rFont val="Noto Sans"/>
        <family val="2"/>
      </rPr>
      <t>ㄝ</t>
    </r>
  </si>
  <si>
    <r>
      <t>⁰</t>
    </r>
    <r>
      <rPr>
        <sz val="18"/>
        <color rgb="FFFF0000"/>
        <rFont val="細明體"/>
        <family val="1"/>
        <charset val="254"/>
      </rPr>
      <t>ㄝㄏ</t>
    </r>
  </si>
  <si>
    <r>
      <rPr>
        <sz val="18"/>
        <color rgb="FF000000"/>
        <rFont val="Noto Sans"/>
        <family val="2"/>
      </rPr>
      <t>ㄧ</t>
    </r>
  </si>
  <si>
    <r>
      <rPr>
        <sz val="18"/>
        <color rgb="FF000000"/>
        <rFont val="Noto Sans"/>
        <family val="2"/>
      </rPr>
      <t>ㄧㄚ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</si>
  <si>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</si>
  <si>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ㄧㄚㄏ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</si>
  <si>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ㆻ</t>
    </r>
  </si>
  <si>
    <r>
      <rPr>
        <sz val="18"/>
        <color rgb="FF000000"/>
        <rFont val="Noto Sans"/>
        <family val="2"/>
      </rPr>
      <t>ㄧㄚㄍ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</si>
  <si>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ㆰ</t>
    </r>
  </si>
  <si>
    <r>
      <rPr>
        <sz val="18"/>
        <color rgb="FF000000"/>
        <rFont val="Noto Sans"/>
        <family val="2"/>
      </rPr>
      <t>ㄧㄚㄇ</t>
    </r>
  </si>
  <si>
    <r>
      <rPr>
        <sz val="18"/>
        <color rgb="FF000000"/>
        <rFont val="Noto Sans"/>
        <family val="2"/>
      </rPr>
      <t>ㄧㄢ</t>
    </r>
  </si>
  <si>
    <r>
      <rPr>
        <sz val="18"/>
        <color rgb="FF000000"/>
        <rFont val="Noto Sans"/>
        <family val="2"/>
      </rPr>
      <t>ㄧㄤ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</si>
  <si>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ㆩ</t>
    </r>
  </si>
  <si>
    <r>
      <t>⁰</t>
    </r>
    <r>
      <rPr>
        <sz val="18"/>
        <color rgb="FF000000"/>
        <rFont val="Noto Sans"/>
        <family val="2"/>
      </rPr>
      <t>ㄧㄚ</t>
    </r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</si>
  <si>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haris SIL"/>
      </rPr>
      <t>ㆩㆷ</t>
    </r>
    <phoneticPr fontId="24" type="noConversion"/>
  </si>
  <si>
    <r>
      <t>⁰</t>
    </r>
    <r>
      <rPr>
        <sz val="18"/>
        <color rgb="FFFF0000"/>
        <rFont val="Microsoft JhengHei"/>
        <family val="2"/>
      </rPr>
      <t>ㄧㄚㄏ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</si>
  <si>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</si>
  <si>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ㄧㄚㄅ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</si>
  <si>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</si>
  <si>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ㄧㄚㄉ</t>
    </r>
  </si>
  <si>
    <r>
      <rPr>
        <sz val="18"/>
        <color rgb="FF000000"/>
        <rFont val="Noto Sans"/>
        <family val="2"/>
      </rPr>
      <t>ㄧㄠ</t>
    </r>
  </si>
  <si>
    <r>
      <rPr>
        <sz val="18"/>
        <color rgb="FF000000"/>
        <rFont val="Noto Sans"/>
        <family val="2"/>
      </rPr>
      <t>ㄧㄠ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</si>
  <si>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ㄧㄠㄏ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</si>
  <si>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ㆯ</t>
    </r>
  </si>
  <si>
    <r>
      <t>⁰</t>
    </r>
    <r>
      <rPr>
        <sz val="18"/>
        <color rgb="FF000000"/>
        <rFont val="Noto Sans"/>
        <family val="2"/>
      </rPr>
      <t>ㄧㄠ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</si>
  <si>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</si>
  <si>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ㄧㄏ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</si>
  <si>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ㆻ</t>
    </r>
  </si>
  <si>
    <r>
      <rPr>
        <sz val="18"/>
        <color rgb="FF000000"/>
        <rFont val="Noto Sans"/>
        <family val="2"/>
      </rPr>
      <t>ㄧㄍ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</si>
  <si>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ㆬ</t>
    </r>
  </si>
  <si>
    <r>
      <rPr>
        <sz val="18"/>
        <color rgb="FF000000"/>
        <rFont val="Noto Sans"/>
        <family val="2"/>
      </rPr>
      <t>ㄧㄇ</t>
    </r>
  </si>
  <si>
    <r>
      <rPr>
        <sz val="18"/>
        <color rgb="FF000000"/>
        <rFont val="Noto Sans"/>
        <family val="2"/>
      </rPr>
      <t>ㄧㄣ</t>
    </r>
  </si>
  <si>
    <r>
      <rPr>
        <sz val="18"/>
        <color rgb="FF000000"/>
        <rFont val="Noto Sans"/>
        <family val="2"/>
      </rPr>
      <t>ㄧㄥ</t>
    </r>
  </si>
  <si>
    <r>
      <t>⁰</t>
    </r>
    <r>
      <rPr>
        <sz val="18"/>
        <color rgb="FF000000"/>
        <rFont val="Noto Sans"/>
        <family val="2"/>
      </rPr>
      <t>ㄧ</t>
    </r>
  </si>
  <si>
    <r>
      <rPr>
        <sz val="18"/>
        <color rgb="FF000000"/>
        <rFont val="Noto Sans"/>
        <family val="2"/>
      </rPr>
      <t>ㄧㄜ</t>
    </r>
  </si>
  <si>
    <r>
      <rPr>
        <sz val="18"/>
        <color rgb="FF000000"/>
        <rFont val="Noto Sans"/>
        <family val="2"/>
      </rPr>
      <t>ㄧㄜ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</si>
  <si>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ㄧㄜㄏ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</si>
  <si>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ㆦㆻ</t>
    </r>
  </si>
  <si>
    <r>
      <rPr>
        <sz val="18"/>
        <color rgb="FF000000"/>
        <rFont val="Noto Sans"/>
        <family val="2"/>
      </rPr>
      <t>ㄧㄛㄍ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</si>
  <si>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ㆲ</t>
    </r>
  </si>
  <si>
    <r>
      <rPr>
        <sz val="18"/>
        <color rgb="FF000000"/>
        <rFont val="Noto Sans"/>
        <family val="2"/>
      </rPr>
      <t>ㄧㄛㄥ</t>
    </r>
  </si>
  <si>
    <r>
      <rPr>
        <sz val="18"/>
        <color rgb="FF000000"/>
        <rFont val="Noto Sans"/>
        <family val="2"/>
      </rPr>
      <t>一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</si>
  <si>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ㄧㄅ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</si>
  <si>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</si>
  <si>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ㄧㄉ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</si>
  <si>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ㆧ</t>
    </r>
  </si>
  <si>
    <r>
      <t>⁰</t>
    </r>
    <r>
      <rPr>
        <sz val="18"/>
        <color rgb="FF000000"/>
        <rFont val="Noto Sans"/>
        <family val="2"/>
      </rPr>
      <t>ㄧㄛ</t>
    </r>
  </si>
  <si>
    <r>
      <rPr>
        <sz val="18"/>
        <color rgb="FF000000"/>
        <rFont val="Noto Sans"/>
        <family val="2"/>
      </rPr>
      <t>ㄧㄨ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</si>
  <si>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ㆫ</t>
    </r>
  </si>
  <si>
    <r>
      <t>⁰</t>
    </r>
    <r>
      <rPr>
        <sz val="18"/>
        <color rgb="FF000000"/>
        <rFont val="Noto Sans"/>
        <family val="2"/>
      </rPr>
      <t>ㄧㄨ</t>
    </r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</si>
  <si>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haris SIL"/>
      </rPr>
      <t>ㆫㆷ</t>
    </r>
    <phoneticPr fontId="24" type="noConversion"/>
  </si>
  <si>
    <r>
      <t>⁰</t>
    </r>
    <r>
      <rPr>
        <sz val="18"/>
        <color rgb="FFFF0000"/>
        <rFont val="Microsoft JhengHei"/>
        <family val="2"/>
      </rPr>
      <t>ㄧㄨㄏ</t>
    </r>
  </si>
  <si>
    <r>
      <rPr>
        <sz val="18"/>
        <color rgb="FF000000"/>
        <rFont val="Noto Sans"/>
        <family val="2"/>
      </rPr>
      <t>ㄇ</t>
    </r>
  </si>
  <si>
    <r>
      <rPr>
        <sz val="18"/>
        <color rgb="FFFF0000"/>
        <rFont val="細明體"/>
        <family val="2"/>
        <charset val="136"/>
      </rPr>
      <t>ㄇㄏ</t>
    </r>
  </si>
  <si>
    <r>
      <rPr>
        <sz val="18"/>
        <color rgb="FF000000"/>
        <rFont val="Noto Sans"/>
        <family val="2"/>
      </rPr>
      <t>ㄥ</t>
    </r>
  </si>
  <si>
    <r>
      <rPr>
        <sz val="18"/>
        <color rgb="FFFF0000"/>
        <rFont val="細明體"/>
        <family val="2"/>
        <charset val="136"/>
      </rPr>
      <t>ㄥㄏ</t>
    </r>
  </si>
  <si>
    <r>
      <rPr>
        <sz val="18"/>
        <color rgb="FF000000"/>
        <rFont val="Noto Sans"/>
        <family val="2"/>
      </rPr>
      <t>ㄜ</t>
    </r>
  </si>
  <si>
    <r>
      <rPr>
        <sz val="18"/>
        <color rgb="FF000000"/>
        <rFont val="Noto Sans"/>
        <family val="2"/>
      </rPr>
      <t>ㄜ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</si>
  <si>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ㄜㄏ</t>
    </r>
  </si>
  <si>
    <r>
      <rPr>
        <sz val="18"/>
        <color rgb="FF000000"/>
        <rFont val="Noto Sans"/>
        <family val="2"/>
      </rPr>
      <t>ㄛㄍ</t>
    </r>
  </si>
  <si>
    <r>
      <rPr>
        <sz val="18"/>
        <color rgb="FF000000"/>
        <rFont val="Noto Sans"/>
        <family val="2"/>
      </rPr>
      <t>ㄛㄇ</t>
    </r>
  </si>
  <si>
    <r>
      <rPr>
        <sz val="18"/>
        <color rgb="FF000000"/>
        <rFont val="Noto Sans"/>
        <family val="2"/>
      </rPr>
      <t>ㄛㄥ</t>
    </r>
  </si>
  <si>
    <r>
      <t>⁰</t>
    </r>
    <r>
      <rPr>
        <sz val="18"/>
        <color rgb="FF000000"/>
        <rFont val="Noto Sans"/>
        <family val="2"/>
      </rPr>
      <t>ㄛ</t>
    </r>
  </si>
  <si>
    <r>
      <t>⁰</t>
    </r>
    <r>
      <rPr>
        <sz val="18"/>
        <color rgb="FF000000"/>
        <rFont val="Noto Sans"/>
        <family val="2"/>
      </rPr>
      <t>ㄛㄏ</t>
    </r>
  </si>
  <si>
    <r>
      <rPr>
        <sz val="18"/>
        <color rgb="FF000000"/>
        <rFont val="Noto Sans"/>
        <family val="2"/>
      </rPr>
      <t>ㄛ</t>
    </r>
  </si>
  <si>
    <r>
      <rPr>
        <sz val="18"/>
        <color rgb="FFFF0000"/>
        <rFont val="細明體"/>
        <family val="2"/>
        <charset val="136"/>
      </rPr>
      <t>ㄛㄏ</t>
    </r>
  </si>
  <si>
    <r>
      <rPr>
        <sz val="18"/>
        <color rgb="FF000000"/>
        <rFont val="Noto Sans"/>
        <family val="2"/>
      </rPr>
      <t>ㄛㄅ</t>
    </r>
  </si>
  <si>
    <r>
      <rPr>
        <sz val="18"/>
        <color rgb="FF000000"/>
        <rFont val="Noto Sans"/>
        <family val="2"/>
      </rPr>
      <t>ㄨ</t>
    </r>
  </si>
  <si>
    <r>
      <rPr>
        <sz val="18"/>
        <color rgb="FF000000"/>
        <rFont val="Noto Sans"/>
        <family val="2"/>
      </rPr>
      <t>ㄨㄚ</t>
    </r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</si>
  <si>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</si>
  <si>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ㄨㄚㄏ</t>
    </r>
  </si>
  <si>
    <r>
      <rPr>
        <sz val="18"/>
        <color rgb="FF000000"/>
        <rFont val="Noto Sans"/>
        <family val="2"/>
      </rPr>
      <t>ㄨㄞ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</si>
  <si>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ㆮ</t>
    </r>
  </si>
  <si>
    <r>
      <t>⁰</t>
    </r>
    <r>
      <rPr>
        <sz val="18"/>
        <color rgb="FF000000"/>
        <rFont val="Noto Sans"/>
        <family val="2"/>
      </rPr>
      <t>ㄨㄞ</t>
    </r>
  </si>
  <si>
    <r>
      <rPr>
        <sz val="18"/>
        <color rgb="FF000000"/>
        <rFont val="Noto Sans"/>
        <family val="2"/>
      </rPr>
      <t>ㄨㄞ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</si>
  <si>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ㄨㄞㄏ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</si>
  <si>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ㆮㆷ</t>
    </r>
  </si>
  <si>
    <r>
      <t>⁰</t>
    </r>
    <r>
      <rPr>
        <sz val="18"/>
        <color rgb="FF000000"/>
        <rFont val="Noto Sans"/>
        <family val="2"/>
      </rPr>
      <t>ㄨㄞㄏ</t>
    </r>
  </si>
  <si>
    <r>
      <rPr>
        <sz val="18"/>
        <color rgb="FF000000"/>
        <rFont val="Noto Sans"/>
        <family val="2"/>
      </rPr>
      <t>ㄨㄢ</t>
    </r>
  </si>
  <si>
    <r>
      <rPr>
        <sz val="18"/>
        <color rgb="FF000000"/>
        <rFont val="Noto Sans"/>
        <family val="2"/>
      </rPr>
      <t>ㄨㄤ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</si>
  <si>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ㆩ</t>
    </r>
  </si>
  <si>
    <r>
      <t>⁰</t>
    </r>
    <r>
      <rPr>
        <sz val="18"/>
        <color rgb="FF000000"/>
        <rFont val="Noto Sans"/>
        <family val="2"/>
      </rPr>
      <t>ㄨㄚ</t>
    </r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</si>
  <si>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</si>
  <si>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ㄨㄚㄉ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</si>
  <si>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ㆤ</t>
    </r>
  </si>
  <si>
    <r>
      <rPr>
        <sz val="18"/>
        <color rgb="FF000000"/>
        <rFont val="Noto Sans"/>
        <family val="2"/>
      </rPr>
      <t>ㄨㄝ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</si>
  <si>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ㆤㆷ</t>
    </r>
  </si>
  <si>
    <r>
      <rPr>
        <sz val="18"/>
        <color rgb="FF000000"/>
        <rFont val="Noto Sans"/>
        <family val="2"/>
      </rPr>
      <t>ㄨㄝㄏ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</si>
  <si>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</si>
  <si>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ㄨㄏ</t>
    </r>
  </si>
  <si>
    <r>
      <rPr>
        <sz val="18"/>
        <color rgb="FF000000"/>
        <rFont val="Noto Sans"/>
        <family val="2"/>
      </rPr>
      <t>ㄨㄧ</t>
    </r>
  </si>
  <si>
    <r>
      <rPr>
        <sz val="18"/>
        <color rgb="FFFF0000"/>
        <rFont val="Microsoft JhengHei"/>
        <family val="2"/>
      </rPr>
      <t>ㄨㄧ</t>
    </r>
    <r>
      <rPr>
        <sz val="18"/>
        <color rgb="FFFF0000"/>
        <rFont val="Charis SIL"/>
      </rPr>
      <t>ㆷ</t>
    </r>
    <phoneticPr fontId="24" type="noConversion"/>
  </si>
  <si>
    <r>
      <rPr>
        <sz val="18"/>
        <color rgb="FFFF0000"/>
        <rFont val="Microsoft JhengHei"/>
        <family val="2"/>
      </rPr>
      <t>ㄨㄧㄏ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</si>
  <si>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ㆪ</t>
    </r>
  </si>
  <si>
    <r>
      <t>⁰</t>
    </r>
    <r>
      <rPr>
        <sz val="18"/>
        <color rgb="FF000000"/>
        <rFont val="Noto Sans"/>
        <family val="2"/>
      </rPr>
      <t>ㄨㄧ</t>
    </r>
  </si>
  <si>
    <r>
      <rPr>
        <sz val="18"/>
        <color rgb="FF000000"/>
        <rFont val="Noto Sans"/>
        <family val="2"/>
      </rPr>
      <t>ㄨㄣ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</si>
  <si>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</si>
  <si>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ㄨㄉ</t>
    </r>
  </si>
  <si>
    <t>゜</t>
    <phoneticPr fontId="24" type="noConversion"/>
  </si>
  <si>
    <t>符號</t>
    <phoneticPr fontId="24" type="noConversion"/>
  </si>
  <si>
    <t>U+309C</t>
    <phoneticPr fontId="24" type="noConversion"/>
  </si>
  <si>
    <t>ʔ</t>
  </si>
  <si>
    <t>əŋ</t>
  </si>
  <si>
    <t>ŋ</t>
    <phoneticPr fontId="24" type="noConversion"/>
  </si>
  <si>
    <t>ə</t>
  </si>
  <si>
    <r>
      <t>o</t>
    </r>
    <r>
      <rPr>
        <sz val="12"/>
        <color theme="1"/>
        <rFont val="Segoe UI"/>
        <family val="2"/>
      </rPr>
      <t>͘</t>
    </r>
    <phoneticPr fontId="24" type="noConversion"/>
  </si>
  <si>
    <t>十進制 Unicode</t>
    <phoneticPr fontId="24" type="noConversion"/>
  </si>
  <si>
    <t>十六進制 Unicode</t>
    <phoneticPr fontId="24" type="noConversion"/>
  </si>
  <si>
    <t>韻序</t>
    <phoneticPr fontId="3" type="noConversion"/>
  </si>
  <si>
    <t>韻母</t>
    <phoneticPr fontId="3" type="noConversion"/>
  </si>
  <si>
    <t>韻母</t>
  </si>
  <si>
    <t>ㆦㆷ</t>
  </si>
  <si>
    <t>ㄚㆻ</t>
  </si>
  <si>
    <t>ㄠㆷ</t>
  </si>
  <si>
    <t>ㆥㆷ</t>
  </si>
  <si>
    <t>驚（促）</t>
  </si>
  <si>
    <t>ㄧㆩㆷ</t>
  </si>
  <si>
    <t>ㆭㆷ</t>
  </si>
  <si>
    <t>ㆬㆷ</t>
  </si>
  <si>
    <t>ㄧㆫㆷ</t>
  </si>
  <si>
    <t>ㄝㆷ</t>
  </si>
  <si>
    <t/>
  </si>
  <si>
    <t>ut̚</t>
  </si>
  <si>
    <t>ɪan</t>
  </si>
  <si>
    <t>ɪat̚</t>
  </si>
  <si>
    <t>ip̚</t>
  </si>
  <si>
    <t>ɛ</t>
  </si>
  <si>
    <t>ee</t>
  </si>
  <si>
    <t>ɛʔ</t>
  </si>
  <si>
    <t>eeh</t>
  </si>
  <si>
    <t>at̚</t>
  </si>
  <si>
    <t>ɔŋ</t>
  </si>
  <si>
    <t>ɔk̚</t>
  </si>
  <si>
    <t>ɛŋ</t>
  </si>
  <si>
    <t>ɛk</t>
  </si>
  <si>
    <t>uat̚</t>
  </si>
  <si>
    <t>ou</t>
  </si>
  <si>
    <t>ɔh</t>
  </si>
  <si>
    <t>ɪaʊ</t>
  </si>
  <si>
    <t>ɪaʊʔ</t>
  </si>
  <si>
    <t>ɪɔŋ</t>
  </si>
  <si>
    <t>ɪɔk̚</t>
  </si>
  <si>
    <t>əʔ</t>
  </si>
  <si>
    <t>aɪ</t>
  </si>
  <si>
    <t>it̚</t>
  </si>
  <si>
    <t>ɪaŋ</t>
  </si>
  <si>
    <t>ɪak̚</t>
  </si>
  <si>
    <t>ap̚</t>
  </si>
  <si>
    <t>uaʔ</t>
  </si>
  <si>
    <t>aŋ</t>
  </si>
  <si>
    <t>ak̚</t>
  </si>
  <si>
    <t>ɪam</t>
  </si>
  <si>
    <t>ɪap̚</t>
  </si>
  <si>
    <t>aʊ</t>
  </si>
  <si>
    <t>auʔ</t>
  </si>
  <si>
    <t>ɪa</t>
  </si>
  <si>
    <t>ɪaʔ</t>
  </si>
  <si>
    <t>uei</t>
  </si>
  <si>
    <t>ueiʔ</t>
  </si>
  <si>
    <t>ã</t>
  </si>
  <si>
    <t>ãʔ</t>
  </si>
  <si>
    <t>uʔ</t>
  </si>
  <si>
    <t>aʔ</t>
  </si>
  <si>
    <t>iʔ</t>
  </si>
  <si>
    <t>ɪu</t>
  </si>
  <si>
    <t>ɛ̃</t>
  </si>
  <si>
    <t>ɛ̃ʔ</t>
  </si>
  <si>
    <t>ɪə</t>
  </si>
  <si>
    <t>ɪəʔ</t>
  </si>
  <si>
    <t>ĩ</t>
  </si>
  <si>
    <t>ɪɔ̃</t>
  </si>
  <si>
    <t>ɪã</t>
  </si>
  <si>
    <t>ɪãh</t>
  </si>
  <si>
    <t>uã</t>
  </si>
  <si>
    <t>ŋ̍h</t>
  </si>
  <si>
    <t>eʔ</t>
  </si>
  <si>
    <t>ãɪ</t>
  </si>
  <si>
    <t>õu</t>
  </si>
  <si>
    <t>m̩</t>
  </si>
  <si>
    <t>m̩h</t>
  </si>
  <si>
    <t>uaŋ</t>
  </si>
  <si>
    <t>uãi</t>
  </si>
  <si>
    <t>ɪãʊ</t>
  </si>
  <si>
    <t>ɔm</t>
  </si>
  <si>
    <t>ɔ̃</t>
  </si>
  <si>
    <t>扛（舒）</t>
  </si>
  <si>
    <t>ɔ̃ʔ</t>
  </si>
  <si>
    <t>ɪũ</t>
  </si>
  <si>
    <t>ɪũʔ</t>
  </si>
  <si>
    <t>耐</t>
    <phoneticPr fontId="3" type="noConversion"/>
  </si>
  <si>
    <t>毛</t>
    <phoneticPr fontId="3" type="noConversion"/>
  </si>
  <si>
    <t>雅</t>
    <phoneticPr fontId="3" type="noConversion"/>
  </si>
  <si>
    <t>發音部位</t>
    <phoneticPr fontId="3" type="noConversion"/>
  </si>
  <si>
    <t>清塞音或塞擦音</t>
    <phoneticPr fontId="3" type="noConversion"/>
  </si>
  <si>
    <t>濁音</t>
    <phoneticPr fontId="3" type="noConversion"/>
  </si>
  <si>
    <t>鼻音</t>
    <phoneticPr fontId="3" type="noConversion"/>
  </si>
  <si>
    <t>擦音</t>
    <phoneticPr fontId="3" type="noConversion"/>
  </si>
  <si>
    <t>邊音</t>
    <phoneticPr fontId="3" type="noConversion"/>
  </si>
  <si>
    <t>唇音</t>
  </si>
  <si>
    <t xml:space="preserve"> /p/</t>
    <phoneticPr fontId="3" type="noConversion"/>
  </si>
  <si>
    <t>b</t>
    <phoneticPr fontId="3" type="noConversion"/>
  </si>
  <si>
    <t xml:space="preserve"> /pʰ/</t>
  </si>
  <si>
    <t>p</t>
    <phoneticPr fontId="3" type="noConversion"/>
  </si>
  <si>
    <t xml:space="preserve"> /b/</t>
  </si>
  <si>
    <t>bb</t>
    <phoneticPr fontId="3" type="noConversion"/>
  </si>
  <si>
    <t xml:space="preserve"> /m/</t>
  </si>
  <si>
    <t>m</t>
    <phoneticPr fontId="3" type="noConversion"/>
  </si>
  <si>
    <t>邊</t>
    <phoneticPr fontId="3" type="noConversion"/>
  </si>
  <si>
    <t>頗</t>
    <phoneticPr fontId="3" type="noConversion"/>
  </si>
  <si>
    <t>門</t>
    <phoneticPr fontId="3" type="noConversion"/>
  </si>
  <si>
    <t>舌尖音</t>
  </si>
  <si>
    <t xml:space="preserve"> /t/</t>
  </si>
  <si>
    <t>d</t>
    <phoneticPr fontId="3" type="noConversion"/>
  </si>
  <si>
    <t xml:space="preserve"> /tʰ/</t>
  </si>
  <si>
    <t>t</t>
    <phoneticPr fontId="3" type="noConversion"/>
  </si>
  <si>
    <t xml:space="preserve"> /n/</t>
  </si>
  <si>
    <t>n</t>
    <phoneticPr fontId="3" type="noConversion"/>
  </si>
  <si>
    <t xml:space="preserve"> /l/</t>
  </si>
  <si>
    <t>l</t>
    <phoneticPr fontId="3" type="noConversion"/>
  </si>
  <si>
    <t>地</t>
    <phoneticPr fontId="3" type="noConversion"/>
  </si>
  <si>
    <t>他</t>
    <phoneticPr fontId="3" type="noConversion"/>
  </si>
  <si>
    <t>柳</t>
    <phoneticPr fontId="3" type="noConversion"/>
  </si>
  <si>
    <t>舌齒音</t>
  </si>
  <si>
    <t xml:space="preserve"> /ʦ/</t>
  </si>
  <si>
    <t>z</t>
    <phoneticPr fontId="3" type="noConversion"/>
  </si>
  <si>
    <t xml:space="preserve"> /ʦʰ/</t>
  </si>
  <si>
    <t>c</t>
    <phoneticPr fontId="3" type="noConversion"/>
  </si>
  <si>
    <t xml:space="preserve"> /ʣ/</t>
  </si>
  <si>
    <t>j</t>
    <phoneticPr fontId="3" type="noConversion"/>
  </si>
  <si>
    <t xml:space="preserve"> /s/</t>
  </si>
  <si>
    <t>s</t>
    <phoneticPr fontId="3" type="noConversion"/>
  </si>
  <si>
    <t>曾</t>
    <phoneticPr fontId="3" type="noConversion"/>
  </si>
  <si>
    <t>出</t>
    <phoneticPr fontId="3" type="noConversion"/>
  </si>
  <si>
    <t>熱</t>
    <phoneticPr fontId="3" type="noConversion"/>
  </si>
  <si>
    <t>ㄙ</t>
    <phoneticPr fontId="3" type="noConversion"/>
  </si>
  <si>
    <t>時</t>
    <phoneticPr fontId="3" type="noConversion"/>
  </si>
  <si>
    <t>齦顎音</t>
  </si>
  <si>
    <t xml:space="preserve"> /ʨ/</t>
  </si>
  <si>
    <t>zz(i)</t>
    <phoneticPr fontId="3" type="noConversion"/>
  </si>
  <si>
    <t xml:space="preserve"> /ʨʰ/</t>
  </si>
  <si>
    <t>ch(i)</t>
    <phoneticPr fontId="3" type="noConversion"/>
  </si>
  <si>
    <t xml:space="preserve"> /ʥ/</t>
  </si>
  <si>
    <t>jj(i)</t>
    <phoneticPr fontId="3" type="noConversion"/>
  </si>
  <si>
    <t xml:space="preserve"> /ɕ/</t>
  </si>
  <si>
    <t>sh(i)</t>
    <phoneticPr fontId="3" type="noConversion"/>
  </si>
  <si>
    <t>止</t>
    <phoneticPr fontId="3" type="noConversion"/>
  </si>
  <si>
    <t>且</t>
    <phoneticPr fontId="3" type="noConversion"/>
  </si>
  <si>
    <t>入</t>
    <phoneticPr fontId="3" type="noConversion"/>
  </si>
  <si>
    <t>舌根音</t>
  </si>
  <si>
    <t xml:space="preserve"> /k/</t>
  </si>
  <si>
    <t>g</t>
    <phoneticPr fontId="3" type="noConversion"/>
  </si>
  <si>
    <t xml:space="preserve"> /kʰ/</t>
  </si>
  <si>
    <t>k</t>
    <phoneticPr fontId="3" type="noConversion"/>
  </si>
  <si>
    <t xml:space="preserve"> /g/</t>
  </si>
  <si>
    <t>gg</t>
    <phoneticPr fontId="3" type="noConversion"/>
  </si>
  <si>
    <t xml:space="preserve"> /ŋ/</t>
  </si>
  <si>
    <t>ng</t>
    <phoneticPr fontId="3" type="noConversion"/>
  </si>
  <si>
    <t>求</t>
    <phoneticPr fontId="3" type="noConversion"/>
  </si>
  <si>
    <t>去</t>
    <phoneticPr fontId="3" type="noConversion"/>
  </si>
  <si>
    <t>語</t>
    <phoneticPr fontId="3" type="noConversion"/>
  </si>
  <si>
    <t>喉音</t>
  </si>
  <si>
    <t xml:space="preserve"> /h/</t>
  </si>
  <si>
    <t>h</t>
    <phoneticPr fontId="3" type="noConversion"/>
  </si>
  <si>
    <t>喜</t>
    <phoneticPr fontId="3" type="noConversion"/>
  </si>
  <si>
    <t>零聲母</t>
  </si>
  <si>
    <t>零聲母</t>
    <phoneticPr fontId="3" type="noConversion"/>
  </si>
  <si>
    <t>Ø</t>
    <phoneticPr fontId="3" type="noConversion"/>
  </si>
  <si>
    <t>英</t>
    <phoneticPr fontId="3" type="noConversion"/>
  </si>
  <si>
    <t>擦音</t>
    <phoneticPr fontId="15" type="noConversion"/>
  </si>
  <si>
    <t>邊音</t>
    <phoneticPr fontId="15" type="noConversion"/>
  </si>
  <si>
    <t>鼻音</t>
    <phoneticPr fontId="15" type="noConversion"/>
  </si>
  <si>
    <t>清塞音/塞擦音（不送氣）</t>
    <phoneticPr fontId="5" type="noConversion"/>
  </si>
  <si>
    <t>清塞音/塞擦音（送氣）</t>
    <phoneticPr fontId="5" type="noConversion"/>
  </si>
  <si>
    <t>不送氣</t>
    <phoneticPr fontId="3" type="noConversion"/>
  </si>
  <si>
    <t>送氣</t>
    <phoneticPr fontId="3" type="noConversion"/>
  </si>
  <si>
    <t>韻腹</t>
  </si>
  <si>
    <t>陰聲韻</t>
  </si>
  <si>
    <t>陽聲韻</t>
  </si>
  <si>
    <t>入聲韻</t>
  </si>
  <si>
    <t>p̚</t>
  </si>
  <si>
    <t>t̚</t>
  </si>
  <si>
    <t>k̚</t>
  </si>
  <si>
    <t>a</t>
    <phoneticPr fontId="3" type="noConversion"/>
  </si>
  <si>
    <t>ann</t>
    <phoneticPr fontId="3" type="noConversion"/>
  </si>
  <si>
    <t>am</t>
    <phoneticPr fontId="3" type="noConversion"/>
  </si>
  <si>
    <t>an</t>
    <phoneticPr fontId="3" type="noConversion"/>
  </si>
  <si>
    <t>aŋ</t>
    <phoneticPr fontId="3" type="noConversion"/>
  </si>
  <si>
    <t>ang</t>
    <phoneticPr fontId="3" type="noConversion"/>
  </si>
  <si>
    <t>ap˺</t>
  </si>
  <si>
    <t>ap</t>
    <phoneticPr fontId="3" type="noConversion"/>
  </si>
  <si>
    <t>at˺</t>
  </si>
  <si>
    <t>at</t>
    <phoneticPr fontId="3" type="noConversion"/>
  </si>
  <si>
    <t>ak˺</t>
  </si>
  <si>
    <t>ak</t>
    <phoneticPr fontId="3" type="noConversion"/>
  </si>
  <si>
    <t>ah</t>
    <phoneticPr fontId="3" type="noConversion"/>
  </si>
  <si>
    <t>annh</t>
    <phoneticPr fontId="3" type="noConversion"/>
  </si>
  <si>
    <t>ㄚ</t>
    <phoneticPr fontId="3" type="noConversion"/>
  </si>
  <si>
    <t>阿</t>
    <phoneticPr fontId="3" type="noConversion"/>
  </si>
  <si>
    <t>ㆩ</t>
    <phoneticPr fontId="3" type="noConversion"/>
  </si>
  <si>
    <t>餡</t>
    <phoneticPr fontId="3" type="noConversion"/>
  </si>
  <si>
    <t>ㆰ</t>
    <phoneticPr fontId="3" type="noConversion"/>
  </si>
  <si>
    <t>庵</t>
    <phoneticPr fontId="3" type="noConversion"/>
  </si>
  <si>
    <t>ㄢ</t>
    <phoneticPr fontId="3" type="noConversion"/>
  </si>
  <si>
    <t>安</t>
    <phoneticPr fontId="3" type="noConversion"/>
  </si>
  <si>
    <t>ㄤ</t>
    <phoneticPr fontId="3" type="noConversion"/>
  </si>
  <si>
    <t>尪</t>
    <phoneticPr fontId="3" type="noConversion"/>
  </si>
  <si>
    <t>ㄚㆴ</t>
    <phoneticPr fontId="3" type="noConversion"/>
  </si>
  <si>
    <t>壓</t>
    <phoneticPr fontId="3" type="noConversion"/>
  </si>
  <si>
    <t>ㄚㆵ</t>
    <phoneticPr fontId="3" type="noConversion"/>
  </si>
  <si>
    <t>遏</t>
    <phoneticPr fontId="3" type="noConversion"/>
  </si>
  <si>
    <t>ㄚㆻ</t>
    <phoneticPr fontId="3" type="noConversion"/>
  </si>
  <si>
    <t>握</t>
    <phoneticPr fontId="3" type="noConversion"/>
  </si>
  <si>
    <t>ㄚㆷ</t>
    <phoneticPr fontId="3" type="noConversion"/>
  </si>
  <si>
    <t>鴨</t>
    <phoneticPr fontId="3" type="noConversion"/>
  </si>
  <si>
    <t>ㆩㆷ</t>
    <phoneticPr fontId="3" type="noConversion"/>
  </si>
  <si>
    <t>熁</t>
  </si>
  <si>
    <t>ai</t>
    <phoneticPr fontId="3" type="noConversion"/>
  </si>
  <si>
    <t>ãi</t>
  </si>
  <si>
    <t>ainn</t>
    <phoneticPr fontId="3" type="noConversion"/>
  </si>
  <si>
    <t>aiʔ</t>
  </si>
  <si>
    <t>aih</t>
    <phoneticPr fontId="3" type="noConversion"/>
  </si>
  <si>
    <t>ãiʔ</t>
  </si>
  <si>
    <t>ainnh</t>
    <phoneticPr fontId="3" type="noConversion"/>
  </si>
  <si>
    <t>ㄞ</t>
    <phoneticPr fontId="3" type="noConversion"/>
  </si>
  <si>
    <t>哀</t>
    <phoneticPr fontId="3" type="noConversion"/>
  </si>
  <si>
    <t>ㆮ</t>
    <phoneticPr fontId="3" type="noConversion"/>
  </si>
  <si>
    <t>閑</t>
    <phoneticPr fontId="3" type="noConversion"/>
  </si>
  <si>
    <r>
      <t>ㄞ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</si>
  <si>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邁</t>
    <phoneticPr fontId="3" type="noConversion"/>
  </si>
  <si>
    <r>
      <t>ㆮ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</si>
  <si>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擺</t>
    <phoneticPr fontId="3" type="noConversion"/>
  </si>
  <si>
    <t>ãʊ</t>
  </si>
  <si>
    <t>au</t>
    <phoneticPr fontId="3" type="noConversion"/>
  </si>
  <si>
    <t>aʊʔ</t>
  </si>
  <si>
    <t>auh</t>
    <phoneticPr fontId="3" type="noConversion"/>
  </si>
  <si>
    <t>ãʊʔ</t>
  </si>
  <si>
    <t>aunnh</t>
    <phoneticPr fontId="3" type="noConversion"/>
  </si>
  <si>
    <t>ㄠ</t>
    <phoneticPr fontId="3" type="noConversion"/>
  </si>
  <si>
    <t>甌</t>
    <phoneticPr fontId="3" type="noConversion"/>
  </si>
  <si>
    <t>ㄠㆷ</t>
    <phoneticPr fontId="3" type="noConversion"/>
  </si>
  <si>
    <t>暴</t>
    <phoneticPr fontId="3" type="noConversion"/>
  </si>
  <si>
    <t>ㆯㆷ</t>
    <phoneticPr fontId="3" type="noConversion"/>
  </si>
  <si>
    <t>好</t>
    <phoneticPr fontId="3" type="noConversion"/>
  </si>
  <si>
    <t>ɛ</t>
    <phoneticPr fontId="3" type="noConversion"/>
  </si>
  <si>
    <t>ee</t>
    <phoneticPr fontId="3" type="noConversion"/>
  </si>
  <si>
    <t>əŋ</t>
    <phoneticPr fontId="3" type="noConversion"/>
  </si>
  <si>
    <t>eng</t>
    <phoneticPr fontId="3" type="noConversion"/>
  </si>
  <si>
    <t>ek</t>
    <phoneticPr fontId="3" type="noConversion"/>
  </si>
  <si>
    <t>ɛʔ</t>
    <phoneticPr fontId="3" type="noConversion"/>
  </si>
  <si>
    <t>eeh</t>
    <phoneticPr fontId="3" type="noConversion"/>
  </si>
  <si>
    <t>ㄝ</t>
    <phoneticPr fontId="3" type="noConversion"/>
  </si>
  <si>
    <t>家</t>
    <phoneticPr fontId="3" type="noConversion"/>
  </si>
  <si>
    <t>ㄥ</t>
    <phoneticPr fontId="3" type="noConversion"/>
  </si>
  <si>
    <t>永</t>
    <phoneticPr fontId="3" type="noConversion"/>
  </si>
  <si>
    <r>
      <t>ㆤ</t>
    </r>
    <r>
      <rPr>
        <sz val="24"/>
        <color theme="7" tint="-0.249977111117893"/>
        <rFont val="Noto Sans TC"/>
        <family val="2"/>
        <charset val="136"/>
      </rPr>
      <t>ㆻ</t>
    </r>
    <phoneticPr fontId="3" type="noConversion"/>
  </si>
  <si>
    <t>益</t>
    <phoneticPr fontId="3" type="noConversion"/>
  </si>
  <si>
    <t>ㄝㆷ</t>
    <phoneticPr fontId="3" type="noConversion"/>
  </si>
  <si>
    <t>格</t>
    <phoneticPr fontId="3" type="noConversion"/>
  </si>
  <si>
    <t>ẽ</t>
  </si>
  <si>
    <t>enn</t>
    <phoneticPr fontId="3" type="noConversion"/>
  </si>
  <si>
    <t>eh</t>
    <phoneticPr fontId="3" type="noConversion"/>
  </si>
  <si>
    <t>ennh</t>
    <phoneticPr fontId="3" type="noConversion"/>
  </si>
  <si>
    <t>ㆤ</t>
    <phoneticPr fontId="3" type="noConversion"/>
  </si>
  <si>
    <t>稽</t>
    <phoneticPr fontId="3" type="noConversion"/>
  </si>
  <si>
    <t>ㆥ</t>
    <phoneticPr fontId="3" type="noConversion"/>
  </si>
  <si>
    <t>嬰</t>
    <phoneticPr fontId="3" type="noConversion"/>
  </si>
  <si>
    <t>ㆤㆷ</t>
    <phoneticPr fontId="3" type="noConversion"/>
  </si>
  <si>
    <t>厄</t>
    <phoneticPr fontId="3" type="noConversion"/>
  </si>
  <si>
    <t>ㆥㆷ</t>
    <phoneticPr fontId="3" type="noConversion"/>
  </si>
  <si>
    <t>擲</t>
    <phoneticPr fontId="3" type="noConversion"/>
  </si>
  <si>
    <t>i</t>
    <phoneticPr fontId="3" type="noConversion"/>
  </si>
  <si>
    <t>ĩ</t>
  </si>
  <si>
    <t>inn</t>
    <phoneticPr fontId="3" type="noConversion"/>
  </si>
  <si>
    <t>im</t>
    <phoneticPr fontId="3" type="noConversion"/>
  </si>
  <si>
    <t>in</t>
    <phoneticPr fontId="3" type="noConversion"/>
  </si>
  <si>
    <t>iŋ</t>
    <phoneticPr fontId="3" type="noConversion"/>
  </si>
  <si>
    <t>ing</t>
    <phoneticPr fontId="3" type="noConversion"/>
  </si>
  <si>
    <t>ip˺</t>
  </si>
  <si>
    <t>ip</t>
    <phoneticPr fontId="3" type="noConversion"/>
  </si>
  <si>
    <t>it˺</t>
  </si>
  <si>
    <t>it</t>
    <phoneticPr fontId="3" type="noConversion"/>
  </si>
  <si>
    <t>ik˺</t>
  </si>
  <si>
    <t>ik</t>
    <phoneticPr fontId="3" type="noConversion"/>
  </si>
  <si>
    <t>ih</t>
    <phoneticPr fontId="3" type="noConversion"/>
  </si>
  <si>
    <t>ĩʔ</t>
  </si>
  <si>
    <t>innh</t>
    <phoneticPr fontId="3" type="noConversion"/>
  </si>
  <si>
    <t>ㄧ</t>
    <phoneticPr fontId="3" type="noConversion"/>
  </si>
  <si>
    <t>伊</t>
    <phoneticPr fontId="3" type="noConversion"/>
  </si>
  <si>
    <t>ㆪ</t>
    <phoneticPr fontId="3" type="noConversion"/>
  </si>
  <si>
    <t>燕</t>
    <phoneticPr fontId="3" type="noConversion"/>
  </si>
  <si>
    <t>ㄧㆬ</t>
    <phoneticPr fontId="3" type="noConversion"/>
  </si>
  <si>
    <t>音</t>
    <phoneticPr fontId="3" type="noConversion"/>
  </si>
  <si>
    <t>ㄧㄣ</t>
    <phoneticPr fontId="3" type="noConversion"/>
  </si>
  <si>
    <t>因</t>
    <phoneticPr fontId="3" type="noConversion"/>
  </si>
  <si>
    <t>ㄧㄥ</t>
    <phoneticPr fontId="3" type="noConversion"/>
  </si>
  <si>
    <t>ㄧㆴ</t>
    <phoneticPr fontId="3" type="noConversion"/>
  </si>
  <si>
    <t>揖</t>
    <phoneticPr fontId="3" type="noConversion"/>
  </si>
  <si>
    <t>ㄧㆵ</t>
    <phoneticPr fontId="3" type="noConversion"/>
  </si>
  <si>
    <t>乙</t>
    <phoneticPr fontId="3" type="noConversion"/>
  </si>
  <si>
    <t>ㄧㆻ</t>
    <phoneticPr fontId="3" type="noConversion"/>
  </si>
  <si>
    <t>ㄧㆷ</t>
    <phoneticPr fontId="3" type="noConversion"/>
  </si>
  <si>
    <t>舌</t>
    <phoneticPr fontId="3" type="noConversion"/>
  </si>
  <si>
    <t>ㆪㆷ</t>
    <phoneticPr fontId="3" type="noConversion"/>
  </si>
  <si>
    <t>物</t>
    <phoneticPr fontId="3" type="noConversion"/>
  </si>
  <si>
    <t>ia</t>
    <phoneticPr fontId="3" type="noConversion"/>
  </si>
  <si>
    <t>iã</t>
  </si>
  <si>
    <t>iann</t>
    <phoneticPr fontId="3" type="noConversion"/>
  </si>
  <si>
    <t>iam</t>
    <phoneticPr fontId="3" type="noConversion"/>
  </si>
  <si>
    <t>ian</t>
    <phoneticPr fontId="3" type="noConversion"/>
  </si>
  <si>
    <t>iaŋ</t>
    <phoneticPr fontId="3" type="noConversion"/>
  </si>
  <si>
    <t>iang</t>
    <phoneticPr fontId="3" type="noConversion"/>
  </si>
  <si>
    <t>iap˺</t>
  </si>
  <si>
    <t>iap</t>
    <phoneticPr fontId="3" type="noConversion"/>
  </si>
  <si>
    <t>iat˺</t>
  </si>
  <si>
    <t>iat</t>
    <phoneticPr fontId="3" type="noConversion"/>
  </si>
  <si>
    <t>iak˺</t>
  </si>
  <si>
    <t>iak</t>
    <phoneticPr fontId="3" type="noConversion"/>
  </si>
  <si>
    <t>iaʔ</t>
  </si>
  <si>
    <t>iah</t>
    <phoneticPr fontId="3" type="noConversion"/>
  </si>
  <si>
    <t>iãʔ</t>
  </si>
  <si>
    <t>iannh</t>
    <phoneticPr fontId="3" type="noConversion"/>
  </si>
  <si>
    <t>ㄧㄚ</t>
    <phoneticPr fontId="3" type="noConversion"/>
  </si>
  <si>
    <t>耶</t>
    <phoneticPr fontId="3" type="noConversion"/>
  </si>
  <si>
    <t>ㄧㆩ</t>
    <phoneticPr fontId="3" type="noConversion"/>
  </si>
  <si>
    <t>纓</t>
    <phoneticPr fontId="3" type="noConversion"/>
  </si>
  <si>
    <t>ㄧㆰ</t>
    <phoneticPr fontId="3" type="noConversion"/>
  </si>
  <si>
    <t>閹</t>
    <phoneticPr fontId="3" type="noConversion"/>
  </si>
  <si>
    <t>ㄧㄢ</t>
    <phoneticPr fontId="3" type="noConversion"/>
  </si>
  <si>
    <t>煙</t>
    <phoneticPr fontId="3" type="noConversion"/>
  </si>
  <si>
    <t>ㄧㄤ</t>
    <phoneticPr fontId="3" type="noConversion"/>
  </si>
  <si>
    <t>雙</t>
    <phoneticPr fontId="3" type="noConversion"/>
  </si>
  <si>
    <t>ㄧㄚㆴ</t>
    <phoneticPr fontId="3" type="noConversion"/>
  </si>
  <si>
    <t>葉</t>
    <phoneticPr fontId="3" type="noConversion"/>
  </si>
  <si>
    <t>ㄧㄚㆵ</t>
    <phoneticPr fontId="3" type="noConversion"/>
  </si>
  <si>
    <t>閱</t>
    <phoneticPr fontId="3" type="noConversion"/>
  </si>
  <si>
    <t>ㄧㄚㆻ</t>
    <phoneticPr fontId="3" type="noConversion"/>
  </si>
  <si>
    <t>約</t>
    <phoneticPr fontId="3" type="noConversion"/>
  </si>
  <si>
    <t>ㄧㄚㆷ</t>
    <phoneticPr fontId="3" type="noConversion"/>
  </si>
  <si>
    <t>役</t>
    <phoneticPr fontId="3" type="noConversion"/>
  </si>
  <si>
    <r>
      <t>ㄧㆩ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</si>
  <si>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挾</t>
    <phoneticPr fontId="3" type="noConversion"/>
  </si>
  <si>
    <t>iaʊ</t>
  </si>
  <si>
    <t>iau</t>
    <phoneticPr fontId="3" type="noConversion"/>
  </si>
  <si>
    <t>iãu</t>
  </si>
  <si>
    <t>iaunn</t>
    <phoneticPr fontId="3" type="noConversion"/>
  </si>
  <si>
    <t>iãʊʔ</t>
  </si>
  <si>
    <t>iauh</t>
    <phoneticPr fontId="3" type="noConversion"/>
  </si>
  <si>
    <t>ㄧㄠ</t>
    <phoneticPr fontId="3" type="noConversion"/>
  </si>
  <si>
    <t>妖</t>
    <phoneticPr fontId="3" type="noConversion"/>
  </si>
  <si>
    <t>ㄧㆯ</t>
    <phoneticPr fontId="3" type="noConversion"/>
  </si>
  <si>
    <t>貓</t>
    <phoneticPr fontId="3" type="noConversion"/>
  </si>
  <si>
    <t>ㄧㄠㆷ</t>
    <phoneticPr fontId="3" type="noConversion"/>
  </si>
  <si>
    <t>沓</t>
    <phoneticPr fontId="3" type="noConversion"/>
  </si>
  <si>
    <t>io</t>
    <phoneticPr fontId="3" type="noConversion"/>
  </si>
  <si>
    <t>ioʔ</t>
  </si>
  <si>
    <t>ioh</t>
    <phoneticPr fontId="3" type="noConversion"/>
  </si>
  <si>
    <t>ㄧㄜ</t>
    <phoneticPr fontId="3" type="noConversion"/>
  </si>
  <si>
    <t>腰</t>
    <phoneticPr fontId="3" type="noConversion"/>
  </si>
  <si>
    <r>
      <t>ㄧㄜ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</si>
  <si>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着</t>
    <phoneticPr fontId="3" type="noConversion"/>
  </si>
  <si>
    <t>iɔ</t>
  </si>
  <si>
    <t>iɔ</t>
    <phoneticPr fontId="3" type="noConversion"/>
  </si>
  <si>
    <t>ioo</t>
    <phoneticPr fontId="3" type="noConversion"/>
  </si>
  <si>
    <t>iɔ̃</t>
  </si>
  <si>
    <t>ioonn</t>
    <phoneticPr fontId="3" type="noConversion"/>
  </si>
  <si>
    <r>
      <rPr>
        <sz val="20"/>
        <color rgb="FFC00000"/>
        <rFont val="吳守禮標楷台語注音"/>
        <family val="2"/>
        <charset val="136"/>
      </rPr>
      <t>i</t>
    </r>
    <r>
      <rPr>
        <sz val="20"/>
        <color rgb="FFC00000"/>
        <rFont val="Arial"/>
        <family val="2"/>
      </rPr>
      <t>ɔŋ</t>
    </r>
    <phoneticPr fontId="3" type="noConversion"/>
  </si>
  <si>
    <t>iong</t>
    <phoneticPr fontId="3" type="noConversion"/>
  </si>
  <si>
    <t>iɔk˺</t>
  </si>
  <si>
    <t>iook</t>
    <phoneticPr fontId="3" type="noConversion"/>
  </si>
  <si>
    <t>iooh</t>
  </si>
  <si>
    <t>ㄧㆦ</t>
    <phoneticPr fontId="3" type="noConversion"/>
  </si>
  <si>
    <t>娘</t>
    <phoneticPr fontId="3" type="noConversion"/>
  </si>
  <si>
    <t>ㄧㆧ</t>
    <phoneticPr fontId="3" type="noConversion"/>
  </si>
  <si>
    <t>鴦</t>
    <phoneticPr fontId="3" type="noConversion"/>
  </si>
  <si>
    <t>ㄧㆲ</t>
    <phoneticPr fontId="3" type="noConversion"/>
  </si>
  <si>
    <t>雍</t>
    <phoneticPr fontId="3" type="noConversion"/>
  </si>
  <si>
    <t>ㄧㆦㆻ</t>
    <phoneticPr fontId="3" type="noConversion"/>
  </si>
  <si>
    <t>育</t>
    <phoneticPr fontId="3" type="noConversion"/>
  </si>
  <si>
    <t>iu</t>
    <phoneticPr fontId="3" type="noConversion"/>
  </si>
  <si>
    <t>iũ</t>
  </si>
  <si>
    <t>iunn</t>
    <phoneticPr fontId="3" type="noConversion"/>
  </si>
  <si>
    <t>iuʔ</t>
  </si>
  <si>
    <t>iuh</t>
    <phoneticPr fontId="3" type="noConversion"/>
  </si>
  <si>
    <t>iũʔ</t>
  </si>
  <si>
    <t>iunnh</t>
    <phoneticPr fontId="3" type="noConversion"/>
  </si>
  <si>
    <t>ㄧㄨ</t>
    <phoneticPr fontId="3" type="noConversion"/>
  </si>
  <si>
    <t>優</t>
    <phoneticPr fontId="3" type="noConversion"/>
  </si>
  <si>
    <t>ㄧㆫ</t>
    <phoneticPr fontId="3" type="noConversion"/>
  </si>
  <si>
    <t>ㄧㄨㆷ</t>
    <phoneticPr fontId="3" type="noConversion"/>
  </si>
  <si>
    <t>抽</t>
    <phoneticPr fontId="3" type="noConversion"/>
  </si>
  <si>
    <r>
      <t>ㄧㆫ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</si>
  <si>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咻</t>
    <phoneticPr fontId="3" type="noConversion"/>
  </si>
  <si>
    <t>ə</t>
    <phoneticPr fontId="3" type="noConversion"/>
  </si>
  <si>
    <t>er</t>
    <phoneticPr fontId="3" type="noConversion"/>
  </si>
  <si>
    <t>əʔ</t>
    <phoneticPr fontId="3" type="noConversion"/>
  </si>
  <si>
    <t>erh</t>
    <phoneticPr fontId="3" type="noConversion"/>
  </si>
  <si>
    <t>ㄜ</t>
    <phoneticPr fontId="3" type="noConversion"/>
  </si>
  <si>
    <t>鍋</t>
    <phoneticPr fontId="3" type="noConversion"/>
  </si>
  <si>
    <t>ㄜㆷ</t>
    <phoneticPr fontId="3" type="noConversion"/>
  </si>
  <si>
    <t>郭</t>
    <phoneticPr fontId="3" type="noConversion"/>
  </si>
  <si>
    <t>o</t>
    <phoneticPr fontId="3" type="noConversion"/>
  </si>
  <si>
    <t>or</t>
    <phoneticPr fontId="3" type="noConversion"/>
  </si>
  <si>
    <t>orh</t>
    <phoneticPr fontId="3" type="noConversion"/>
  </si>
  <si>
    <t>蚵</t>
    <phoneticPr fontId="3" type="noConversion"/>
  </si>
  <si>
    <r>
      <t>ㄜ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</si>
  <si>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博</t>
    <phoneticPr fontId="3" type="noConversion"/>
  </si>
  <si>
    <t>ɔ</t>
  </si>
  <si>
    <t>ɔ</t>
    <phoneticPr fontId="3" type="noConversion"/>
  </si>
  <si>
    <t>oo</t>
    <phoneticPr fontId="3" type="noConversion"/>
  </si>
  <si>
    <t>oonn</t>
    <phoneticPr fontId="3" type="noConversion"/>
  </si>
  <si>
    <t>oom</t>
    <phoneticPr fontId="3" type="noConversion"/>
  </si>
  <si>
    <t>ong</t>
    <phoneticPr fontId="3" type="noConversion"/>
  </si>
  <si>
    <t>ɔp˺</t>
  </si>
  <si>
    <t>oop</t>
    <phoneticPr fontId="3" type="noConversion"/>
  </si>
  <si>
    <t>ɔk˺</t>
  </si>
  <si>
    <t>ook</t>
    <phoneticPr fontId="3" type="noConversion"/>
  </si>
  <si>
    <t>ɔʔ</t>
    <phoneticPr fontId="3" type="noConversion"/>
  </si>
  <si>
    <t>ooh</t>
    <phoneticPr fontId="3" type="noConversion"/>
  </si>
  <si>
    <t>oonnh</t>
    <phoneticPr fontId="3" type="noConversion"/>
  </si>
  <si>
    <t>ㆦ</t>
    <phoneticPr fontId="3" type="noConversion"/>
  </si>
  <si>
    <t>烏</t>
    <phoneticPr fontId="3" type="noConversion"/>
  </si>
  <si>
    <t>ㆧ</t>
    <phoneticPr fontId="3" type="noConversion"/>
  </si>
  <si>
    <t>ㆱ</t>
    <phoneticPr fontId="3" type="noConversion"/>
  </si>
  <si>
    <t>丼</t>
    <phoneticPr fontId="3" type="noConversion"/>
  </si>
  <si>
    <t>ㆲ</t>
    <phoneticPr fontId="3" type="noConversion"/>
  </si>
  <si>
    <t>汪</t>
    <phoneticPr fontId="3" type="noConversion"/>
  </si>
  <si>
    <t>ㆦㆴ</t>
    <phoneticPr fontId="3" type="noConversion"/>
  </si>
  <si>
    <t>鞹</t>
  </si>
  <si>
    <t>ㆦㆻ</t>
    <phoneticPr fontId="3" type="noConversion"/>
  </si>
  <si>
    <t>惡</t>
    <phoneticPr fontId="3" type="noConversion"/>
  </si>
  <si>
    <t>ㆦㆷ</t>
    <phoneticPr fontId="3" type="noConversion"/>
  </si>
  <si>
    <t>瘼</t>
    <phoneticPr fontId="3" type="noConversion"/>
  </si>
  <si>
    <t>ㆧㆷ</t>
    <phoneticPr fontId="3" type="noConversion"/>
  </si>
  <si>
    <t>膜</t>
    <phoneticPr fontId="3" type="noConversion"/>
  </si>
  <si>
    <t>ɨ</t>
    <phoneticPr fontId="3" type="noConversion"/>
  </si>
  <si>
    <t>ir</t>
    <phoneticPr fontId="3" type="noConversion"/>
  </si>
  <si>
    <t>ɨm</t>
    <phoneticPr fontId="3" type="noConversion"/>
  </si>
  <si>
    <t>irm</t>
    <phoneticPr fontId="3" type="noConversion"/>
  </si>
  <si>
    <t>irn</t>
    <phoneticPr fontId="3" type="noConversion"/>
  </si>
  <si>
    <t>ɨŋ</t>
    <phoneticPr fontId="3" type="noConversion"/>
  </si>
  <si>
    <t>irng</t>
    <phoneticPr fontId="3" type="noConversion"/>
  </si>
  <si>
    <t>irp˺</t>
    <phoneticPr fontId="3" type="noConversion"/>
  </si>
  <si>
    <t>irp</t>
    <phoneticPr fontId="3" type="noConversion"/>
  </si>
  <si>
    <t>irt˺</t>
    <phoneticPr fontId="3" type="noConversion"/>
  </si>
  <si>
    <t>irt</t>
    <phoneticPr fontId="3" type="noConversion"/>
  </si>
  <si>
    <t>irk˺</t>
    <phoneticPr fontId="3" type="noConversion"/>
  </si>
  <si>
    <t>irk</t>
    <phoneticPr fontId="3" type="noConversion"/>
  </si>
  <si>
    <t>irh</t>
  </si>
  <si>
    <t>ㆨ</t>
    <phoneticPr fontId="3" type="noConversion"/>
  </si>
  <si>
    <t>於</t>
    <phoneticPr fontId="3" type="noConversion"/>
  </si>
  <si>
    <t>ㆨㆬ</t>
    <phoneticPr fontId="3" type="noConversion"/>
  </si>
  <si>
    <t>蔘</t>
    <phoneticPr fontId="3" type="noConversion"/>
  </si>
  <si>
    <t>恩</t>
    <phoneticPr fontId="3" type="noConversion"/>
  </si>
  <si>
    <t>ㆨㆭ</t>
    <phoneticPr fontId="3" type="noConversion"/>
  </si>
  <si>
    <t>登</t>
    <phoneticPr fontId="3" type="noConversion"/>
  </si>
  <si>
    <r>
      <rPr>
        <sz val="24"/>
        <color theme="7" tint="-0.249977111117893"/>
        <rFont val="Noto Sans TC"/>
        <family val="2"/>
        <charset val="136"/>
      </rPr>
      <t>ㆨ</t>
    </r>
    <r>
      <rPr>
        <sz val="24"/>
        <color theme="7" tint="-0.249977111117893"/>
        <rFont val="新細明體"/>
        <family val="1"/>
        <scheme val="minor"/>
      </rPr>
      <t>ㆴ</t>
    </r>
    <phoneticPr fontId="3" type="noConversion"/>
  </si>
  <si>
    <t>澀</t>
    <phoneticPr fontId="3" type="noConversion"/>
  </si>
  <si>
    <r>
      <rPr>
        <sz val="24"/>
        <color theme="7" tint="-0.249977111117893"/>
        <rFont val="Noto Sans TC"/>
        <family val="2"/>
        <charset val="136"/>
      </rPr>
      <t>ㆨ</t>
    </r>
    <r>
      <rPr>
        <sz val="24"/>
        <color theme="7" tint="-0.249977111117893"/>
        <rFont val="新細明體"/>
        <family val="2"/>
        <charset val="136"/>
        <scheme val="minor"/>
      </rPr>
      <t>ㆵ</t>
    </r>
    <phoneticPr fontId="3" type="noConversion"/>
  </si>
  <si>
    <t>核</t>
    <phoneticPr fontId="3" type="noConversion"/>
  </si>
  <si>
    <r>
      <rPr>
        <sz val="24"/>
        <color theme="7" tint="-0.249977111117893"/>
        <rFont val="Noto Sans TC"/>
        <family val="2"/>
        <charset val="136"/>
      </rPr>
      <t>ㆨ</t>
    </r>
    <r>
      <rPr>
        <sz val="24"/>
        <color theme="7" tint="-0.249977111117893"/>
        <rFont val="新細明體"/>
        <family val="2"/>
        <charset val="136"/>
        <scheme val="minor"/>
      </rPr>
      <t>ㆻ</t>
    </r>
    <phoneticPr fontId="3" type="noConversion"/>
  </si>
  <si>
    <t>疄</t>
    <phoneticPr fontId="3" type="noConversion"/>
  </si>
  <si>
    <t>u</t>
    <phoneticPr fontId="3" type="noConversion"/>
  </si>
  <si>
    <t>un</t>
    <phoneticPr fontId="3" type="noConversion"/>
  </si>
  <si>
    <t>ut˺</t>
    <phoneticPr fontId="3" type="noConversion"/>
  </si>
  <si>
    <t>ut</t>
    <phoneticPr fontId="3" type="noConversion"/>
  </si>
  <si>
    <t>uh</t>
    <phoneticPr fontId="3" type="noConversion"/>
  </si>
  <si>
    <t>ㄨ</t>
    <phoneticPr fontId="3" type="noConversion"/>
  </si>
  <si>
    <t>污</t>
    <phoneticPr fontId="3" type="noConversion"/>
  </si>
  <si>
    <t>ㄨㄣ</t>
    <phoneticPr fontId="3" type="noConversion"/>
  </si>
  <si>
    <t>溫</t>
    <phoneticPr fontId="3" type="noConversion"/>
  </si>
  <si>
    <t>ㄨㆵ</t>
    <phoneticPr fontId="3" type="noConversion"/>
  </si>
  <si>
    <t>熨</t>
    <phoneticPr fontId="3" type="noConversion"/>
  </si>
  <si>
    <t>ㄨㆷ</t>
    <phoneticPr fontId="3" type="noConversion"/>
  </si>
  <si>
    <t>突</t>
    <phoneticPr fontId="3" type="noConversion"/>
  </si>
  <si>
    <t>ua</t>
    <phoneticPr fontId="3" type="noConversion"/>
  </si>
  <si>
    <t>uann</t>
    <phoneticPr fontId="3" type="noConversion"/>
  </si>
  <si>
    <t>uan</t>
    <phoneticPr fontId="3" type="noConversion"/>
  </si>
  <si>
    <t>uang</t>
    <phoneticPr fontId="3" type="noConversion"/>
  </si>
  <si>
    <t>uat˺</t>
  </si>
  <si>
    <t>uat</t>
    <phoneticPr fontId="3" type="noConversion"/>
  </si>
  <si>
    <t>uah</t>
    <phoneticPr fontId="3" type="noConversion"/>
  </si>
  <si>
    <t>ㄨㄚ</t>
    <phoneticPr fontId="3" type="noConversion"/>
  </si>
  <si>
    <t>娃</t>
    <phoneticPr fontId="3" type="noConversion"/>
  </si>
  <si>
    <t>ㄨㆩ</t>
    <phoneticPr fontId="3" type="noConversion"/>
  </si>
  <si>
    <t>鞍</t>
    <phoneticPr fontId="3" type="noConversion"/>
  </si>
  <si>
    <t>ㄨㄢ</t>
    <phoneticPr fontId="3" type="noConversion"/>
  </si>
  <si>
    <t>冤</t>
    <phoneticPr fontId="3" type="noConversion"/>
  </si>
  <si>
    <t>ㄨㄤ</t>
    <phoneticPr fontId="3" type="noConversion"/>
  </si>
  <si>
    <t>嚁</t>
    <phoneticPr fontId="3" type="noConversion"/>
  </si>
  <si>
    <t>ㄨㄚㆵ</t>
    <phoneticPr fontId="3" type="noConversion"/>
  </si>
  <si>
    <t>越</t>
    <phoneticPr fontId="3" type="noConversion"/>
  </si>
  <si>
    <t>ㄨㄚㆷ</t>
    <phoneticPr fontId="3" type="noConversion"/>
  </si>
  <si>
    <t>活</t>
    <phoneticPr fontId="3" type="noConversion"/>
  </si>
  <si>
    <t>uai</t>
    <phoneticPr fontId="3" type="noConversion"/>
  </si>
  <si>
    <t>uainn</t>
    <phoneticPr fontId="3" type="noConversion"/>
  </si>
  <si>
    <t>ㄨㄞ</t>
    <phoneticPr fontId="3" type="noConversion"/>
  </si>
  <si>
    <t>歪</t>
    <phoneticPr fontId="3" type="noConversion"/>
  </si>
  <si>
    <t>ㄨㆮ</t>
    <phoneticPr fontId="3" type="noConversion"/>
  </si>
  <si>
    <t>關</t>
    <phoneticPr fontId="3" type="noConversion"/>
  </si>
  <si>
    <t>uɛ</t>
  </si>
  <si>
    <t>uɛ</t>
    <phoneticPr fontId="3" type="noConversion"/>
  </si>
  <si>
    <t>uee</t>
    <phoneticPr fontId="3" type="noConversion"/>
  </si>
  <si>
    <t>ueeh</t>
  </si>
  <si>
    <r>
      <t>ㄨ</t>
    </r>
    <r>
      <rPr>
        <sz val="24"/>
        <color rgb="FFFF0000"/>
        <rFont val="Noto Sans TC"/>
        <family val="2"/>
        <charset val="136"/>
      </rPr>
      <t>ㄝ</t>
    </r>
    <phoneticPr fontId="3" type="noConversion"/>
  </si>
  <si>
    <t>話</t>
    <phoneticPr fontId="3" type="noConversion"/>
  </si>
  <si>
    <t>ue</t>
    <phoneticPr fontId="3" type="noConversion"/>
  </si>
  <si>
    <t>ueʔ</t>
  </si>
  <si>
    <t>ueh</t>
    <phoneticPr fontId="3" type="noConversion"/>
  </si>
  <si>
    <t>ㄨㆤ</t>
    <phoneticPr fontId="3" type="noConversion"/>
  </si>
  <si>
    <t>ㄨㆤㆷ</t>
    <phoneticPr fontId="3" type="noConversion"/>
  </si>
  <si>
    <t>劃</t>
    <phoneticPr fontId="3" type="noConversion"/>
  </si>
  <si>
    <t>ui</t>
    <phoneticPr fontId="3" type="noConversion"/>
  </si>
  <si>
    <t>ㄨㄧ</t>
    <phoneticPr fontId="3" type="noConversion"/>
  </si>
  <si>
    <t>威</t>
    <phoneticPr fontId="3" type="noConversion"/>
  </si>
  <si>
    <t>ɯi</t>
  </si>
  <si>
    <t>ɯi</t>
    <phoneticPr fontId="3" type="noConversion"/>
  </si>
  <si>
    <t>irinn</t>
    <phoneticPr fontId="3" type="noConversion"/>
  </si>
  <si>
    <t>ㆨㆪ</t>
    <phoneticPr fontId="3" type="noConversion"/>
  </si>
  <si>
    <t>əe</t>
  </si>
  <si>
    <t>əe</t>
    <phoneticPr fontId="3" type="noConversion"/>
  </si>
  <si>
    <t>ere</t>
    <phoneticPr fontId="3" type="noConversion"/>
  </si>
  <si>
    <t>əeʔ</t>
    <phoneticPr fontId="3" type="noConversion"/>
  </si>
  <si>
    <t>ereh</t>
    <phoneticPr fontId="3" type="noConversion"/>
  </si>
  <si>
    <t>ㄜㆤ</t>
    <phoneticPr fontId="3" type="noConversion"/>
  </si>
  <si>
    <t>挨</t>
    <phoneticPr fontId="3" type="noConversion"/>
  </si>
  <si>
    <r>
      <t>ㄜ</t>
    </r>
    <r>
      <rPr>
        <sz val="24"/>
        <color theme="7" tint="-0.249977111117893"/>
        <rFont val="Noto Sans TC"/>
        <family val="2"/>
        <charset val="136"/>
      </rPr>
      <t>ㆤㆷ</t>
    </r>
    <phoneticPr fontId="3" type="noConversion"/>
  </si>
  <si>
    <t>狹</t>
    <phoneticPr fontId="3" type="noConversion"/>
  </si>
  <si>
    <t>mʔ</t>
  </si>
  <si>
    <t>mh</t>
    <phoneticPr fontId="3" type="noConversion"/>
  </si>
  <si>
    <t>ㆬ</t>
    <phoneticPr fontId="3" type="noConversion"/>
  </si>
  <si>
    <t>姆</t>
    <phoneticPr fontId="3" type="noConversion"/>
  </si>
  <si>
    <t>ㆬㆷ</t>
    <phoneticPr fontId="3" type="noConversion"/>
  </si>
  <si>
    <t>默</t>
    <phoneticPr fontId="3" type="noConversion"/>
  </si>
  <si>
    <t>ŋʔ</t>
  </si>
  <si>
    <t>ngh</t>
    <phoneticPr fontId="3" type="noConversion"/>
  </si>
  <si>
    <t>ㆭ</t>
    <phoneticPr fontId="3" type="noConversion"/>
  </si>
  <si>
    <t>秧</t>
    <phoneticPr fontId="3" type="noConversion"/>
  </si>
  <si>
    <t>ㆭㆷ</t>
    <phoneticPr fontId="3" type="noConversion"/>
  </si>
  <si>
    <t>發音部位
舊名</t>
    <phoneticPr fontId="3" type="noConversion"/>
  </si>
  <si>
    <t>發音部位
新名</t>
    <phoneticPr fontId="3" type="noConversion"/>
  </si>
  <si>
    <t>重唇</t>
    <phoneticPr fontId="3" type="noConversion"/>
  </si>
  <si>
    <t>輕唇</t>
    <phoneticPr fontId="3" type="noConversion"/>
  </si>
  <si>
    <t>雙唇</t>
    <phoneticPr fontId="3" type="noConversion"/>
  </si>
  <si>
    <t>唇齒</t>
    <phoneticPr fontId="3" type="noConversion"/>
  </si>
  <si>
    <t>舌尖中</t>
    <phoneticPr fontId="3" type="noConversion"/>
  </si>
  <si>
    <t>舌尖後</t>
    <phoneticPr fontId="3" type="noConversion"/>
  </si>
  <si>
    <t>舌音</t>
    <phoneticPr fontId="3" type="noConversion"/>
  </si>
  <si>
    <t>舌頭</t>
    <phoneticPr fontId="3" type="noConversion"/>
  </si>
  <si>
    <t>舌上</t>
    <phoneticPr fontId="3" type="noConversion"/>
  </si>
  <si>
    <t>幫</t>
    <phoneticPr fontId="3" type="noConversion"/>
  </si>
  <si>
    <t>滂</t>
    <phoneticPr fontId="3" type="noConversion"/>
  </si>
  <si>
    <t>並</t>
    <phoneticPr fontId="3" type="noConversion"/>
  </si>
  <si>
    <t>明</t>
    <phoneticPr fontId="3" type="noConversion"/>
  </si>
  <si>
    <t>發音方法</t>
    <phoneticPr fontId="3" type="noConversion"/>
  </si>
  <si>
    <t>全清</t>
    <phoneticPr fontId="3" type="noConversion"/>
  </si>
  <si>
    <t>次清</t>
    <phoneticPr fontId="3" type="noConversion"/>
  </si>
  <si>
    <t>全濁</t>
    <phoneticPr fontId="3" type="noConversion"/>
  </si>
  <si>
    <t>次濁（清濁）</t>
    <phoneticPr fontId="3" type="noConversion"/>
  </si>
  <si>
    <t>端</t>
    <phoneticPr fontId="3" type="noConversion"/>
  </si>
  <si>
    <t>透</t>
    <phoneticPr fontId="3" type="noConversion"/>
  </si>
  <si>
    <t>泥</t>
    <phoneticPr fontId="3" type="noConversion"/>
  </si>
  <si>
    <t>舌尖前</t>
    <phoneticPr fontId="3" type="noConversion"/>
  </si>
  <si>
    <t>齒音</t>
    <phoneticPr fontId="3" type="noConversion"/>
  </si>
  <si>
    <t>齒頭</t>
    <phoneticPr fontId="3" type="noConversion"/>
  </si>
  <si>
    <t>正齒</t>
    <phoneticPr fontId="3" type="noConversion"/>
  </si>
  <si>
    <t>牙音</t>
    <phoneticPr fontId="3" type="noConversion"/>
  </si>
  <si>
    <t>舌根</t>
    <phoneticPr fontId="3" type="noConversion"/>
  </si>
  <si>
    <t>舌面前</t>
    <phoneticPr fontId="3" type="noConversion"/>
  </si>
  <si>
    <t>半元音</t>
    <phoneticPr fontId="3" type="noConversion"/>
  </si>
  <si>
    <t>影</t>
    <phoneticPr fontId="3" type="noConversion"/>
  </si>
  <si>
    <t>半舌音</t>
    <phoneticPr fontId="3" type="noConversion"/>
  </si>
  <si>
    <t>半齒音</t>
    <phoneticPr fontId="3" type="noConversion"/>
  </si>
  <si>
    <t>日</t>
    <phoneticPr fontId="3" type="noConversion"/>
  </si>
  <si>
    <t>來</t>
    <phoneticPr fontId="3" type="noConversion"/>
  </si>
  <si>
    <t>喻</t>
    <phoneticPr fontId="3" type="noConversion"/>
  </si>
  <si>
    <t>曉</t>
    <phoneticPr fontId="3" type="noConversion"/>
  </si>
  <si>
    <t>匣</t>
    <phoneticPr fontId="3" type="noConversion"/>
  </si>
  <si>
    <t>非</t>
    <phoneticPr fontId="3" type="noConversion"/>
  </si>
  <si>
    <t>敷</t>
    <phoneticPr fontId="3" type="noConversion"/>
  </si>
  <si>
    <t>奉</t>
    <phoneticPr fontId="3" type="noConversion"/>
  </si>
  <si>
    <t>微</t>
    <phoneticPr fontId="3" type="noConversion"/>
  </si>
  <si>
    <t>[f]</t>
    <phoneticPr fontId="3" type="noConversion"/>
  </si>
  <si>
    <r>
      <t>[f</t>
    </r>
    <r>
      <rPr>
        <sz val="28"/>
        <color theme="1"/>
        <rFont val="Segoe UI"/>
        <family val="1"/>
        <charset val="1"/>
      </rPr>
      <t>ʰ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</si>
  <si>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[v]</t>
    <phoneticPr fontId="3" type="noConversion"/>
  </si>
  <si>
    <r>
      <rPr>
        <sz val="28"/>
        <color theme="1"/>
        <rFont val="細明體"/>
        <family val="1"/>
        <charset val="136"/>
      </rPr>
      <t>[</t>
    </r>
    <r>
      <rPr>
        <sz val="28"/>
        <color theme="1"/>
        <rFont val="Segoe UI"/>
        <family val="1"/>
        <charset val="1"/>
      </rPr>
      <t>ɱ</t>
    </r>
    <r>
      <rPr>
        <sz val="28"/>
        <color theme="1"/>
        <rFont val="細明體"/>
        <family val="1"/>
        <charset val="136"/>
      </rPr>
      <t>]</t>
    </r>
    <phoneticPr fontId="3" type="noConversion"/>
  </si>
  <si>
    <t>知</t>
    <phoneticPr fontId="3" type="noConversion"/>
  </si>
  <si>
    <t>徹</t>
    <phoneticPr fontId="3" type="noConversion"/>
  </si>
  <si>
    <t>澄</t>
    <phoneticPr fontId="3" type="noConversion"/>
  </si>
  <si>
    <r>
      <t>[</t>
    </r>
    <r>
      <rPr>
        <sz val="28"/>
        <color theme="1"/>
        <rFont val="Segoe UI"/>
        <family val="1"/>
        <charset val="1"/>
      </rPr>
      <t>ʈ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</si>
  <si>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r>
      <t>[</t>
    </r>
    <r>
      <rPr>
        <sz val="28"/>
        <color theme="1"/>
        <rFont val="Segoe UI"/>
        <family val="1"/>
        <charset val="1"/>
      </rPr>
      <t>ʈʰ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</si>
  <si>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r>
      <t xml:space="preserve"> [</t>
    </r>
    <r>
      <rPr>
        <sz val="28"/>
        <color theme="1"/>
        <rFont val="Segoe UI"/>
        <family val="1"/>
        <charset val="1"/>
      </rPr>
      <t>ɖ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</si>
  <si>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r>
      <t>[</t>
    </r>
    <r>
      <rPr>
        <sz val="28"/>
        <color theme="1"/>
        <rFont val="Segoe UI"/>
        <family val="1"/>
        <charset val="1"/>
      </rPr>
      <t>ɳ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</si>
  <si>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[p]</t>
    <phoneticPr fontId="3" type="noConversion"/>
  </si>
  <si>
    <r>
      <t xml:space="preserve"> [p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  <scheme val="minor"/>
      </rPr>
      <t>]</t>
    </r>
    <phoneticPr fontId="3" type="noConversion"/>
  </si>
  <si>
    <t xml:space="preserve"> [b]</t>
    <phoneticPr fontId="3" type="noConversion"/>
  </si>
  <si>
    <t xml:space="preserve"> [m]</t>
    <phoneticPr fontId="3" type="noConversion"/>
  </si>
  <si>
    <t xml:space="preserve"> [n]</t>
    <phoneticPr fontId="3" type="noConversion"/>
  </si>
  <si>
    <r>
      <t xml:space="preserve"> [t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</rPr>
      <t>]</t>
    </r>
    <phoneticPr fontId="3" type="noConversion"/>
  </si>
  <si>
    <t xml:space="preserve"> [t]</t>
    <phoneticPr fontId="3" type="noConversion"/>
  </si>
  <si>
    <t>定</t>
    <phoneticPr fontId="3" type="noConversion"/>
  </si>
  <si>
    <t>[d]</t>
    <phoneticPr fontId="3" type="noConversion"/>
  </si>
  <si>
    <t>[ʦ]</t>
    <phoneticPr fontId="3" type="noConversion"/>
  </si>
  <si>
    <t xml:space="preserve"> [ʦʰ]</t>
    <phoneticPr fontId="3" type="noConversion"/>
  </si>
  <si>
    <t xml:space="preserve"> [ʣ]</t>
    <phoneticPr fontId="3" type="noConversion"/>
  </si>
  <si>
    <t>精</t>
    <phoneticPr fontId="3" type="noConversion"/>
  </si>
  <si>
    <t>清</t>
    <phoneticPr fontId="3" type="noConversion"/>
  </si>
  <si>
    <t>從</t>
    <phoneticPr fontId="3" type="noConversion"/>
  </si>
  <si>
    <t>邪</t>
    <phoneticPr fontId="3" type="noConversion"/>
  </si>
  <si>
    <t>[z]</t>
    <phoneticPr fontId="3" type="noConversion"/>
  </si>
  <si>
    <t xml:space="preserve"> [s]</t>
    <phoneticPr fontId="3" type="noConversion"/>
  </si>
  <si>
    <t xml:space="preserve"> [ʨ]</t>
    <phoneticPr fontId="3" type="noConversion"/>
  </si>
  <si>
    <t xml:space="preserve"> [ʨʰ]</t>
    <phoneticPr fontId="3" type="noConversion"/>
  </si>
  <si>
    <t xml:space="preserve"> [ʥ]</t>
    <phoneticPr fontId="3" type="noConversion"/>
  </si>
  <si>
    <t>[ʑ]</t>
    <phoneticPr fontId="3" type="noConversion"/>
  </si>
  <si>
    <t>禪</t>
    <phoneticPr fontId="3" type="noConversion"/>
  </si>
  <si>
    <t>心</t>
    <phoneticPr fontId="3" type="noConversion"/>
  </si>
  <si>
    <t>照</t>
    <phoneticPr fontId="3" type="noConversion"/>
  </si>
  <si>
    <t>穿</t>
    <phoneticPr fontId="3" type="noConversion"/>
  </si>
  <si>
    <t>牀</t>
    <phoneticPr fontId="3" type="noConversion"/>
  </si>
  <si>
    <t>審</t>
    <phoneticPr fontId="3" type="noConversion"/>
  </si>
  <si>
    <t>見</t>
    <phoneticPr fontId="3" type="noConversion"/>
  </si>
  <si>
    <t>溪</t>
    <phoneticPr fontId="3" type="noConversion"/>
  </si>
  <si>
    <t>群</t>
    <phoneticPr fontId="3" type="noConversion"/>
  </si>
  <si>
    <t>疑</t>
    <phoneticPr fontId="3" type="noConversion"/>
  </si>
  <si>
    <t xml:space="preserve"> [ŋ]</t>
    <phoneticPr fontId="3" type="noConversion"/>
  </si>
  <si>
    <t xml:space="preserve"> [g]</t>
    <phoneticPr fontId="3" type="noConversion"/>
  </si>
  <si>
    <t xml:space="preserve"> [kʰ]</t>
    <phoneticPr fontId="3" type="noConversion"/>
  </si>
  <si>
    <t xml:space="preserve"> [k]</t>
    <phoneticPr fontId="3" type="noConversion"/>
  </si>
  <si>
    <t xml:space="preserve"> [ɕ]</t>
    <phoneticPr fontId="3" type="noConversion"/>
  </si>
  <si>
    <t>[ʔ]</t>
    <phoneticPr fontId="3" type="noConversion"/>
  </si>
  <si>
    <t>[x]</t>
    <phoneticPr fontId="3" type="noConversion"/>
  </si>
  <si>
    <r>
      <rPr>
        <sz val="28"/>
        <color theme="1"/>
        <rFont val="Noto Sans TC Black"/>
        <family val="2"/>
        <charset val="136"/>
      </rPr>
      <t>[</t>
    </r>
    <r>
      <rPr>
        <sz val="28"/>
        <color theme="1"/>
        <rFont val="Charis SIL"/>
      </rPr>
      <t>ɣ</t>
    </r>
    <r>
      <rPr>
        <sz val="28"/>
        <color theme="1"/>
        <rFont val="Noto Sans TC Black"/>
        <family val="2"/>
        <charset val="136"/>
      </rPr>
      <t>]</t>
    </r>
    <phoneticPr fontId="3" type="noConversion"/>
  </si>
  <si>
    <t>[j]</t>
    <phoneticPr fontId="3" type="noConversion"/>
  </si>
  <si>
    <t>[l]</t>
    <phoneticPr fontId="3" type="noConversion"/>
  </si>
  <si>
    <t xml:space="preserve"> [ɲʑ]</t>
    <phoneticPr fontId="3" type="noConversion"/>
  </si>
  <si>
    <t>台語沒有華語的捲舌音（zh, ch, sh, r），中古漢語的捲舌音在台語裡一律讀作舌尖音。 </t>
  </si>
  <si>
    <r>
      <t>改用</t>
    </r>
    <r>
      <rPr>
        <b/>
        <sz val="24"/>
        <rFont val="Arial"/>
        <family val="2"/>
      </rPr>
      <t>台羅拼音</t>
    </r>
    <r>
      <rPr>
        <sz val="24"/>
        <rFont val="Arial"/>
        <family val="2"/>
      </rPr>
      <t>來對應與舉例： </t>
    </r>
  </si>
  <si>
    <r>
      <t>1. 輕唇音（脣齒音）</t>
    </r>
    <r>
      <rPr>
        <sz val="24"/>
        <rFont val="Arial"/>
        <family val="2"/>
      </rPr>
      <t> </t>
    </r>
  </si>
  <si>
    <r>
      <t>[f] 非 / [fʰ] 敷 / [v] 奉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</si>
  <si>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台語歷史上沒有發展出唇齒擦音 [f]，所以這些字在台羅中大都回歸到重唇音（雙唇音），對應 </t>
    </r>
    <r>
      <rPr>
        <b/>
        <sz val="24"/>
        <rFont val="Arial"/>
        <family val="2"/>
      </rPr>
      <t>p</t>
    </r>
    <r>
      <rPr>
        <sz val="24"/>
        <rFont val="Arial"/>
        <family val="2"/>
      </rPr>
      <t xml:space="preserve">（不送氣清音）或 </t>
    </r>
    <r>
      <rPr>
        <b/>
        <sz val="24"/>
        <rFont val="Arial"/>
        <family val="2"/>
      </rPr>
      <t>ph</t>
    </r>
    <r>
      <rPr>
        <sz val="24"/>
        <rFont val="Arial"/>
        <family val="2"/>
      </rPr>
      <t>（送氣清音）。 </t>
    </r>
  </si>
  <si>
    <r>
      <t>舉例：</t>
    </r>
    <r>
      <rPr>
        <sz val="24"/>
        <rFont val="Arial"/>
        <family val="2"/>
      </rPr>
      <t> </t>
    </r>
  </si>
  <si>
    <r>
      <t xml:space="preserve">「非」：台羅 </t>
    </r>
    <r>
      <rPr>
        <b/>
        <sz val="24"/>
        <rFont val="Arial"/>
        <family val="2"/>
      </rPr>
      <t>hui</t>
    </r>
    <r>
      <rPr>
        <sz val="24"/>
        <rFont val="Arial"/>
        <family val="2"/>
      </rPr>
      <t xml:space="preserve">（特別的讀法）/ 類似字「副」讀 </t>
    </r>
    <r>
      <rPr>
        <b/>
        <sz val="24"/>
        <rFont val="Arial"/>
        <family val="2"/>
      </rPr>
      <t>phù</t>
    </r>
    <r>
      <rPr>
        <sz val="24"/>
        <rFont val="Arial"/>
        <family val="2"/>
      </rPr>
      <t>。 </t>
    </r>
  </si>
  <si>
    <r>
      <t xml:space="preserve">「敷」：台羅 </t>
    </r>
    <r>
      <rPr>
        <b/>
        <sz val="24"/>
        <rFont val="Arial"/>
        <family val="2"/>
      </rPr>
      <t>phu</t>
    </r>
    <r>
      <rPr>
        <sz val="24"/>
        <rFont val="Arial"/>
        <family val="2"/>
      </rPr>
      <t>，例如「敷藥 (phu-io̍h)」。 </t>
    </r>
  </si>
  <si>
    <r>
      <t xml:space="preserve">「奉」：台羅 </t>
    </r>
    <r>
      <rPr>
        <b/>
        <sz val="24"/>
        <rFont val="Arial"/>
        <family val="2"/>
      </rPr>
      <t>pōng</t>
    </r>
    <r>
      <rPr>
        <sz val="24"/>
        <rFont val="Arial"/>
        <family val="2"/>
      </rPr>
      <t>，例如「奉敬 (pōng-kìng)」。 </t>
    </r>
  </si>
  <si>
    <r>
      <t>[ɱ] 微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</si>
  <si>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在台語中完美保留了鼻音特徵，對應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 xml:space="preserve"> 的發音。 </t>
    </r>
  </si>
  <si>
    <r>
      <t>舉例：</t>
    </r>
    <r>
      <rPr>
        <sz val="24"/>
        <rFont val="Arial"/>
        <family val="2"/>
      </rPr>
      <t xml:space="preserve"> 「微」台羅 </t>
    </r>
    <r>
      <rPr>
        <b/>
        <sz val="24"/>
        <rFont val="Arial"/>
        <family val="2"/>
      </rPr>
      <t>bî</t>
    </r>
    <r>
      <rPr>
        <sz val="24"/>
        <rFont val="Arial"/>
        <family val="2"/>
      </rPr>
      <t xml:space="preserve">（文讀）/「無」台羅 </t>
    </r>
    <r>
      <rPr>
        <b/>
        <sz val="24"/>
        <rFont val="Arial"/>
        <family val="2"/>
      </rPr>
      <t>bô</t>
    </r>
    <r>
      <rPr>
        <sz val="24"/>
        <rFont val="Arial"/>
        <family val="2"/>
      </rPr>
      <t xml:space="preserve">；但在白讀音中，微母字常對應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>，例如「目 (ba̍k/mats)」或「微 (mî)」。 </t>
    </r>
  </si>
  <si>
    <r>
      <t>2. 舌上音（捲舌音 ➡️ 台語轉為舌尖前/中音）</t>
    </r>
    <r>
      <rPr>
        <sz val="24"/>
        <rFont val="Arial"/>
        <family val="2"/>
      </rPr>
      <t> </t>
    </r>
  </si>
  <si>
    <r>
      <t>[ʈ] 知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</si>
  <si>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>（不送氣清音）。 </t>
    </r>
  </si>
  <si>
    <r>
      <t>舉例：</t>
    </r>
    <r>
      <rPr>
        <sz val="24"/>
        <rFont val="Arial"/>
        <family val="2"/>
      </rPr>
      <t xml:space="preserve"> 「知」台羅 </t>
    </r>
    <r>
      <rPr>
        <b/>
        <sz val="24"/>
        <rFont val="Arial"/>
        <family val="2"/>
      </rPr>
      <t>tsi</t>
    </r>
    <r>
      <rPr>
        <sz val="24"/>
        <rFont val="Arial"/>
        <family val="2"/>
      </rPr>
      <t xml:space="preserve">，例如「知影 (tsi-iann)」；「張」台羅 </t>
    </r>
    <r>
      <rPr>
        <b/>
        <sz val="24"/>
        <rFont val="Arial"/>
        <family val="2"/>
      </rPr>
      <t>tiunn</t>
    </r>
    <r>
      <rPr>
        <sz val="24"/>
        <rFont val="Arial"/>
        <family val="2"/>
      </rPr>
      <t>。 </t>
    </r>
  </si>
  <si>
    <r>
      <t>[ʈʰ] 徹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</si>
  <si>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（送氣清音）。 </t>
    </r>
  </si>
  <si>
    <r>
      <t>舉例：</t>
    </r>
    <r>
      <rPr>
        <sz val="24"/>
        <rFont val="Arial"/>
        <family val="2"/>
      </rPr>
      <t xml:space="preserve"> 「徹」台羅 </t>
    </r>
    <r>
      <rPr>
        <b/>
        <sz val="24"/>
        <rFont val="Arial"/>
        <family val="2"/>
      </rPr>
      <t>thiat</t>
    </r>
    <r>
      <rPr>
        <sz val="24"/>
        <rFont val="Arial"/>
        <family val="2"/>
      </rPr>
      <t xml:space="preserve">；「出」台羅 </t>
    </r>
    <r>
      <rPr>
        <b/>
        <sz val="24"/>
        <rFont val="Arial"/>
        <family val="2"/>
      </rPr>
      <t>tshut</t>
    </r>
    <r>
      <rPr>
        <sz val="24"/>
        <rFont val="Arial"/>
        <family val="2"/>
      </rPr>
      <t>，例如「出來 (tshut-lâi)」。 </t>
    </r>
  </si>
  <si>
    <r>
      <t>[ɖ] 澄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</si>
  <si>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中古全濁音在台語依平仄清化，演變為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</si>
  <si>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「茶」台羅 </t>
    </r>
    <r>
      <rPr>
        <b/>
        <sz val="24"/>
        <rFont val="Arial"/>
        <family val="2"/>
      </rPr>
      <t>tê</t>
    </r>
    <r>
      <rPr>
        <sz val="24"/>
        <rFont val="Arial"/>
        <family val="2"/>
      </rPr>
      <t xml:space="preserve">（澄母平聲轉 th/tsh）；「治」台羅 </t>
    </r>
    <r>
      <rPr>
        <b/>
        <sz val="24"/>
        <rFont val="Arial"/>
        <family val="2"/>
      </rPr>
      <t>tī</t>
    </r>
    <r>
      <rPr>
        <sz val="24"/>
        <rFont val="Arial"/>
        <family val="2"/>
      </rPr>
      <t>（澄母仄聲轉 ts）。 </t>
    </r>
  </si>
  <si>
    <r>
      <t>[ɳ] 娘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</si>
  <si>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與泥母合併，對應 </t>
    </r>
    <r>
      <rPr>
        <b/>
        <sz val="24"/>
        <rFont val="Arial"/>
        <family val="2"/>
      </rPr>
      <t>n</t>
    </r>
    <r>
      <rPr>
        <sz val="24"/>
        <rFont val="Arial"/>
        <family val="2"/>
      </rPr>
      <t xml:space="preserve"> 的發音。 </t>
    </r>
  </si>
  <si>
    <r>
      <t>舉例：</t>
    </r>
    <r>
      <rPr>
        <sz val="24"/>
        <rFont val="Arial"/>
        <family val="2"/>
      </rPr>
      <t xml:space="preserve"> 「娘」台羅 </t>
    </r>
    <r>
      <rPr>
        <b/>
        <sz val="24"/>
        <rFont val="Arial"/>
        <family val="2"/>
      </rPr>
      <t>niû</t>
    </r>
    <r>
      <rPr>
        <sz val="24"/>
        <rFont val="Arial"/>
        <family val="2"/>
      </rPr>
      <t xml:space="preserve">，例如「阿娘 (a-niû)」；「鈕」台羅 </t>
    </r>
    <r>
      <rPr>
        <b/>
        <sz val="24"/>
        <rFont val="Arial"/>
        <family val="2"/>
      </rPr>
      <t>liú/niú</t>
    </r>
    <r>
      <rPr>
        <sz val="24"/>
        <rFont val="Arial"/>
        <family val="2"/>
      </rPr>
      <t>。 </t>
    </r>
  </si>
  <si>
    <r>
      <t>3. 舌頭音（齒齦音）</t>
    </r>
    <r>
      <rPr>
        <sz val="24"/>
        <rFont val="Arial"/>
        <family val="2"/>
      </rPr>
      <t> </t>
    </r>
  </si>
  <si>
    <r>
      <t>[d] 定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</si>
  <si>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這是台語最具優勢的地方！中古全濁音 [d]，在台語平聲演變為送氣 </t>
    </r>
    <r>
      <rPr>
        <b/>
        <sz val="24"/>
        <rFont val="Arial"/>
        <family val="2"/>
      </rPr>
      <t>th</t>
    </r>
    <r>
      <rPr>
        <sz val="24"/>
        <rFont val="Arial"/>
        <family val="2"/>
      </rPr>
      <t xml:space="preserve">，仄聲演變為不送氣 </t>
    </r>
    <r>
      <rPr>
        <b/>
        <sz val="24"/>
        <rFont val="Arial"/>
        <family val="2"/>
      </rPr>
      <t>t</t>
    </r>
    <r>
      <rPr>
        <sz val="24"/>
        <rFont val="Arial"/>
        <family val="2"/>
      </rPr>
      <t>。 </t>
    </r>
  </si>
  <si>
    <r>
      <t xml:space="preserve">平聲轉 th：「頭」台羅 </t>
    </r>
    <r>
      <rPr>
        <b/>
        <sz val="24"/>
        <rFont val="Arial"/>
        <family val="2"/>
      </rPr>
      <t>thâu</t>
    </r>
    <r>
      <rPr>
        <sz val="24"/>
        <rFont val="Arial"/>
        <family val="2"/>
      </rPr>
      <t xml:space="preserve">（頭殼）、「天」台羅 </t>
    </r>
    <r>
      <rPr>
        <b/>
        <sz val="24"/>
        <rFont val="Arial"/>
        <family val="2"/>
      </rPr>
      <t>thian</t>
    </r>
    <r>
      <rPr>
        <sz val="24"/>
        <rFont val="Arial"/>
        <family val="2"/>
      </rPr>
      <t>。 </t>
    </r>
  </si>
  <si>
    <r>
      <t xml:space="preserve">仄聲轉 t：「地」台羅 </t>
    </r>
    <r>
      <rPr>
        <b/>
        <sz val="24"/>
        <rFont val="Arial"/>
        <family val="2"/>
      </rPr>
      <t>tē</t>
    </r>
    <r>
      <rPr>
        <sz val="24"/>
        <rFont val="Arial"/>
        <family val="2"/>
      </rPr>
      <t xml:space="preserve">（土地）、「大」台羅 </t>
    </r>
    <r>
      <rPr>
        <b/>
        <sz val="24"/>
        <rFont val="Arial"/>
        <family val="2"/>
      </rPr>
      <t>tuā/tāi</t>
    </r>
    <r>
      <rPr>
        <sz val="24"/>
        <rFont val="Arial"/>
        <family val="2"/>
      </rPr>
      <t>（大人）。 </t>
    </r>
  </si>
  <si>
    <r>
      <t>4. 齒音（擦音）</t>
    </r>
    <r>
      <rPr>
        <sz val="24"/>
        <rFont val="Arial"/>
        <family val="2"/>
      </rPr>
      <t> </t>
    </r>
  </si>
  <si>
    <r>
      <t>[z] 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</si>
  <si>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現代台語主要演變為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ts/j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</si>
  <si>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「俗」台羅 </t>
    </r>
    <r>
      <rPr>
        <b/>
        <sz val="24"/>
        <rFont val="Arial"/>
        <family val="2"/>
      </rPr>
      <t>sio̍k</t>
    </r>
    <r>
      <rPr>
        <sz val="24"/>
        <rFont val="Arial"/>
        <family val="2"/>
      </rPr>
      <t xml:space="preserve">（便宜）；「詞」台羅 </t>
    </r>
    <r>
      <rPr>
        <b/>
        <sz val="24"/>
        <rFont val="Arial"/>
        <family val="2"/>
      </rPr>
      <t>sû</t>
    </r>
    <r>
      <rPr>
        <sz val="24"/>
        <rFont val="Arial"/>
        <family val="2"/>
      </rPr>
      <t xml:space="preserve">；「徐」台羅 </t>
    </r>
    <r>
      <rPr>
        <b/>
        <sz val="24"/>
        <rFont val="Arial"/>
        <family val="2"/>
      </rPr>
      <t>tshî/sî</t>
    </r>
    <r>
      <rPr>
        <sz val="24"/>
        <rFont val="Arial"/>
        <family val="2"/>
      </rPr>
      <t>。 </t>
    </r>
  </si>
  <si>
    <r>
      <t>[ʑ] 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</si>
  <si>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ts/tsh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</si>
  <si>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「是」台羅 </t>
    </r>
    <r>
      <rPr>
        <b/>
        <sz val="24"/>
        <rFont val="Arial"/>
        <family val="2"/>
      </rPr>
      <t>sī</t>
    </r>
    <r>
      <rPr>
        <sz val="24"/>
        <rFont val="Arial"/>
        <family val="2"/>
      </rPr>
      <t xml:space="preserve">（是毋是）；「常」台羅 </t>
    </r>
    <r>
      <rPr>
        <b/>
        <sz val="24"/>
        <rFont val="Arial"/>
        <family val="2"/>
      </rPr>
      <t>siông</t>
    </r>
    <r>
      <rPr>
        <sz val="24"/>
        <rFont val="Arial"/>
        <family val="2"/>
      </rPr>
      <t xml:space="preserve">；「時」台羅 </t>
    </r>
    <r>
      <rPr>
        <b/>
        <sz val="24"/>
        <rFont val="Arial"/>
        <family val="2"/>
      </rPr>
      <t>sî</t>
    </r>
    <r>
      <rPr>
        <sz val="24"/>
        <rFont val="Arial"/>
        <family val="2"/>
      </rPr>
      <t>。 </t>
    </r>
  </si>
  <si>
    <r>
      <t>5. 牙喉音、半元音、半齒音</t>
    </r>
    <r>
      <rPr>
        <sz val="24"/>
        <rFont val="Arial"/>
        <family val="2"/>
      </rPr>
      <t> </t>
    </r>
  </si>
  <si>
    <r>
      <t>[ɣ] 匣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</si>
  <si>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在台語中文讀音常對應 </t>
    </r>
    <r>
      <rPr>
        <b/>
        <sz val="24"/>
        <rFont val="Arial"/>
        <family val="2"/>
      </rPr>
      <t>h</t>
    </r>
    <r>
      <rPr>
        <sz val="24"/>
        <rFont val="Arial"/>
        <family val="2"/>
      </rPr>
      <t xml:space="preserve">，白讀音有時會保留軟顎濁音的痕跡而讀作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k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</si>
  <si>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「紅」台羅 </t>
    </r>
    <r>
      <rPr>
        <b/>
        <sz val="24"/>
        <rFont val="Arial"/>
        <family val="2"/>
      </rPr>
      <t>âng</t>
    </r>
    <r>
      <rPr>
        <sz val="24"/>
        <rFont val="Arial"/>
        <family val="2"/>
      </rPr>
      <t xml:space="preserve">（轉零聲母）/ </t>
    </r>
    <r>
      <rPr>
        <b/>
        <sz val="24"/>
        <rFont val="Arial"/>
        <family val="2"/>
      </rPr>
      <t>hông</t>
    </r>
    <r>
      <rPr>
        <sz val="24"/>
        <rFont val="Arial"/>
        <family val="2"/>
      </rPr>
      <t xml:space="preserve">；「河」台羅 </t>
    </r>
    <r>
      <rPr>
        <b/>
        <sz val="24"/>
        <rFont val="Arial"/>
        <family val="2"/>
      </rPr>
      <t>hô</t>
    </r>
    <r>
      <rPr>
        <sz val="24"/>
        <rFont val="Arial"/>
        <family val="2"/>
      </rPr>
      <t xml:space="preserve">；「寒」台羅 </t>
    </r>
    <r>
      <rPr>
        <b/>
        <sz val="24"/>
        <rFont val="Arial"/>
        <family val="2"/>
      </rPr>
      <t>hân</t>
    </r>
    <r>
      <rPr>
        <sz val="24"/>
        <rFont val="Arial"/>
        <family val="2"/>
      </rPr>
      <t>。 </t>
    </r>
  </si>
  <si>
    <r>
      <t>[j] 喻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</si>
  <si>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對應台羅的 </t>
    </r>
    <r>
      <rPr>
        <b/>
        <sz val="24"/>
        <rFont val="Arial"/>
        <family val="2"/>
      </rPr>
      <t>i</t>
    </r>
    <r>
      <rPr>
        <sz val="24"/>
        <rFont val="Arial"/>
        <family val="2"/>
      </rPr>
      <t xml:space="preserve">（零聲母帶介音）或 </t>
    </r>
    <r>
      <rPr>
        <b/>
        <sz val="24"/>
        <rFont val="Arial"/>
        <family val="2"/>
      </rPr>
      <t>iâ/iû</t>
    </r>
    <r>
      <rPr>
        <sz val="24"/>
        <rFont val="Arial"/>
        <family val="2"/>
      </rPr>
      <t xml:space="preserve"> 等發音。 </t>
    </r>
  </si>
  <si>
    <r>
      <t>舉例：</t>
    </r>
    <r>
      <rPr>
        <sz val="24"/>
        <rFont val="Arial"/>
        <family val="2"/>
      </rPr>
      <t xml:space="preserve"> 「喻」台羅 </t>
    </r>
    <r>
      <rPr>
        <b/>
        <sz val="24"/>
        <rFont val="Arial"/>
        <family val="2"/>
      </rPr>
      <t>jū/gū</t>
    </r>
    <r>
      <rPr>
        <sz val="24"/>
        <rFont val="Arial"/>
        <family val="2"/>
      </rPr>
      <t xml:space="preserve">；「雨」台羅 </t>
    </r>
    <r>
      <rPr>
        <b/>
        <sz val="24"/>
        <rFont val="Arial"/>
        <family val="2"/>
      </rPr>
      <t>hōo/ú</t>
    </r>
    <r>
      <rPr>
        <sz val="24"/>
        <rFont val="Arial"/>
        <family val="2"/>
      </rPr>
      <t xml:space="preserve">；「夜」台羅 </t>
    </r>
    <r>
      <rPr>
        <b/>
        <sz val="24"/>
        <rFont val="Arial"/>
        <family val="2"/>
      </rPr>
      <t>iā</t>
    </r>
    <r>
      <rPr>
        <sz val="24"/>
        <rFont val="Arial"/>
        <family val="2"/>
      </rPr>
      <t>（暗夜）。 </t>
    </r>
  </si>
  <si>
    <r>
      <t>[ɲʑ] 日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</si>
  <si>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完美對應台羅的 </t>
    </r>
    <r>
      <rPr>
        <b/>
        <sz val="24"/>
        <rFont val="Arial"/>
        <family val="2"/>
      </rPr>
      <t>j</t>
    </r>
    <r>
      <rPr>
        <sz val="24"/>
        <rFont val="Arial"/>
        <family val="2"/>
      </rPr>
      <t xml:space="preserve">（濁齒齦擦音/近音，中南部偏向讀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l</t>
    </r>
    <r>
      <rPr>
        <sz val="24"/>
        <rFont val="Arial"/>
        <family val="2"/>
      </rPr>
      <t>）。 </t>
    </r>
  </si>
  <si>
    <r>
      <t>舉例：</t>
    </r>
    <r>
      <rPr>
        <sz val="24"/>
        <rFont val="Arial"/>
        <family val="2"/>
      </rPr>
      <t xml:space="preserve"> 「日」台羅 </t>
    </r>
    <r>
      <rPr>
        <b/>
        <sz val="24"/>
        <rFont val="Arial"/>
        <family val="2"/>
      </rPr>
      <t>ji̍t</t>
    </r>
    <r>
      <rPr>
        <sz val="24"/>
        <rFont val="Arial"/>
        <family val="2"/>
      </rPr>
      <t xml:space="preserve">（日頭）；「肉」台羅 </t>
    </r>
    <r>
      <rPr>
        <b/>
        <sz val="24"/>
        <rFont val="Arial"/>
        <family val="2"/>
      </rPr>
      <t>bah</t>
    </r>
    <r>
      <rPr>
        <sz val="24"/>
        <rFont val="Arial"/>
        <family val="2"/>
      </rPr>
      <t xml:space="preserve">（特殊白讀）/ </t>
    </r>
    <r>
      <rPr>
        <b/>
        <sz val="24"/>
        <rFont val="Arial"/>
        <family val="2"/>
      </rPr>
      <t>jio̍k</t>
    </r>
    <r>
      <rPr>
        <sz val="24"/>
        <rFont val="Arial"/>
        <family val="2"/>
      </rPr>
      <t xml:space="preserve">（文讀）；「人」台羅 </t>
    </r>
    <r>
      <rPr>
        <b/>
        <sz val="24"/>
        <rFont val="Arial"/>
        <family val="2"/>
      </rPr>
      <t>jîn</t>
    </r>
    <r>
      <rPr>
        <sz val="24"/>
        <rFont val="Arial"/>
        <family val="2"/>
      </rPr>
      <t>（人類）。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</si>
</sst>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[ &quot;@&quot; ]&quot;"/>
  </numFmts>
  <fonts count="155">
    <font>
      <sz val="12"/>
      <color theme="1"/>
      <name val="新細明體"/>
      <family val="2"/>
      <charset val="136"/>
      <scheme val="minor"/>
    </font>
    <font>
      <sz val="10"/>
      <color rgb="FF000000"/>
      <name val="Linux Libertine G"/>
      <family val="2"/>
    </font>
    <font>
      <sz val="18"/>
      <color rgb="FF0070C0"/>
      <name val="Noto Sans TC Medium"/>
      <family val="2"/>
      <charset val="136"/>
    </font>
    <font>
      <sz val="9"/>
      <name val="新細明體"/>
      <family val="2"/>
      <charset val="136"/>
      <scheme val="minor"/>
    </font>
    <font>
      <sz val="18"/>
      <color rgb="FF0070C0"/>
      <name val="Noto Sans HK"/>
      <family val="2"/>
      <charset val="136"/>
    </font>
    <font>
      <sz val="9"/>
      <name val="cwTeX 仿宋體"/>
      <family val="3"/>
      <charset val="136"/>
    </font>
    <font>
      <sz val="18"/>
      <color rgb="FF1155CC"/>
      <name val="Noto Sans TC Medium"/>
      <family val="2"/>
      <charset val="136"/>
    </font>
    <font>
      <sz val="36"/>
      <color rgb="FF000000"/>
      <name val="Noto Serif TC Black"/>
      <family val="1"/>
      <charset val="136"/>
    </font>
    <font>
      <b/>
      <sz val="26"/>
      <color theme="9"/>
      <name val="Charis SIL"/>
    </font>
    <font>
      <sz val="10"/>
      <color rgb="FF000000"/>
      <name val="蘋方-繁 標準體"/>
      <charset val="136"/>
    </font>
    <font>
      <sz val="18"/>
      <color rgb="FF000000"/>
      <name val="Noto Sans HK"/>
      <family val="2"/>
      <charset val="136"/>
    </font>
    <font>
      <sz val="22"/>
      <color rgb="FF000000"/>
      <name val="Noto Sans HK"/>
      <family val="2"/>
      <charset val="136"/>
    </font>
    <font>
      <sz val="24"/>
      <color rgb="FFC00000"/>
      <name val="Noto Sans TC Black"/>
      <family val="2"/>
      <charset val="136"/>
    </font>
    <font>
      <sz val="32"/>
      <color rgb="FFC00000"/>
      <name val="Noto Sans TC Black"/>
      <family val="2"/>
      <charset val="136"/>
    </font>
    <font>
      <b/>
      <sz val="26"/>
      <color rgb="FF0070C0"/>
      <name val="Charis SIL"/>
    </font>
    <font>
      <sz val="9"/>
      <name val="Noto Sans TC"/>
      <family val="2"/>
      <charset val="136"/>
    </font>
    <font>
      <sz val="14"/>
      <color rgb="FF999999"/>
      <name val="蘋方-繁 標準體"/>
      <charset val="136"/>
    </font>
    <font>
      <b/>
      <sz val="28"/>
      <color theme="9"/>
      <name val="Charis SIL"/>
    </font>
    <font>
      <sz val="36"/>
      <color rgb="FFFF0000"/>
      <name val="Noto Serif TC Black"/>
      <family val="1"/>
      <charset val="136"/>
    </font>
    <font>
      <b/>
      <sz val="28"/>
      <color rgb="FF0070C0"/>
      <name val="Charis SIL"/>
    </font>
    <font>
      <sz val="18"/>
      <color rgb="FF000000"/>
      <name val="Noto Sans TC Medium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theme="1"/>
      <name val="Noto Sans TC Medium"/>
      <family val="2"/>
      <charset val="136"/>
    </font>
    <font>
      <sz val="16"/>
      <color theme="4"/>
      <name val="Noto Sans TC Medium"/>
      <family val="2"/>
      <charset val="136"/>
    </font>
    <font>
      <sz val="9"/>
      <name val="Noto Sans TC Medium"/>
      <family val="2"/>
      <charset val="136"/>
    </font>
    <font>
      <sz val="16"/>
      <color theme="4"/>
      <name val="Noto Sans TC Medium"/>
      <family val="2"/>
    </font>
    <font>
      <sz val="24"/>
      <color theme="1"/>
      <name val="吳守禮細明台語注音"/>
      <family val="1"/>
      <charset val="136"/>
    </font>
    <font>
      <sz val="24"/>
      <color theme="1"/>
      <name val="Noto Sans TC Medium"/>
      <family val="2"/>
    </font>
    <font>
      <sz val="16"/>
      <color rgb="FFFF0000"/>
      <name val="Noto Sans TC Medium"/>
      <family val="2"/>
    </font>
    <font>
      <sz val="16"/>
      <color rgb="FFFF0000"/>
      <name val="Noto Sans TC Medium"/>
      <family val="2"/>
      <charset val="136"/>
    </font>
    <font>
      <sz val="24"/>
      <color rgb="FFFF0000"/>
      <name val="Noto Sans TC Medium"/>
      <family val="2"/>
    </font>
    <font>
      <sz val="24"/>
      <color rgb="FFFF0000"/>
      <name val="吳守禮細明台語注音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rgb="FFFF0000"/>
      <name val="吳守禮細明台語破音04"/>
      <family val="1"/>
      <charset val="136"/>
    </font>
    <font>
      <sz val="24"/>
      <color theme="1"/>
      <name val="吳守禮細明台語破音01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24"/>
      <color rgb="FFFF0000"/>
      <name val="Noto Sans TC Medium"/>
      <family val="2"/>
      <charset val="136"/>
    </font>
    <font>
      <sz val="16"/>
      <color theme="1"/>
      <name val="Segoe UI"/>
      <family val="2"/>
    </font>
    <font>
      <sz val="16"/>
      <color theme="1"/>
      <name val="新細明體"/>
      <family val="2"/>
      <charset val="136"/>
      <scheme val="minor"/>
    </font>
    <font>
      <sz val="18"/>
      <color theme="1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b/>
      <sz val="18"/>
      <color rgb="FF000000"/>
      <name val="微軟正黑體"/>
      <family val="2"/>
      <charset val="136"/>
    </font>
    <font>
      <b/>
      <sz val="18"/>
      <color rgb="FF000000"/>
      <name val="Noto Sans"/>
      <family val="2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rgb="FFFF0000"/>
      <name val="Segoe UI"/>
      <family val="2"/>
    </font>
    <font>
      <sz val="10"/>
      <color theme="1"/>
      <name val="Segoe UI"/>
      <family val="2"/>
    </font>
    <font>
      <sz val="18"/>
      <color rgb="FF000000"/>
      <name val="Noto Sans"/>
      <family val="2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000000"/>
      <name val="霞鶩文楷等寬 TC Medium"/>
      <family val="3"/>
      <charset val="136"/>
    </font>
    <font>
      <sz val="16"/>
      <color theme="1"/>
      <name val="Noto Sans TC SemiBold"/>
      <family val="2"/>
      <charset val="136"/>
    </font>
    <font>
      <sz val="12"/>
      <color theme="3" tint="0.499984740745262"/>
      <name val="Segoe UI"/>
      <family val="2"/>
    </font>
    <font>
      <sz val="18"/>
      <color rgb="FFFF0000"/>
      <name val="Noto Sans"/>
      <family val="2"/>
    </font>
    <font>
      <sz val="18"/>
      <color rgb="FFFF0000"/>
      <name val="Microsoft JhengHei"/>
      <family val="2"/>
    </font>
    <font>
      <sz val="18"/>
      <color rgb="FF000000"/>
      <name val="Noto Sans TC"/>
      <family val="2"/>
      <charset val="136"/>
    </font>
    <font>
      <sz val="18"/>
      <color rgb="FF000000"/>
      <name val="Microsoft JhengHei"/>
      <family val="2"/>
    </font>
    <font>
      <sz val="18"/>
      <color rgb="FF000000"/>
      <name val="細明體"/>
      <family val="2"/>
      <charset val="136"/>
    </font>
    <font>
      <sz val="16"/>
      <color rgb="FFFF0000"/>
      <name val="Segoe UI"/>
      <family val="2"/>
    </font>
    <font>
      <sz val="18"/>
      <color rgb="FFFF0000"/>
      <name val="Microsoft JhengHei UI"/>
      <family val="2"/>
    </font>
    <font>
      <sz val="18"/>
      <color rgb="FFFF0000"/>
      <name val="微軟正黑體"/>
      <family val="2"/>
      <charset val="136"/>
    </font>
    <font>
      <sz val="18"/>
      <color rgb="FFFF0000"/>
      <name val="細明體"/>
      <family val="2"/>
      <charset val="136"/>
    </font>
    <font>
      <sz val="18"/>
      <color rgb="FFFF0000"/>
      <name val="細明體"/>
      <family val="1"/>
      <charset val="254"/>
    </font>
    <font>
      <sz val="12"/>
      <color theme="1"/>
      <name val="Noto Sans TC SemiBold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Cambria Math"/>
      <family val="1"/>
      <charset val="254"/>
    </font>
    <font>
      <sz val="22"/>
      <color theme="1"/>
      <name val="霞鶩文楷 TC Medium"/>
      <family val="1"/>
      <charset val="136"/>
    </font>
    <font>
      <sz val="18"/>
      <color theme="1"/>
      <name val="Noto Sans TC Medium"/>
      <family val="2"/>
      <charset val="136"/>
    </font>
    <font>
      <b/>
      <sz val="18"/>
      <color theme="1"/>
      <name val="Charis SIL"/>
    </font>
    <font>
      <sz val="16"/>
      <color theme="0" tint="-0.14999847407452621"/>
      <name val="Noto Sans TC Medium"/>
      <family val="2"/>
      <charset val="136"/>
    </font>
    <font>
      <u/>
      <sz val="16"/>
      <color rgb="FFFF0000"/>
      <name val="Noto Sans TC Medium"/>
      <family val="2"/>
      <charset val="136"/>
    </font>
    <font>
      <b/>
      <sz val="16"/>
      <color theme="0" tint="-0.14999847407452621"/>
      <name val="Charis SIL"/>
    </font>
    <font>
      <sz val="16"/>
      <color theme="0" tint="-0.14999847407452621"/>
      <name val="Noto Sans TC Medium"/>
      <family val="2"/>
    </font>
    <font>
      <b/>
      <sz val="18"/>
      <color theme="0" tint="-0.14999847407452621"/>
      <name val="Charis SIL"/>
    </font>
    <font>
      <sz val="22"/>
      <color rgb="FF00B0F0"/>
      <name val="Noto Sans TC Medium"/>
      <family val="2"/>
      <charset val="136"/>
    </font>
    <font>
      <sz val="24"/>
      <color theme="1"/>
      <name val="Noto Sans TC Medium"/>
      <family val="2"/>
      <charset val="136"/>
    </font>
    <font>
      <sz val="22"/>
      <color theme="0" tint="-0.249977111117893"/>
      <name val="Noto Sans TC Medium"/>
      <family val="2"/>
    </font>
    <font>
      <sz val="22"/>
      <color theme="0" tint="-0.249977111117893"/>
      <name val="Noto Sans TC Medium"/>
      <family val="2"/>
      <charset val="136"/>
    </font>
    <font>
      <sz val="24"/>
      <color theme="0" tint="-0.249977111117893"/>
      <name val="Noto Sans TC Medium"/>
      <family val="2"/>
      <charset val="136"/>
    </font>
    <font>
      <sz val="24"/>
      <name val="Noto Sans TC Medium"/>
      <family val="2"/>
      <charset val="136"/>
    </font>
    <font>
      <b/>
      <sz val="14"/>
      <color rgb="FF000000"/>
      <name val="微軟正黑體"/>
      <family val="2"/>
      <charset val="136"/>
    </font>
    <font>
      <b/>
      <sz val="18"/>
      <color rgb="FFC00000"/>
      <name val="Charis SIL"/>
    </font>
    <font>
      <sz val="18"/>
      <color rgb="FF000000"/>
      <name val="Charis SIL"/>
    </font>
    <font>
      <sz val="18"/>
      <color rgb="FFFF0000"/>
      <name val="Charis SIL"/>
    </font>
    <font>
      <sz val="14"/>
      <color theme="1"/>
      <name val="新細明體"/>
      <family val="2"/>
      <charset val="136"/>
      <scheme val="minor"/>
    </font>
    <font>
      <b/>
      <sz val="18"/>
      <color rgb="FF000000"/>
      <name val="Charis SIL"/>
    </font>
    <font>
      <b/>
      <sz val="18"/>
      <color rgb="FF000000"/>
      <name val="Arial"/>
      <family val="2"/>
      <charset val="254"/>
    </font>
    <font>
      <b/>
      <sz val="18"/>
      <color rgb="FF000000"/>
      <name val="微軟正黑體"/>
      <family val="2"/>
    </font>
    <font>
      <sz val="12"/>
      <color theme="1"/>
      <name val="Segoe UI"/>
      <family val="2"/>
    </font>
    <font>
      <sz val="14"/>
      <color theme="1"/>
      <name val="Noto Serif HK Black"/>
      <family val="1"/>
      <charset val="136"/>
    </font>
    <font>
      <sz val="12"/>
      <color theme="1"/>
      <name val="Noto Serif HK Black"/>
      <family val="1"/>
      <charset val="136"/>
    </font>
    <font>
      <b/>
      <sz val="18"/>
      <color rgb="FFFF0000"/>
      <name val="微軟正黑體"/>
      <family val="2"/>
    </font>
    <font>
      <b/>
      <sz val="24"/>
      <color rgb="FFFF0000"/>
      <name val="微軟正黑體"/>
      <family val="2"/>
      <charset val="136"/>
    </font>
    <font>
      <sz val="12"/>
      <color theme="1"/>
      <name val="Charis SIL"/>
    </font>
    <font>
      <sz val="12"/>
      <color theme="3" tint="0.499984740745262"/>
      <name val="Charis SIL"/>
    </font>
    <font>
      <sz val="12"/>
      <name val="Charis SIL"/>
    </font>
    <font>
      <sz val="12"/>
      <color theme="1"/>
      <name val="Noto Sans TC"/>
      <family val="2"/>
      <charset val="136"/>
    </font>
    <font>
      <sz val="12"/>
      <color rgb="FFC00000"/>
      <name val="Charis SIL"/>
    </font>
    <font>
      <sz val="12"/>
      <color theme="7" tint="0.79998168889431442"/>
      <name val="Charis SIL"/>
    </font>
    <font>
      <sz val="12"/>
      <color rgb="FFC00000"/>
      <name val="Noto Sans TC"/>
      <family val="2"/>
      <charset val="136"/>
    </font>
    <font>
      <sz val="12"/>
      <color rgb="FFFF0000"/>
      <name val="Charis SIL"/>
    </font>
    <font>
      <sz val="12"/>
      <color theme="2" tint="-9.9978637043366805E-2"/>
      <name val="Charis SIL"/>
    </font>
    <font>
      <sz val="12"/>
      <color theme="2"/>
      <name val="Charis SIL"/>
    </font>
    <font>
      <sz val="12"/>
      <color theme="1"/>
      <name val="Noto Sans TC Medium"/>
      <family val="2"/>
      <charset val="136"/>
    </font>
    <font>
      <sz val="12"/>
      <color rgb="FFFF0000"/>
      <name val="Noto Sans TC Medium"/>
      <family val="2"/>
      <charset val="136"/>
    </font>
    <font>
      <sz val="20"/>
      <color theme="1"/>
      <name val="新細明體"/>
      <family val="2"/>
      <charset val="136"/>
      <scheme val="minor"/>
    </font>
    <font>
      <sz val="24"/>
      <color theme="1"/>
      <name val="新細明體"/>
      <family val="2"/>
      <charset val="136"/>
      <scheme val="minor"/>
    </font>
    <font>
      <sz val="20"/>
      <color theme="1"/>
      <name val="Noto Serif TC Black"/>
      <family val="1"/>
      <charset val="136"/>
    </font>
    <font>
      <sz val="24"/>
      <color theme="1"/>
      <name val="Noto Serif TC Black"/>
      <family val="1"/>
      <charset val="136"/>
    </font>
    <font>
      <b/>
      <sz val="16"/>
      <color theme="1"/>
      <name val="Noto Serif TC Black"/>
      <family val="1"/>
      <charset val="136"/>
    </font>
    <font>
      <b/>
      <sz val="20"/>
      <color rgb="FF0C0301"/>
      <name val="Noto Serif TC Black"/>
      <family val="1"/>
      <charset val="136"/>
    </font>
    <font>
      <b/>
      <sz val="20"/>
      <color theme="5" tint="0.39997558519241921"/>
      <name val="Noto Serif TC Black"/>
      <family val="1"/>
      <charset val="136"/>
    </font>
    <font>
      <sz val="28"/>
      <color theme="1"/>
      <name val="新細明體"/>
      <family val="1"/>
      <scheme val="minor"/>
    </font>
    <font>
      <sz val="28"/>
      <color theme="8" tint="-0.249977111117893"/>
      <name val="Noto Sans TC Black"/>
      <family val="2"/>
      <charset val="136"/>
    </font>
    <font>
      <sz val="24"/>
      <color theme="7" tint="-0.249977111117893"/>
      <name val="新細明體"/>
      <family val="1"/>
      <scheme val="minor"/>
    </font>
    <font>
      <sz val="36"/>
      <color theme="9" tint="-0.249977111117893"/>
      <name val="吳守禮標楷台語注音"/>
      <family val="3"/>
      <charset val="136"/>
    </font>
    <font>
      <sz val="28"/>
      <color rgb="FFC00000"/>
      <name val="Arial"/>
      <family val="2"/>
    </font>
    <font>
      <sz val="18"/>
      <color theme="7" tint="-0.499984740745262"/>
      <name val="Noto Serif TC Black"/>
      <family val="1"/>
      <charset val="136"/>
    </font>
    <font>
      <sz val="18"/>
      <color theme="1"/>
      <name val="Arial"/>
      <family val="2"/>
    </font>
    <font>
      <b/>
      <sz val="18"/>
      <color theme="7" tint="-0.499984740745262"/>
      <name val="Arial"/>
      <family val="2"/>
    </font>
    <font>
      <sz val="20"/>
      <color rgb="FFC00000"/>
      <name val="Arial"/>
      <family val="2"/>
    </font>
    <font>
      <sz val="16"/>
      <color theme="8" tint="-0.249977111117893"/>
      <name val="Noto Sans TC Black"/>
      <family val="2"/>
      <charset val="136"/>
    </font>
    <font>
      <sz val="36"/>
      <color theme="9" tint="-0.249977111117893"/>
      <name val="吳守禮標楷台語破音01"/>
      <family val="3"/>
      <charset val="136"/>
    </font>
    <font>
      <sz val="24"/>
      <color theme="7" tint="-0.249977111117893"/>
      <name val="Noto Sans TC"/>
      <family val="2"/>
      <charset val="136"/>
    </font>
    <font>
      <sz val="36"/>
      <color theme="9" tint="-0.249977111117893"/>
      <name val="吳守禮標楷台語破音02"/>
      <family val="3"/>
      <charset val="136"/>
    </font>
    <font>
      <sz val="36"/>
      <color theme="9" tint="-0.249977111117893"/>
      <name val="吳守禮標楷台語破音03"/>
      <family val="3"/>
      <charset val="136"/>
    </font>
    <font>
      <sz val="36"/>
      <color theme="9" tint="-0.249977111117893"/>
      <name val="吳守禮標楷台語破音05"/>
      <family val="3"/>
      <charset val="136"/>
    </font>
    <font>
      <sz val="36"/>
      <color theme="9" tint="-0.249977111117893"/>
      <name val="全字庫正楷體"/>
      <family val="4"/>
      <charset val="136"/>
    </font>
    <font>
      <sz val="36"/>
      <color theme="9" tint="-0.249977111117893"/>
      <name val="台灣楷體"/>
      <family val="3"/>
      <charset val="136"/>
    </font>
    <font>
      <sz val="36"/>
      <color theme="9" tint="-0.249977111117893"/>
      <name val="吳守禮標楷台語破音06"/>
      <family val="3"/>
      <charset val="136"/>
    </font>
    <font>
      <sz val="36"/>
      <color theme="9" tint="-0.249977111117893"/>
      <name val="字咍芫荽 方音 R"/>
      <family val="1"/>
      <charset val="136"/>
    </font>
    <font>
      <sz val="36"/>
      <color theme="9" tint="-0.249977111117893"/>
      <name val="吳守禮標楷台語破音08"/>
      <family val="3"/>
      <charset val="136"/>
    </font>
    <font>
      <sz val="16"/>
      <color rgb="FFFF0000"/>
      <name val="Noto Sans TC Black"/>
      <family val="2"/>
      <charset val="136"/>
    </font>
    <font>
      <sz val="20"/>
      <color rgb="FFC00000"/>
      <name val="Arial"/>
      <family val="2"/>
      <charset val="136"/>
    </font>
    <font>
      <sz val="20"/>
      <color rgb="FFC00000"/>
      <name val="吳守禮標楷台語注音"/>
      <family val="2"/>
      <charset val="136"/>
    </font>
    <font>
      <strike/>
      <sz val="20"/>
      <color rgb="FFC00000"/>
      <name val="Arial"/>
      <family val="2"/>
    </font>
    <font>
      <sz val="24"/>
      <color theme="7" tint="-0.249977111117893"/>
      <name val="新細明體"/>
      <family val="2"/>
      <charset val="136"/>
      <scheme val="minor"/>
    </font>
    <font>
      <sz val="24"/>
      <color rgb="FFFF0000"/>
      <name val="Noto Sans TC"/>
      <family val="2"/>
      <charset val="136"/>
    </font>
    <font>
      <b/>
      <sz val="20"/>
      <color rgb="FFFF0000"/>
      <name val="Noto Serif TC Black"/>
      <family val="1"/>
      <charset val="136"/>
    </font>
    <font>
      <sz val="28"/>
      <color theme="1"/>
      <name val="新細明體"/>
      <family val="1"/>
      <charset val="136"/>
      <scheme val="minor"/>
    </font>
    <font>
      <sz val="28"/>
      <color theme="1"/>
      <name val="Times New Roman"/>
      <family val="1"/>
      <charset val="1"/>
    </font>
    <font>
      <sz val="28"/>
      <color theme="1"/>
      <name val="Segoe UI"/>
      <family val="1"/>
      <charset val="1"/>
    </font>
    <font>
      <sz val="28"/>
      <color theme="1"/>
      <name val="新細明體"/>
      <family val="2"/>
      <charset val="136"/>
      <scheme val="minor"/>
    </font>
    <font>
      <sz val="28"/>
      <color theme="1"/>
      <name val="細明體"/>
      <family val="1"/>
      <charset val="136"/>
    </font>
    <font>
      <sz val="28"/>
      <color theme="1"/>
      <name val="新細明體"/>
      <family val="1"/>
      <charset val="136"/>
    </font>
    <font>
      <sz val="28"/>
      <color theme="1"/>
      <name val="Charis SIL"/>
    </font>
    <font>
      <sz val="28"/>
      <color theme="1"/>
      <name val="Noto Sans TC Black"/>
      <family val="2"/>
      <charset val="136"/>
    </font>
    <font>
      <sz val="28"/>
      <color theme="1"/>
      <name val="Charis SIL"/>
      <family val="2"/>
      <charset val="136"/>
    </font>
    <font>
      <sz val="24"/>
      <color theme="1"/>
      <name val="Charis SIL"/>
    </font>
    <font>
      <sz val="24"/>
      <name val="Arial"/>
      <family val="2"/>
    </font>
    <font>
      <b/>
      <sz val="24"/>
      <name val="Arial"/>
      <family val="2"/>
    </font>
    <font>
      <sz val="24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C9DAF8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ashed">
        <color theme="0" tint="-0.14996795556505021"/>
      </right>
      <top style="thin">
        <color auto="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auto="1"/>
      </right>
      <top style="thin">
        <color auto="1"/>
      </top>
      <bottom style="dashed">
        <color theme="0" tint="-0.14996795556505021"/>
      </bottom>
      <diagonal/>
    </border>
    <border>
      <left style="thin">
        <color auto="1"/>
      </left>
      <right style="dashed">
        <color theme="0" tint="-0.14996795556505021"/>
      </right>
      <top style="dashed">
        <color theme="0" tint="-0.14996795556505021"/>
      </top>
      <bottom style="thin">
        <color auto="1"/>
      </bottom>
      <diagonal/>
    </border>
    <border>
      <left style="dashed">
        <color theme="0" tint="-0.14996795556505021"/>
      </left>
      <right style="thin">
        <color auto="1"/>
      </right>
      <top style="dashed">
        <color theme="0" tint="-0.1499679555650502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2" fillId="0" borderId="0">
      <alignment vertical="center"/>
    </xf>
    <xf numFmtId="0" fontId="21" fillId="0" borderId="0">
      <alignment vertical="center"/>
    </xf>
  </cellStyleXfs>
  <cellXfs count="345">
    <xf numFmtId="0" fontId="0" fillId="0" borderId="0" xfId="0">
      <alignment vertical="center"/>
    </xf>
    <xf numFmtId="0" fontId="2" fillId="0" borderId="0" xfId="1" applyFont="1" applyAlignment="1">
      <alignment horizontal="center" vertical="center" textRotation="255"/>
    </xf>
    <xf numFmtId="0" fontId="2" fillId="0" borderId="0" xfId="1" applyFont="1"/>
    <xf numFmtId="0" fontId="4" fillId="0" borderId="0" xfId="1" applyFont="1"/>
    <xf numFmtId="0" fontId="9" fillId="0" borderId="0" xfId="1" applyFont="1"/>
    <xf numFmtId="0" fontId="10" fillId="0" borderId="0" xfId="1" applyFont="1"/>
    <xf numFmtId="0" fontId="11" fillId="0" borderId="0" xfId="1" applyFont="1"/>
    <xf numFmtId="0" fontId="12" fillId="0" borderId="0" xfId="1" applyFont="1" applyAlignment="1">
      <alignment horizontal="center" vertical="center"/>
    </xf>
    <xf numFmtId="0" fontId="20" fillId="0" borderId="0" xfId="1" applyFont="1"/>
    <xf numFmtId="0" fontId="23" fillId="5" borderId="11" xfId="2" applyFont="1" applyFill="1" applyBorder="1" applyAlignment="1">
      <alignment horizontal="center" vertical="center"/>
    </xf>
    <xf numFmtId="0" fontId="25" fillId="5" borderId="1" xfId="2" applyFont="1" applyFill="1" applyBorder="1" applyAlignment="1">
      <alignment horizontal="center" vertical="center"/>
    </xf>
    <xf numFmtId="0" fontId="22" fillId="0" borderId="0" xfId="2">
      <alignment vertical="center"/>
    </xf>
    <xf numFmtId="0" fontId="22" fillId="0" borderId="11" xfId="2" applyBorder="1">
      <alignment vertical="center"/>
    </xf>
    <xf numFmtId="0" fontId="26" fillId="0" borderId="1" xfId="2" applyFont="1" applyBorder="1" applyAlignment="1">
      <alignment horizontal="center" vertical="center"/>
    </xf>
    <xf numFmtId="0" fontId="22" fillId="0" borderId="1" xfId="2" applyBorder="1">
      <alignment vertical="center"/>
    </xf>
    <xf numFmtId="0" fontId="22" fillId="6" borderId="1" xfId="2" applyFill="1" applyBorder="1">
      <alignment vertical="center"/>
    </xf>
    <xf numFmtId="0" fontId="28" fillId="0" borderId="1" xfId="2" applyFont="1" applyBorder="1">
      <alignment vertical="center"/>
    </xf>
    <xf numFmtId="0" fontId="29" fillId="0" borderId="1" xfId="2" applyFont="1" applyBorder="1">
      <alignment vertical="center"/>
    </xf>
    <xf numFmtId="0" fontId="31" fillId="0" borderId="1" xfId="2" applyFont="1" applyBorder="1" applyAlignment="1">
      <alignment horizontal="center" vertical="center"/>
    </xf>
    <xf numFmtId="0" fontId="32" fillId="0" borderId="1" xfId="2" applyFont="1" applyBorder="1" applyAlignment="1">
      <alignment horizontal="center" vertical="center"/>
    </xf>
    <xf numFmtId="0" fontId="33" fillId="0" borderId="1" xfId="2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/>
    </xf>
    <xf numFmtId="0" fontId="35" fillId="0" borderId="11" xfId="2" applyFont="1" applyBorder="1">
      <alignment vertical="center"/>
    </xf>
    <xf numFmtId="0" fontId="36" fillId="0" borderId="1" xfId="2" applyFont="1" applyBorder="1" applyAlignment="1">
      <alignment horizontal="center" vertical="center"/>
    </xf>
    <xf numFmtId="0" fontId="35" fillId="0" borderId="1" xfId="2" applyFont="1" applyBorder="1">
      <alignment vertical="center"/>
    </xf>
    <xf numFmtId="0" fontId="35" fillId="6" borderId="1" xfId="2" applyFont="1" applyFill="1" applyBorder="1">
      <alignment vertical="center"/>
    </xf>
    <xf numFmtId="0" fontId="22" fillId="4" borderId="1" xfId="2" applyFill="1" applyBorder="1">
      <alignment vertical="center"/>
    </xf>
    <xf numFmtId="0" fontId="22" fillId="4" borderId="10" xfId="2" applyFill="1" applyBorder="1">
      <alignment vertical="center"/>
    </xf>
    <xf numFmtId="0" fontId="22" fillId="4" borderId="12" xfId="2" applyFill="1" applyBorder="1">
      <alignment vertical="center"/>
    </xf>
    <xf numFmtId="0" fontId="22" fillId="4" borderId="2" xfId="2" applyFill="1" applyBorder="1">
      <alignment vertical="center"/>
    </xf>
    <xf numFmtId="0" fontId="22" fillId="4" borderId="14" xfId="2" applyFill="1" applyBorder="1">
      <alignment vertical="center"/>
    </xf>
    <xf numFmtId="0" fontId="22" fillId="4" borderId="5" xfId="2" applyFill="1" applyBorder="1">
      <alignment vertical="center"/>
    </xf>
    <xf numFmtId="0" fontId="35" fillId="0" borderId="4" xfId="2" applyFont="1" applyBorder="1">
      <alignment vertical="center"/>
    </xf>
    <xf numFmtId="0" fontId="21" fillId="0" borderId="0" xfId="3">
      <alignment vertical="center"/>
    </xf>
    <xf numFmtId="0" fontId="38" fillId="0" borderId="0" xfId="3" applyFont="1">
      <alignment vertical="center"/>
    </xf>
    <xf numFmtId="0" fontId="38" fillId="0" borderId="0" xfId="3" applyFont="1" applyAlignment="1">
      <alignment horizontal="center" vertical="center"/>
    </xf>
    <xf numFmtId="0" fontId="39" fillId="0" borderId="0" xfId="3" applyFont="1">
      <alignment vertical="center"/>
    </xf>
    <xf numFmtId="0" fontId="40" fillId="0" borderId="0" xfId="3" applyFont="1">
      <alignment vertical="center"/>
    </xf>
    <xf numFmtId="0" fontId="41" fillId="0" borderId="0" xfId="3" applyFont="1">
      <alignment vertical="center"/>
    </xf>
    <xf numFmtId="0" fontId="42" fillId="8" borderId="17" xfId="3" applyFont="1" applyFill="1" applyBorder="1" applyAlignment="1">
      <alignment horizontal="center" vertical="center" wrapText="1"/>
    </xf>
    <xf numFmtId="0" fontId="48" fillId="8" borderId="16" xfId="3" applyFont="1" applyFill="1" applyBorder="1" applyAlignment="1">
      <alignment horizontal="left" vertical="center" wrapText="1" indent="1"/>
    </xf>
    <xf numFmtId="0" fontId="48" fillId="8" borderId="17" xfId="3" applyFont="1" applyFill="1" applyBorder="1" applyAlignment="1">
      <alignment horizontal="left" vertical="center" wrapText="1" indent="1"/>
    </xf>
    <xf numFmtId="0" fontId="51" fillId="8" borderId="17" xfId="3" applyFont="1" applyFill="1" applyBorder="1" applyAlignment="1">
      <alignment horizontal="left" vertical="center" wrapText="1" indent="1"/>
    </xf>
    <xf numFmtId="0" fontId="48" fillId="8" borderId="17" xfId="3" applyFont="1" applyFill="1" applyBorder="1" applyAlignment="1">
      <alignment horizontal="center" vertical="center" wrapText="1"/>
    </xf>
    <xf numFmtId="0" fontId="48" fillId="8" borderId="0" xfId="3" applyFont="1" applyFill="1" applyAlignment="1">
      <alignment horizontal="center" vertical="center" wrapText="1"/>
    </xf>
    <xf numFmtId="0" fontId="48" fillId="8" borderId="0" xfId="3" applyFont="1" applyFill="1" applyAlignment="1">
      <alignment horizontal="left" vertical="center" wrapText="1" indent="1"/>
    </xf>
    <xf numFmtId="0" fontId="52" fillId="0" borderId="0" xfId="3" applyFont="1">
      <alignment vertical="center"/>
    </xf>
    <xf numFmtId="0" fontId="40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0" fontId="54" fillId="7" borderId="17" xfId="3" applyFont="1" applyFill="1" applyBorder="1" applyAlignment="1">
      <alignment horizontal="left" vertical="center" wrapText="1" indent="1"/>
    </xf>
    <xf numFmtId="0" fontId="55" fillId="7" borderId="17" xfId="3" applyFont="1" applyFill="1" applyBorder="1" applyAlignment="1">
      <alignment horizontal="left" vertical="center" wrapText="1" indent="1"/>
    </xf>
    <xf numFmtId="0" fontId="58" fillId="8" borderId="17" xfId="3" applyFont="1" applyFill="1" applyBorder="1" applyAlignment="1">
      <alignment horizontal="left" vertical="center" wrapText="1" indent="1"/>
    </xf>
    <xf numFmtId="0" fontId="56" fillId="8" borderId="17" xfId="3" applyFont="1" applyFill="1" applyBorder="1" applyAlignment="1">
      <alignment horizontal="left" vertical="center" wrapText="1" indent="1"/>
    </xf>
    <xf numFmtId="0" fontId="59" fillId="0" borderId="0" xfId="3" applyFont="1" applyAlignment="1">
      <alignment horizontal="center" vertical="center"/>
    </xf>
    <xf numFmtId="0" fontId="54" fillId="9" borderId="17" xfId="3" applyFont="1" applyFill="1" applyBorder="1" applyAlignment="1">
      <alignment horizontal="left" vertical="center" wrapText="1" indent="1"/>
    </xf>
    <xf numFmtId="0" fontId="60" fillId="7" borderId="17" xfId="3" applyFont="1" applyFill="1" applyBorder="1" applyAlignment="1">
      <alignment horizontal="left" vertical="center" wrapText="1" indent="1"/>
    </xf>
    <xf numFmtId="0" fontId="61" fillId="7" borderId="17" xfId="3" applyFont="1" applyFill="1" applyBorder="1" applyAlignment="1">
      <alignment horizontal="left" vertical="center" wrapText="1" indent="1"/>
    </xf>
    <xf numFmtId="0" fontId="62" fillId="7" borderId="17" xfId="3" applyFont="1" applyFill="1" applyBorder="1" applyAlignment="1">
      <alignment horizontal="left" vertical="center" wrapText="1" indent="1"/>
    </xf>
    <xf numFmtId="0" fontId="63" fillId="7" borderId="17" xfId="3" applyFont="1" applyFill="1" applyBorder="1" applyAlignment="1">
      <alignment horizontal="left" vertical="center" wrapText="1" indent="1"/>
    </xf>
    <xf numFmtId="0" fontId="64" fillId="0" borderId="0" xfId="3" applyFont="1">
      <alignment vertical="center"/>
    </xf>
    <xf numFmtId="0" fontId="38" fillId="0" borderId="0" xfId="3" applyFont="1" applyAlignment="1">
      <alignment horizontal="left" vertical="center"/>
    </xf>
    <xf numFmtId="0" fontId="68" fillId="0" borderId="0" xfId="3" applyFont="1">
      <alignment vertical="center"/>
    </xf>
    <xf numFmtId="0" fontId="39" fillId="0" borderId="0" xfId="3" applyFont="1" applyAlignment="1">
      <alignment horizontal="left" vertical="center"/>
    </xf>
    <xf numFmtId="0" fontId="22" fillId="5" borderId="1" xfId="2" applyFill="1" applyBorder="1" applyAlignment="1">
      <alignment horizontal="center" vertical="center"/>
    </xf>
    <xf numFmtId="0" fontId="22" fillId="10" borderId="9" xfId="2" applyFill="1" applyBorder="1" applyAlignment="1">
      <alignment horizontal="center" vertical="center"/>
    </xf>
    <xf numFmtId="0" fontId="22" fillId="10" borderId="15" xfId="2" applyFill="1" applyBorder="1" applyAlignment="1">
      <alignment horizontal="center" vertical="center"/>
    </xf>
    <xf numFmtId="0" fontId="22" fillId="10" borderId="7" xfId="2" applyFill="1" applyBorder="1" applyAlignment="1">
      <alignment horizontal="center" vertical="center"/>
    </xf>
    <xf numFmtId="0" fontId="22" fillId="0" borderId="0" xfId="2" applyAlignment="1">
      <alignment horizontal="center" vertical="center"/>
    </xf>
    <xf numFmtId="0" fontId="69" fillId="5" borderId="1" xfId="2" applyFont="1" applyFill="1" applyBorder="1" applyAlignment="1">
      <alignment horizontal="center" vertical="center"/>
    </xf>
    <xf numFmtId="0" fontId="22" fillId="0" borderId="1" xfId="2" applyBorder="1" applyAlignment="1">
      <alignment horizontal="center" vertical="center"/>
    </xf>
    <xf numFmtId="0" fontId="70" fillId="11" borderId="1" xfId="2" quotePrefix="1" applyFont="1" applyFill="1" applyBorder="1" applyAlignment="1">
      <alignment horizontal="center" vertical="center"/>
    </xf>
    <xf numFmtId="0" fontId="22" fillId="6" borderId="1" xfId="2" applyFill="1" applyBorder="1" applyAlignment="1">
      <alignment horizontal="center" vertical="center"/>
    </xf>
    <xf numFmtId="0" fontId="22" fillId="0" borderId="11" xfId="2" applyBorder="1" applyAlignment="1">
      <alignment horizontal="center" vertical="center"/>
    </xf>
    <xf numFmtId="0" fontId="71" fillId="6" borderId="1" xfId="2" applyFont="1" applyFill="1" applyBorder="1" applyAlignment="1">
      <alignment horizontal="center" vertical="center"/>
    </xf>
    <xf numFmtId="0" fontId="22" fillId="12" borderId="1" xfId="2" applyFill="1" applyBorder="1">
      <alignment vertical="center"/>
    </xf>
    <xf numFmtId="0" fontId="71" fillId="12" borderId="1" xfId="2" applyFont="1" applyFill="1" applyBorder="1" applyAlignment="1">
      <alignment horizontal="left" vertical="center" indent="2"/>
    </xf>
    <xf numFmtId="0" fontId="22" fillId="12" borderId="10" xfId="2" applyFill="1" applyBorder="1" applyAlignment="1">
      <alignment horizontal="left" vertical="center" indent="4"/>
    </xf>
    <xf numFmtId="0" fontId="69" fillId="0" borderId="1" xfId="2" applyFont="1" applyBorder="1" applyAlignment="1">
      <alignment horizontal="center" vertical="center"/>
    </xf>
    <xf numFmtId="0" fontId="70" fillId="11" borderId="1" xfId="2" applyFont="1" applyFill="1" applyBorder="1" applyAlignment="1">
      <alignment horizontal="center" vertical="center"/>
    </xf>
    <xf numFmtId="0" fontId="72" fillId="0" borderId="1" xfId="2" applyFont="1" applyBorder="1" applyAlignment="1">
      <alignment horizontal="center" vertical="center"/>
    </xf>
    <xf numFmtId="0" fontId="72" fillId="6" borderId="1" xfId="2" applyFont="1" applyFill="1" applyBorder="1">
      <alignment vertical="center"/>
    </xf>
    <xf numFmtId="0" fontId="73" fillId="0" borderId="1" xfId="2" applyFont="1" applyBorder="1" applyAlignment="1">
      <alignment horizontal="center" vertical="center"/>
    </xf>
    <xf numFmtId="0" fontId="72" fillId="0" borderId="4" xfId="2" applyFont="1" applyBorder="1" applyAlignment="1">
      <alignment horizontal="center" vertical="center"/>
    </xf>
    <xf numFmtId="0" fontId="72" fillId="0" borderId="12" xfId="2" applyFont="1" applyBorder="1" applyAlignment="1">
      <alignment horizontal="center" vertical="center"/>
    </xf>
    <xf numFmtId="0" fontId="70" fillId="11" borderId="12" xfId="2" quotePrefix="1" applyFont="1" applyFill="1" applyBorder="1" applyAlignment="1">
      <alignment horizontal="center" vertical="center"/>
    </xf>
    <xf numFmtId="0" fontId="72" fillId="6" borderId="12" xfId="2" applyFont="1" applyFill="1" applyBorder="1">
      <alignment vertical="center"/>
    </xf>
    <xf numFmtId="0" fontId="74" fillId="6" borderId="12" xfId="2" applyFont="1" applyFill="1" applyBorder="1" applyAlignment="1">
      <alignment horizontal="center" vertical="center"/>
    </xf>
    <xf numFmtId="0" fontId="75" fillId="12" borderId="12" xfId="2" applyFont="1" applyFill="1" applyBorder="1">
      <alignment vertical="center"/>
    </xf>
    <xf numFmtId="0" fontId="76" fillId="12" borderId="12" xfId="2" applyFont="1" applyFill="1" applyBorder="1" applyAlignment="1">
      <alignment horizontal="left" vertical="center" indent="2"/>
    </xf>
    <xf numFmtId="0" fontId="72" fillId="12" borderId="2" xfId="2" applyFont="1" applyFill="1" applyBorder="1" applyAlignment="1">
      <alignment horizontal="left" vertical="center" indent="4"/>
    </xf>
    <xf numFmtId="0" fontId="22" fillId="0" borderId="10" xfId="2" applyBorder="1" applyAlignment="1">
      <alignment horizontal="center" vertical="center"/>
    </xf>
    <xf numFmtId="0" fontId="22" fillId="12" borderId="1" xfId="2" applyFill="1" applyBorder="1" applyAlignment="1">
      <alignment horizontal="left" vertical="center" indent="2"/>
    </xf>
    <xf numFmtId="0" fontId="72" fillId="0" borderId="11" xfId="2" applyFont="1" applyBorder="1" applyAlignment="1">
      <alignment horizontal="center" vertical="center"/>
    </xf>
    <xf numFmtId="0" fontId="75" fillId="12" borderId="1" xfId="2" applyFont="1" applyFill="1" applyBorder="1">
      <alignment vertical="center"/>
    </xf>
    <xf numFmtId="0" fontId="72" fillId="12" borderId="1" xfId="2" applyFont="1" applyFill="1" applyBorder="1" applyAlignment="1">
      <alignment horizontal="left" vertical="center" indent="2"/>
    </xf>
    <xf numFmtId="0" fontId="22" fillId="0" borderId="4" xfId="2" applyBorder="1" applyAlignment="1">
      <alignment horizontal="center" vertical="center"/>
    </xf>
    <xf numFmtId="0" fontId="22" fillId="0" borderId="2" xfId="2" applyBorder="1" applyAlignment="1">
      <alignment horizontal="center" vertical="center"/>
    </xf>
    <xf numFmtId="0" fontId="69" fillId="0" borderId="1" xfId="2" applyFont="1" applyBorder="1" applyAlignment="1">
      <alignment horizontal="left" vertical="center" indent="3"/>
    </xf>
    <xf numFmtId="0" fontId="22" fillId="0" borderId="12" xfId="2" applyBorder="1">
      <alignment vertical="center"/>
    </xf>
    <xf numFmtId="0" fontId="78" fillId="0" borderId="1" xfId="2" applyFont="1" applyBorder="1" applyAlignment="1">
      <alignment horizontal="left" vertical="center" indent="2"/>
    </xf>
    <xf numFmtId="0" fontId="78" fillId="6" borderId="1" xfId="2" applyFont="1" applyFill="1" applyBorder="1" applyAlignment="1">
      <alignment horizontal="left" vertical="center" indent="2"/>
    </xf>
    <xf numFmtId="0" fontId="77" fillId="4" borderId="1" xfId="2" applyFont="1" applyFill="1" applyBorder="1" applyAlignment="1">
      <alignment horizontal="center" vertical="center"/>
    </xf>
    <xf numFmtId="0" fontId="80" fillId="4" borderId="1" xfId="2" applyFont="1" applyFill="1" applyBorder="1" applyAlignment="1">
      <alignment horizontal="center" vertical="center"/>
    </xf>
    <xf numFmtId="0" fontId="81" fillId="0" borderId="1" xfId="2" applyFont="1" applyBorder="1" applyAlignment="1">
      <alignment horizontal="left" vertical="center" indent="2"/>
    </xf>
    <xf numFmtId="0" fontId="81" fillId="6" borderId="1" xfId="2" applyFont="1" applyFill="1" applyBorder="1" applyAlignment="1">
      <alignment horizontal="left" vertical="center" indent="2"/>
    </xf>
    <xf numFmtId="0" fontId="37" fillId="0" borderId="1" xfId="2" applyFont="1" applyBorder="1" applyAlignment="1">
      <alignment horizontal="left" vertical="center" indent="2"/>
    </xf>
    <xf numFmtId="0" fontId="37" fillId="6" borderId="1" xfId="2" applyFont="1" applyFill="1" applyBorder="1" applyAlignment="1">
      <alignment horizontal="left" vertical="center" indent="2"/>
    </xf>
    <xf numFmtId="0" fontId="79" fillId="4" borderId="1" xfId="2" applyFont="1" applyFill="1" applyBorder="1" applyAlignment="1">
      <alignment horizontal="left" vertical="center" indent="3"/>
    </xf>
    <xf numFmtId="0" fontId="77" fillId="4" borderId="1" xfId="2" applyFont="1" applyFill="1" applyBorder="1" applyAlignment="1">
      <alignment horizontal="left" vertical="center" indent="3"/>
    </xf>
    <xf numFmtId="0" fontId="81" fillId="14" borderId="1" xfId="2" applyFont="1" applyFill="1" applyBorder="1" applyAlignment="1">
      <alignment horizontal="center" vertical="center"/>
    </xf>
    <xf numFmtId="0" fontId="27" fillId="14" borderId="1" xfId="2" applyFont="1" applyFill="1" applyBorder="1" applyAlignment="1">
      <alignment horizontal="center" vertical="center"/>
    </xf>
    <xf numFmtId="0" fontId="30" fillId="14" borderId="1" xfId="2" applyFont="1" applyFill="1" applyBorder="1" applyAlignment="1">
      <alignment horizontal="center" vertical="center"/>
    </xf>
    <xf numFmtId="0" fontId="82" fillId="14" borderId="13" xfId="2" applyFont="1" applyFill="1" applyBorder="1" applyAlignment="1">
      <alignment horizontal="center" vertical="center"/>
    </xf>
    <xf numFmtId="0" fontId="22" fillId="0" borderId="4" xfId="2" applyBorder="1">
      <alignment vertical="center"/>
    </xf>
    <xf numFmtId="0" fontId="26" fillId="0" borderId="12" xfId="2" applyFont="1" applyBorder="1" applyAlignment="1">
      <alignment horizontal="center" vertical="center"/>
    </xf>
    <xf numFmtId="0" fontId="22" fillId="6" borderId="12" xfId="2" applyFill="1" applyBorder="1">
      <alignment vertical="center"/>
    </xf>
    <xf numFmtId="0" fontId="31" fillId="0" borderId="12" xfId="2" applyFont="1" applyBorder="1" applyAlignment="1">
      <alignment horizontal="center" vertical="center"/>
    </xf>
    <xf numFmtId="0" fontId="25" fillId="5" borderId="14" xfId="2" applyFont="1" applyFill="1" applyBorder="1" applyAlignment="1">
      <alignment horizontal="center" vertical="center"/>
    </xf>
    <xf numFmtId="0" fontId="25" fillId="5" borderId="5" xfId="2" applyFont="1" applyFill="1" applyBorder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22" fillId="0" borderId="12" xfId="2" applyBorder="1" applyAlignment="1">
      <alignment horizontal="center" vertical="center"/>
    </xf>
    <xf numFmtId="0" fontId="48" fillId="6" borderId="17" xfId="3" applyFont="1" applyFill="1" applyBorder="1" applyAlignment="1">
      <alignment horizontal="center" vertical="center" wrapText="1"/>
    </xf>
    <xf numFmtId="0" fontId="83" fillId="8" borderId="17" xfId="3" applyFont="1" applyFill="1" applyBorder="1" applyAlignment="1">
      <alignment horizontal="center" vertical="center" wrapText="1"/>
    </xf>
    <xf numFmtId="0" fontId="42" fillId="8" borderId="16" xfId="3" applyFont="1" applyFill="1" applyBorder="1" applyAlignment="1">
      <alignment horizontal="center" vertical="top" wrapText="1"/>
    </xf>
    <xf numFmtId="0" fontId="42" fillId="6" borderId="17" xfId="3" applyFont="1" applyFill="1" applyBorder="1" applyAlignment="1">
      <alignment horizontal="center" vertical="top" wrapText="1"/>
    </xf>
    <xf numFmtId="0" fontId="42" fillId="15" borderId="17" xfId="3" applyFont="1" applyFill="1" applyBorder="1" applyAlignment="1">
      <alignment horizontal="center" vertical="top" wrapText="1"/>
    </xf>
    <xf numFmtId="0" fontId="83" fillId="8" borderId="17" xfId="3" applyFont="1" applyFill="1" applyBorder="1" applyAlignment="1">
      <alignment horizontal="center" vertical="top" wrapText="1"/>
    </xf>
    <xf numFmtId="0" fontId="42" fillId="8" borderId="17" xfId="3" applyFont="1" applyFill="1" applyBorder="1" applyAlignment="1">
      <alignment horizontal="center" vertical="top" wrapText="1"/>
    </xf>
    <xf numFmtId="0" fontId="43" fillId="8" borderId="0" xfId="3" applyFont="1" applyFill="1" applyAlignment="1">
      <alignment horizontal="center" vertical="top" wrapText="1"/>
    </xf>
    <xf numFmtId="0" fontId="21" fillId="0" borderId="0" xfId="3" applyAlignment="1">
      <alignment vertical="top"/>
    </xf>
    <xf numFmtId="0" fontId="43" fillId="8" borderId="17" xfId="3" applyFont="1" applyFill="1" applyBorder="1" applyAlignment="1">
      <alignment horizontal="center" vertical="top" wrapText="1"/>
    </xf>
    <xf numFmtId="0" fontId="44" fillId="8" borderId="17" xfId="3" applyFont="1" applyFill="1" applyBorder="1" applyAlignment="1">
      <alignment horizontal="center" vertical="top" wrapText="1"/>
    </xf>
    <xf numFmtId="0" fontId="45" fillId="8" borderId="17" xfId="3" applyFont="1" applyFill="1" applyBorder="1" applyAlignment="1">
      <alignment horizontal="center" vertical="top" wrapText="1"/>
    </xf>
    <xf numFmtId="0" fontId="40" fillId="0" borderId="0" xfId="3" applyFont="1" applyAlignment="1">
      <alignment vertical="top"/>
    </xf>
    <xf numFmtId="0" fontId="46" fillId="0" borderId="0" xfId="3" applyFont="1" applyAlignment="1">
      <alignment horizontal="center" vertical="top"/>
    </xf>
    <xf numFmtId="0" fontId="47" fillId="0" borderId="0" xfId="3" applyFont="1" applyAlignment="1">
      <alignment vertical="top"/>
    </xf>
    <xf numFmtId="0" fontId="41" fillId="0" borderId="0" xfId="3" applyFont="1" applyAlignment="1">
      <alignment vertical="top"/>
    </xf>
    <xf numFmtId="0" fontId="21" fillId="0" borderId="0" xfId="3" applyAlignment="1">
      <alignment horizontal="center" vertical="center"/>
    </xf>
    <xf numFmtId="0" fontId="50" fillId="6" borderId="17" xfId="3" applyFont="1" applyFill="1" applyBorder="1" applyAlignment="1">
      <alignment horizontal="center" vertical="center" wrapText="1"/>
    </xf>
    <xf numFmtId="0" fontId="84" fillId="6" borderId="17" xfId="3" applyFont="1" applyFill="1" applyBorder="1" applyAlignment="1">
      <alignment horizontal="left" vertical="center" wrapText="1" indent="1"/>
    </xf>
    <xf numFmtId="0" fontId="85" fillId="15" borderId="17" xfId="3" applyFont="1" applyFill="1" applyBorder="1" applyAlignment="1">
      <alignment horizontal="left" vertical="center" wrapText="1" indent="1"/>
    </xf>
    <xf numFmtId="0" fontId="86" fillId="15" borderId="17" xfId="3" applyFont="1" applyFill="1" applyBorder="1" applyAlignment="1">
      <alignment horizontal="left" vertical="center" wrapText="1" indent="1"/>
    </xf>
    <xf numFmtId="0" fontId="87" fillId="0" borderId="0" xfId="0" applyFont="1">
      <alignment vertical="center"/>
    </xf>
    <xf numFmtId="0" fontId="48" fillId="8" borderId="17" xfId="3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8" fillId="8" borderId="17" xfId="3" applyFont="1" applyFill="1" applyBorder="1" applyAlignment="1">
      <alignment horizontal="center" vertical="center" wrapText="1"/>
    </xf>
    <xf numFmtId="0" fontId="89" fillId="8" borderId="17" xfId="3" applyFont="1" applyFill="1" applyBorder="1" applyAlignment="1">
      <alignment horizontal="center" vertical="center" wrapText="1"/>
    </xf>
    <xf numFmtId="0" fontId="83" fillId="6" borderId="17" xfId="3" applyFont="1" applyFill="1" applyBorder="1" applyAlignment="1">
      <alignment horizontal="center" vertical="center" wrapText="1"/>
    </xf>
    <xf numFmtId="0" fontId="89" fillId="8" borderId="17" xfId="3" applyFont="1" applyFill="1" applyBorder="1" applyAlignment="1">
      <alignment horizontal="left" vertical="center" wrapText="1" indent="2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4" fillId="8" borderId="17" xfId="3" applyFont="1" applyFill="1" applyBorder="1" applyAlignment="1">
      <alignment horizontal="center" vertical="center" wrapText="1"/>
    </xf>
    <xf numFmtId="0" fontId="95" fillId="6" borderId="17" xfId="3" applyFont="1" applyFill="1" applyBorder="1" applyAlignment="1">
      <alignment horizontal="center" vertical="center" wrapText="1"/>
    </xf>
    <xf numFmtId="0" fontId="90" fillId="8" borderId="17" xfId="3" applyFont="1" applyFill="1" applyBorder="1" applyAlignment="1">
      <alignment horizontal="center" vertical="center" wrapText="1"/>
    </xf>
    <xf numFmtId="0" fontId="96" fillId="0" borderId="0" xfId="0" applyFont="1">
      <alignment vertical="center"/>
    </xf>
    <xf numFmtId="0" fontId="96" fillId="16" borderId="0" xfId="0" applyFont="1" applyFill="1">
      <alignment vertical="center"/>
    </xf>
    <xf numFmtId="0" fontId="97" fillId="13" borderId="0" xfId="0" applyFont="1" applyFill="1" applyAlignment="1">
      <alignment horizontal="center" vertical="center"/>
    </xf>
    <xf numFmtId="0" fontId="98" fillId="13" borderId="0" xfId="0" applyFont="1" applyFill="1" applyAlignment="1">
      <alignment horizontal="center" vertical="center"/>
    </xf>
    <xf numFmtId="0" fontId="99" fillId="0" borderId="0" xfId="0" applyFont="1">
      <alignment vertical="center"/>
    </xf>
    <xf numFmtId="0" fontId="99" fillId="16" borderId="0" xfId="0" applyFont="1" applyFill="1" applyAlignment="1">
      <alignment horizontal="center" vertical="center"/>
    </xf>
    <xf numFmtId="0" fontId="100" fillId="13" borderId="0" xfId="0" applyFont="1" applyFill="1" applyAlignment="1">
      <alignment horizontal="center" vertical="center"/>
    </xf>
    <xf numFmtId="0" fontId="101" fillId="16" borderId="0" xfId="0" applyFont="1" applyFill="1">
      <alignment vertical="center"/>
    </xf>
    <xf numFmtId="0" fontId="96" fillId="13" borderId="0" xfId="0" applyFont="1" applyFill="1">
      <alignment vertical="center"/>
    </xf>
    <xf numFmtId="0" fontId="100" fillId="16" borderId="0" xfId="0" applyFont="1" applyFill="1">
      <alignment vertical="center"/>
    </xf>
    <xf numFmtId="0" fontId="102" fillId="16" borderId="0" xfId="0" applyFont="1" applyFill="1" applyAlignment="1">
      <alignment horizontal="center" vertical="center"/>
    </xf>
    <xf numFmtId="0" fontId="96" fillId="13" borderId="0" xfId="0" applyFont="1" applyFill="1" applyAlignment="1">
      <alignment horizontal="center" vertical="center"/>
    </xf>
    <xf numFmtId="0" fontId="103" fillId="13" borderId="0" xfId="0" applyFont="1" applyFill="1" applyAlignment="1">
      <alignment horizontal="center" vertical="center"/>
    </xf>
    <xf numFmtId="0" fontId="97" fillId="16" borderId="0" xfId="0" applyFont="1" applyFill="1">
      <alignment vertical="center"/>
    </xf>
    <xf numFmtId="0" fontId="96" fillId="0" borderId="18" xfId="0" applyFont="1" applyBorder="1">
      <alignment vertical="center"/>
    </xf>
    <xf numFmtId="0" fontId="103" fillId="16" borderId="0" xfId="0" applyFont="1" applyFill="1">
      <alignment vertical="center"/>
    </xf>
    <xf numFmtId="0" fontId="99" fillId="16" borderId="0" xfId="0" applyFont="1" applyFill="1">
      <alignment vertical="center"/>
    </xf>
    <xf numFmtId="0" fontId="104" fillId="0" borderId="18" xfId="0" applyFont="1" applyBorder="1">
      <alignment vertical="center"/>
    </xf>
    <xf numFmtId="0" fontId="105" fillId="16" borderId="0" xfId="0" applyFont="1" applyFill="1">
      <alignment vertical="center"/>
    </xf>
    <xf numFmtId="0" fontId="22" fillId="0" borderId="10" xfId="2" applyBorder="1">
      <alignment vertical="center"/>
    </xf>
    <xf numFmtId="0" fontId="29" fillId="0" borderId="10" xfId="2" applyFont="1" applyBorder="1">
      <alignment vertical="center"/>
    </xf>
    <xf numFmtId="0" fontId="28" fillId="0" borderId="10" xfId="2" applyFont="1" applyBorder="1">
      <alignment vertical="center"/>
    </xf>
    <xf numFmtId="0" fontId="28" fillId="0" borderId="19" xfId="2" applyFont="1" applyBorder="1">
      <alignment vertical="center"/>
    </xf>
    <xf numFmtId="0" fontId="28" fillId="0" borderId="2" xfId="2" applyFont="1" applyBorder="1">
      <alignment vertical="center"/>
    </xf>
    <xf numFmtId="0" fontId="25" fillId="5" borderId="9" xfId="2" applyFont="1" applyFill="1" applyBorder="1" applyAlignment="1">
      <alignment horizontal="center" vertical="center"/>
    </xf>
    <xf numFmtId="0" fontId="25" fillId="5" borderId="15" xfId="2" applyFont="1" applyFill="1" applyBorder="1" applyAlignment="1">
      <alignment horizontal="center" vertical="center"/>
    </xf>
    <xf numFmtId="0" fontId="25" fillId="5" borderId="7" xfId="2" applyFont="1" applyFill="1" applyBorder="1" applyAlignment="1">
      <alignment horizontal="center" vertical="center"/>
    </xf>
    <xf numFmtId="0" fontId="77" fillId="4" borderId="12" xfId="2" applyFont="1" applyFill="1" applyBorder="1" applyAlignment="1">
      <alignment horizontal="left" vertical="center" indent="3"/>
    </xf>
    <xf numFmtId="0" fontId="77" fillId="4" borderId="12" xfId="2" applyFont="1" applyFill="1" applyBorder="1" applyAlignment="1">
      <alignment horizontal="center" vertical="center"/>
    </xf>
    <xf numFmtId="0" fontId="27" fillId="14" borderId="12" xfId="2" applyFont="1" applyFill="1" applyBorder="1" applyAlignment="1">
      <alignment horizontal="center" vertical="center"/>
    </xf>
    <xf numFmtId="0" fontId="78" fillId="6" borderId="12" xfId="2" applyFont="1" applyFill="1" applyBorder="1" applyAlignment="1">
      <alignment horizontal="left" vertical="center" indent="2"/>
    </xf>
    <xf numFmtId="0" fontId="78" fillId="0" borderId="12" xfId="2" applyFont="1" applyBorder="1" applyAlignment="1">
      <alignment horizontal="left" vertical="center" indent="2"/>
    </xf>
    <xf numFmtId="0" fontId="22" fillId="0" borderId="2" xfId="2" applyBorder="1">
      <alignment vertical="center"/>
    </xf>
    <xf numFmtId="0" fontId="106" fillId="13" borderId="0" xfId="0" applyFont="1" applyFill="1" applyAlignment="1">
      <alignment horizontal="center" vertical="center"/>
    </xf>
    <xf numFmtId="0" fontId="107" fillId="13" borderId="0" xfId="0" applyFont="1" applyFill="1" applyAlignment="1">
      <alignment horizontal="center" vertical="center"/>
    </xf>
    <xf numFmtId="0" fontId="108" fillId="0" borderId="0" xfId="0" applyFont="1">
      <alignment vertical="center"/>
    </xf>
    <xf numFmtId="0" fontId="109" fillId="0" borderId="0" xfId="0" applyFont="1" applyAlignment="1">
      <alignment horizontal="center" vertical="center"/>
    </xf>
    <xf numFmtId="0" fontId="109" fillId="0" borderId="0" xfId="0" applyFont="1">
      <alignment vertical="center"/>
    </xf>
    <xf numFmtId="0" fontId="115" fillId="0" borderId="21" xfId="0" applyFont="1" applyBorder="1" applyAlignment="1">
      <alignment horizontal="center" vertical="center"/>
    </xf>
    <xf numFmtId="0" fontId="116" fillId="0" borderId="22" xfId="0" applyFont="1" applyBorder="1" applyAlignment="1">
      <alignment horizontal="center" vertical="center"/>
    </xf>
    <xf numFmtId="0" fontId="117" fillId="0" borderId="23" xfId="0" applyFont="1" applyBorder="1" applyAlignment="1">
      <alignment horizontal="center" vertical="center"/>
    </xf>
    <xf numFmtId="0" fontId="118" fillId="0" borderId="24" xfId="0" applyFont="1" applyBorder="1" applyAlignment="1">
      <alignment horizontal="center" vertical="center"/>
    </xf>
    <xf numFmtId="176" fontId="119" fillId="0" borderId="21" xfId="0" applyNumberFormat="1" applyFont="1" applyBorder="1" applyAlignment="1">
      <alignment horizontal="center" vertical="center"/>
    </xf>
    <xf numFmtId="0" fontId="117" fillId="18" borderId="23" xfId="0" applyFont="1" applyFill="1" applyBorder="1" applyAlignment="1">
      <alignment horizontal="center" vertical="center"/>
    </xf>
    <xf numFmtId="0" fontId="120" fillId="19" borderId="10" xfId="0" applyFont="1" applyFill="1" applyBorder="1" applyAlignment="1">
      <alignment horizontal="centerContinuous" vertical="center"/>
    </xf>
    <xf numFmtId="0" fontId="120" fillId="19" borderId="20" xfId="0" applyFont="1" applyFill="1" applyBorder="1" applyAlignment="1">
      <alignment horizontal="centerContinuous" vertical="center"/>
    </xf>
    <xf numFmtId="0" fontId="120" fillId="19" borderId="11" xfId="0" applyFont="1" applyFill="1" applyBorder="1" applyAlignment="1">
      <alignment horizontal="centerContinuous" vertical="center"/>
    </xf>
    <xf numFmtId="0" fontId="121" fillId="0" borderId="0" xfId="0" applyFont="1">
      <alignment vertical="center"/>
    </xf>
    <xf numFmtId="176" fontId="122" fillId="19" borderId="10" xfId="0" applyNumberFormat="1" applyFont="1" applyFill="1" applyBorder="1" applyAlignment="1">
      <alignment horizontal="centerContinuous" vertical="center"/>
    </xf>
    <xf numFmtId="176" fontId="122" fillId="19" borderId="20" xfId="0" applyNumberFormat="1" applyFont="1" applyFill="1" applyBorder="1" applyAlignment="1">
      <alignment horizontal="centerContinuous" vertical="center"/>
    </xf>
    <xf numFmtId="176" fontId="122" fillId="19" borderId="11" xfId="0" applyNumberFormat="1" applyFont="1" applyFill="1" applyBorder="1" applyAlignment="1">
      <alignment horizontal="centerContinuous" vertical="center"/>
    </xf>
    <xf numFmtId="176" fontId="123" fillId="0" borderId="21" xfId="0" applyNumberFormat="1" applyFont="1" applyBorder="1" applyAlignment="1">
      <alignment horizontal="center" vertical="center"/>
    </xf>
    <xf numFmtId="0" fontId="124" fillId="0" borderId="22" xfId="0" applyFont="1" applyBorder="1" applyAlignment="1">
      <alignment horizontal="center" vertical="center"/>
    </xf>
    <xf numFmtId="0" fontId="125" fillId="0" borderId="24" xfId="0" applyFont="1" applyBorder="1" applyAlignment="1">
      <alignment horizontal="center" vertical="center"/>
    </xf>
    <xf numFmtId="0" fontId="127" fillId="0" borderId="24" xfId="0" applyFont="1" applyBorder="1" applyAlignment="1">
      <alignment horizontal="center" vertical="center"/>
    </xf>
    <xf numFmtId="0" fontId="128" fillId="0" borderId="24" xfId="0" applyFont="1" applyBorder="1" applyAlignment="1">
      <alignment horizontal="center" vertical="center"/>
    </xf>
    <xf numFmtId="0" fontId="126" fillId="0" borderId="23" xfId="0" applyFont="1" applyBorder="1" applyAlignment="1">
      <alignment horizontal="center" vertical="center"/>
    </xf>
    <xf numFmtId="0" fontId="129" fillId="0" borderId="24" xfId="0" applyFont="1" applyBorder="1" applyAlignment="1">
      <alignment horizontal="center" vertical="center"/>
    </xf>
    <xf numFmtId="176" fontId="123" fillId="11" borderId="21" xfId="0" applyNumberFormat="1" applyFont="1" applyFill="1" applyBorder="1" applyAlignment="1">
      <alignment horizontal="center" vertical="center"/>
    </xf>
    <xf numFmtId="0" fontId="124" fillId="11" borderId="22" xfId="0" applyFont="1" applyFill="1" applyBorder="1" applyAlignment="1">
      <alignment horizontal="center" vertical="center"/>
    </xf>
    <xf numFmtId="0" fontId="117" fillId="11" borderId="23" xfId="0" applyFont="1" applyFill="1" applyBorder="1" applyAlignment="1">
      <alignment horizontal="center" vertical="center"/>
    </xf>
    <xf numFmtId="0" fontId="130" fillId="11" borderId="24" xfId="0" applyFont="1" applyFill="1" applyBorder="1" applyAlignment="1">
      <alignment horizontal="center" vertical="center"/>
    </xf>
    <xf numFmtId="0" fontId="126" fillId="11" borderId="23" xfId="0" applyFont="1" applyFill="1" applyBorder="1" applyAlignment="1">
      <alignment horizontal="center" vertical="center"/>
    </xf>
    <xf numFmtId="0" fontId="131" fillId="11" borderId="24" xfId="0" applyFont="1" applyFill="1" applyBorder="1" applyAlignment="1">
      <alignment horizontal="center" vertical="center"/>
    </xf>
    <xf numFmtId="0" fontId="118" fillId="11" borderId="24" xfId="0" applyFont="1" applyFill="1" applyBorder="1" applyAlignment="1">
      <alignment horizontal="center" vertical="center"/>
    </xf>
    <xf numFmtId="0" fontId="132" fillId="0" borderId="24" xfId="0" applyFont="1" applyBorder="1" applyAlignment="1">
      <alignment horizontal="center" vertical="center"/>
    </xf>
    <xf numFmtId="0" fontId="133" fillId="0" borderId="24" xfId="0" applyFont="1" applyBorder="1" applyAlignment="1">
      <alignment horizontal="center" vertical="center"/>
    </xf>
    <xf numFmtId="0" fontId="134" fillId="0" borderId="24" xfId="0" applyFont="1" applyBorder="1" applyAlignment="1">
      <alignment horizontal="center" vertical="center"/>
    </xf>
    <xf numFmtId="0" fontId="135" fillId="11" borderId="22" xfId="0" applyFont="1" applyFill="1" applyBorder="1" applyAlignment="1">
      <alignment horizontal="center" vertical="center"/>
    </xf>
    <xf numFmtId="176" fontId="136" fillId="0" borderId="21" xfId="0" applyNumberFormat="1" applyFont="1" applyBorder="1" applyAlignment="1">
      <alignment horizontal="center" vertical="center"/>
    </xf>
    <xf numFmtId="0" fontId="135" fillId="0" borderId="22" xfId="0" applyFont="1" applyBorder="1" applyAlignment="1">
      <alignment horizontal="center" vertical="center"/>
    </xf>
    <xf numFmtId="176" fontId="138" fillId="0" borderId="21" xfId="0" applyNumberFormat="1" applyFont="1" applyBorder="1" applyAlignment="1">
      <alignment horizontal="center" vertical="center"/>
    </xf>
    <xf numFmtId="0" fontId="127" fillId="11" borderId="24" xfId="0" applyFont="1" applyFill="1" applyBorder="1" applyAlignment="1">
      <alignment horizontal="center" vertical="center"/>
    </xf>
    <xf numFmtId="176" fontId="123" fillId="4" borderId="21" xfId="0" applyNumberFormat="1" applyFont="1" applyFill="1" applyBorder="1" applyAlignment="1">
      <alignment horizontal="center" vertical="center"/>
    </xf>
    <xf numFmtId="0" fontId="124" fillId="4" borderId="22" xfId="0" applyFont="1" applyFill="1" applyBorder="1" applyAlignment="1">
      <alignment horizontal="center" vertical="center"/>
    </xf>
    <xf numFmtId="0" fontId="117" fillId="4" borderId="23" xfId="0" applyFont="1" applyFill="1" applyBorder="1" applyAlignment="1">
      <alignment horizontal="center" vertical="center"/>
    </xf>
    <xf numFmtId="0" fontId="130" fillId="4" borderId="24" xfId="0" applyFont="1" applyFill="1" applyBorder="1" applyAlignment="1">
      <alignment horizontal="center" vertical="center"/>
    </xf>
    <xf numFmtId="0" fontId="131" fillId="4" borderId="24" xfId="0" applyFont="1" applyFill="1" applyBorder="1" applyAlignment="1">
      <alignment horizontal="center" vertical="center"/>
    </xf>
    <xf numFmtId="0" fontId="126" fillId="4" borderId="23" xfId="0" applyFont="1" applyFill="1" applyBorder="1" applyAlignment="1">
      <alignment horizontal="center" vertical="center"/>
    </xf>
    <xf numFmtId="0" fontId="139" fillId="4" borderId="23" xfId="0" applyFont="1" applyFill="1" applyBorder="1" applyAlignment="1">
      <alignment horizontal="center" vertical="center"/>
    </xf>
    <xf numFmtId="176" fontId="123" fillId="20" borderId="21" xfId="0" applyNumberFormat="1" applyFont="1" applyFill="1" applyBorder="1" applyAlignment="1">
      <alignment horizontal="center" vertical="center"/>
    </xf>
    <xf numFmtId="0" fontId="124" fillId="20" borderId="22" xfId="0" applyFont="1" applyFill="1" applyBorder="1" applyAlignment="1">
      <alignment horizontal="center" vertical="center"/>
    </xf>
    <xf numFmtId="0" fontId="117" fillId="20" borderId="23" xfId="0" applyFont="1" applyFill="1" applyBorder="1" applyAlignment="1">
      <alignment horizontal="center" vertical="center"/>
    </xf>
    <xf numFmtId="0" fontId="125" fillId="20" borderId="24" xfId="0" applyFont="1" applyFill="1" applyBorder="1" applyAlignment="1">
      <alignment horizontal="center" vertical="center"/>
    </xf>
    <xf numFmtId="0" fontId="145" fillId="0" borderId="0" xfId="0" applyFont="1">
      <alignment vertical="center"/>
    </xf>
    <xf numFmtId="0" fontId="148" fillId="0" borderId="21" xfId="0" applyFont="1" applyBorder="1" applyAlignment="1">
      <alignment horizontal="center" vertical="center"/>
    </xf>
    <xf numFmtId="0" fontId="148" fillId="6" borderId="21" xfId="0" applyFont="1" applyFill="1" applyBorder="1" applyAlignment="1">
      <alignment horizontal="center" vertical="center"/>
    </xf>
    <xf numFmtId="0" fontId="116" fillId="6" borderId="22" xfId="0" applyFont="1" applyFill="1" applyBorder="1" applyAlignment="1">
      <alignment horizontal="center" vertical="center"/>
    </xf>
    <xf numFmtId="0" fontId="117" fillId="6" borderId="23" xfId="0" applyFont="1" applyFill="1" applyBorder="1" applyAlignment="1">
      <alignment horizontal="center" vertical="center"/>
    </xf>
    <xf numFmtId="0" fontId="118" fillId="6" borderId="24" xfId="0" applyFont="1" applyFill="1" applyBorder="1" applyAlignment="1">
      <alignment horizontal="center" vertical="center"/>
    </xf>
    <xf numFmtId="0" fontId="150" fillId="0" borderId="21" xfId="0" applyFont="1" applyBorder="1" applyAlignment="1">
      <alignment horizontal="center" vertical="center"/>
    </xf>
    <xf numFmtId="0" fontId="151" fillId="0" borderId="0" xfId="0" applyFont="1">
      <alignment vertical="center"/>
    </xf>
    <xf numFmtId="0" fontId="152" fillId="0" borderId="0" xfId="0" applyFont="1" applyAlignment="1">
      <alignment horizontal="left" vertical="center"/>
    </xf>
    <xf numFmtId="0" fontId="154" fillId="0" borderId="0" xfId="0" applyFont="1" applyAlignment="1">
      <alignment horizontal="left" vertical="center"/>
    </xf>
    <xf numFmtId="0" fontId="153" fillId="0" borderId="0" xfId="0" applyFont="1" applyAlignment="1">
      <alignment horizontal="left" vertical="center"/>
    </xf>
    <xf numFmtId="0" fontId="113" fillId="17" borderId="12" xfId="0" applyFont="1" applyFill="1" applyBorder="1" applyAlignment="1">
      <alignment horizontal="distributed" vertical="distributed" indent="1"/>
    </xf>
    <xf numFmtId="0" fontId="113" fillId="17" borderId="15" xfId="0" applyFont="1" applyFill="1" applyBorder="1" applyAlignment="1">
      <alignment horizontal="distributed" vertical="distributed" indent="1"/>
    </xf>
    <xf numFmtId="0" fontId="114" fillId="17" borderId="12" xfId="0" applyFont="1" applyFill="1" applyBorder="1" applyAlignment="1">
      <alignment horizontal="distributed" vertical="center" indent="1"/>
    </xf>
    <xf numFmtId="0" fontId="114" fillId="17" borderId="15" xfId="0" applyFont="1" applyFill="1" applyBorder="1" applyAlignment="1">
      <alignment horizontal="distributed" vertical="center" indent="1"/>
    </xf>
    <xf numFmtId="0" fontId="110" fillId="17" borderId="2" xfId="0" applyFont="1" applyFill="1" applyBorder="1" applyAlignment="1">
      <alignment horizontal="center" vertical="center"/>
    </xf>
    <xf numFmtId="0" fontId="110" fillId="17" borderId="4" xfId="0" applyFont="1" applyFill="1" applyBorder="1" applyAlignment="1">
      <alignment horizontal="center" vertical="center"/>
    </xf>
    <xf numFmtId="0" fontId="110" fillId="17" borderId="7" xfId="0" applyFont="1" applyFill="1" applyBorder="1" applyAlignment="1">
      <alignment horizontal="center" vertical="center"/>
    </xf>
    <xf numFmtId="0" fontId="110" fillId="17" borderId="9" xfId="0" applyFont="1" applyFill="1" applyBorder="1" applyAlignment="1">
      <alignment horizontal="center" vertical="center"/>
    </xf>
    <xf numFmtId="0" fontId="111" fillId="17" borderId="10" xfId="0" applyFont="1" applyFill="1" applyBorder="1" applyAlignment="1">
      <alignment horizontal="center" vertical="center"/>
    </xf>
    <xf numFmtId="0" fontId="111" fillId="17" borderId="20" xfId="0" applyFont="1" applyFill="1" applyBorder="1" applyAlignment="1">
      <alignment horizontal="center" vertical="center"/>
    </xf>
    <xf numFmtId="0" fontId="111" fillId="17" borderId="11" xfId="0" applyFont="1" applyFill="1" applyBorder="1" applyAlignment="1">
      <alignment horizontal="center" vertical="center"/>
    </xf>
    <xf numFmtId="0" fontId="112" fillId="17" borderId="2" xfId="0" applyFont="1" applyFill="1" applyBorder="1" applyAlignment="1">
      <alignment horizontal="center" vertical="center"/>
    </xf>
    <xf numFmtId="0" fontId="112" fillId="17" borderId="4" xfId="0" applyFont="1" applyFill="1" applyBorder="1" applyAlignment="1">
      <alignment horizontal="center" vertical="center"/>
    </xf>
    <xf numFmtId="0" fontId="112" fillId="17" borderId="7" xfId="0" applyFont="1" applyFill="1" applyBorder="1" applyAlignment="1">
      <alignment horizontal="center" vertical="center"/>
    </xf>
    <xf numFmtId="0" fontId="112" fillId="17" borderId="9" xfId="0" applyFont="1" applyFill="1" applyBorder="1" applyAlignment="1">
      <alignment horizontal="center" vertical="center"/>
    </xf>
    <xf numFmtId="0" fontId="112" fillId="17" borderId="10" xfId="0" applyFont="1" applyFill="1" applyBorder="1" applyAlignment="1">
      <alignment horizontal="center" vertical="center"/>
    </xf>
    <xf numFmtId="0" fontId="112" fillId="17" borderId="11" xfId="0" applyFont="1" applyFill="1" applyBorder="1" applyAlignment="1">
      <alignment horizontal="center" vertical="center"/>
    </xf>
    <xf numFmtId="0" fontId="113" fillId="17" borderId="2" xfId="0" applyFont="1" applyFill="1" applyBorder="1" applyAlignment="1">
      <alignment horizontal="distributed" vertical="distributed" indent="2"/>
    </xf>
    <xf numFmtId="0" fontId="113" fillId="17" borderId="4" xfId="0" applyFont="1" applyFill="1" applyBorder="1" applyAlignment="1">
      <alignment horizontal="distributed" vertical="distributed" indent="2"/>
    </xf>
    <xf numFmtId="0" fontId="113" fillId="17" borderId="7" xfId="0" applyFont="1" applyFill="1" applyBorder="1" applyAlignment="1">
      <alignment horizontal="distributed" vertical="distributed" indent="2"/>
    </xf>
    <xf numFmtId="0" fontId="113" fillId="17" borderId="9" xfId="0" applyFont="1" applyFill="1" applyBorder="1" applyAlignment="1">
      <alignment horizontal="distributed" vertical="distributed" indent="2"/>
    </xf>
    <xf numFmtId="0" fontId="113" fillId="17" borderId="5" xfId="0" applyFont="1" applyFill="1" applyBorder="1" applyAlignment="1">
      <alignment horizontal="distributed" vertical="distributed" indent="2"/>
    </xf>
    <xf numFmtId="0" fontId="113" fillId="17" borderId="6" xfId="0" applyFont="1" applyFill="1" applyBorder="1" applyAlignment="1">
      <alignment horizontal="distributed" vertical="distributed" indent="2"/>
    </xf>
    <xf numFmtId="0" fontId="141" fillId="17" borderId="12" xfId="0" applyFont="1" applyFill="1" applyBorder="1" applyAlignment="1">
      <alignment horizontal="distributed" vertical="center" indent="1"/>
    </xf>
    <xf numFmtId="0" fontId="141" fillId="17" borderId="14" xfId="0" applyFont="1" applyFill="1" applyBorder="1" applyAlignment="1">
      <alignment horizontal="distributed" vertical="center" indent="1"/>
    </xf>
    <xf numFmtId="0" fontId="141" fillId="17" borderId="15" xfId="0" applyFont="1" applyFill="1" applyBorder="1" applyAlignment="1">
      <alignment horizontal="distributed" vertical="center" indent="1"/>
    </xf>
    <xf numFmtId="0" fontId="113" fillId="17" borderId="14" xfId="0" applyFont="1" applyFill="1" applyBorder="1" applyAlignment="1">
      <alignment horizontal="distributed" vertical="distributed" indent="1"/>
    </xf>
    <xf numFmtId="0" fontId="111" fillId="17" borderId="10" xfId="0" applyFont="1" applyFill="1" applyBorder="1" applyAlignment="1">
      <alignment horizontal="distributed" vertical="center" indent="2"/>
    </xf>
    <xf numFmtId="0" fontId="0" fillId="0" borderId="20" xfId="0" applyBorder="1" applyAlignment="1">
      <alignment horizontal="distributed" vertical="center" indent="2"/>
    </xf>
    <xf numFmtId="0" fontId="0" fillId="0" borderId="11" xfId="0" applyBorder="1" applyAlignment="1">
      <alignment horizontal="distributed" vertical="center" indent="2"/>
    </xf>
    <xf numFmtId="0" fontId="110" fillId="17" borderId="12" xfId="0" applyFont="1" applyFill="1" applyBorder="1" applyAlignment="1">
      <alignment horizontal="center" vertical="center" wrapText="1"/>
    </xf>
    <xf numFmtId="0" fontId="110" fillId="17" borderId="15" xfId="0" applyFont="1" applyFill="1" applyBorder="1" applyAlignment="1">
      <alignment horizontal="center" vertical="center"/>
    </xf>
    <xf numFmtId="0" fontId="113" fillId="17" borderId="12" xfId="0" applyFont="1" applyFill="1" applyBorder="1" applyAlignment="1">
      <alignment horizontal="center" vertical="distributed" textRotation="255" indent="1"/>
    </xf>
    <xf numFmtId="0" fontId="113" fillId="17" borderId="14" xfId="0" applyFont="1" applyFill="1" applyBorder="1" applyAlignment="1">
      <alignment horizontal="center" vertical="distributed" textRotation="255" indent="1"/>
    </xf>
    <xf numFmtId="0" fontId="113" fillId="17" borderId="15" xfId="0" applyFont="1" applyFill="1" applyBorder="1" applyAlignment="1">
      <alignment horizontal="center" vertical="distributed" textRotation="255" indent="1"/>
    </xf>
    <xf numFmtId="0" fontId="113" fillId="17" borderId="12" xfId="0" applyFont="1" applyFill="1" applyBorder="1" applyAlignment="1">
      <alignment horizontal="center" vertical="distributed" textRotation="255" indent="2"/>
    </xf>
    <xf numFmtId="0" fontId="113" fillId="17" borderId="14" xfId="0" applyFont="1" applyFill="1" applyBorder="1" applyAlignment="1">
      <alignment horizontal="center" vertical="distributed" textRotation="255" indent="2"/>
    </xf>
    <xf numFmtId="0" fontId="113" fillId="17" borderId="15" xfId="0" applyFont="1" applyFill="1" applyBorder="1" applyAlignment="1">
      <alignment horizontal="center" vertical="distributed" textRotation="255" indent="2"/>
    </xf>
    <xf numFmtId="0" fontId="110" fillId="17" borderId="2" xfId="0" applyFont="1" applyFill="1" applyBorder="1" applyAlignment="1">
      <alignment horizontal="center" vertical="center" wrapText="1"/>
    </xf>
    <xf numFmtId="176" fontId="122" fillId="19" borderId="12" xfId="0" applyNumberFormat="1" applyFont="1" applyFill="1" applyBorder="1" applyAlignment="1">
      <alignment horizontal="center" vertical="center"/>
    </xf>
    <xf numFmtId="176" fontId="122" fillId="19" borderId="15" xfId="0" applyNumberFormat="1" applyFont="1" applyFill="1" applyBorder="1" applyAlignment="1">
      <alignment horizontal="center" vertical="center"/>
    </xf>
    <xf numFmtId="176" fontId="122" fillId="19" borderId="10" xfId="0" applyNumberFormat="1" applyFont="1" applyFill="1" applyBorder="1" applyAlignment="1">
      <alignment horizontal="center" vertical="center"/>
    </xf>
    <xf numFmtId="176" fontId="122" fillId="19" borderId="11" xfId="0" applyNumberFormat="1" applyFont="1" applyFill="1" applyBorder="1" applyAlignment="1">
      <alignment horizontal="center" vertical="center"/>
    </xf>
    <xf numFmtId="0" fontId="120" fillId="19" borderId="1" xfId="0" applyFont="1" applyFill="1" applyBorder="1" applyAlignment="1">
      <alignment horizontal="center" vertical="center"/>
    </xf>
    <xf numFmtId="0" fontId="13" fillId="4" borderId="5" xfId="1" applyFont="1" applyFill="1" applyBorder="1" applyAlignment="1">
      <alignment horizontal="center" vertical="center"/>
    </xf>
    <xf numFmtId="0" fontId="13" fillId="4" borderId="0" xfId="1" applyFont="1" applyFill="1" applyAlignment="1">
      <alignment horizontal="center" vertical="center"/>
    </xf>
    <xf numFmtId="0" fontId="13" fillId="4" borderId="7" xfId="1" applyFont="1" applyFill="1" applyBorder="1" applyAlignment="1">
      <alignment horizontal="center" vertical="center"/>
    </xf>
    <xf numFmtId="0" fontId="13" fillId="4" borderId="8" xfId="1" applyFont="1" applyFill="1" applyBorder="1" applyAlignment="1">
      <alignment horizontal="center" vertical="center"/>
    </xf>
    <xf numFmtId="0" fontId="14" fillId="4" borderId="0" xfId="1" applyFont="1" applyFill="1" applyAlignment="1">
      <alignment horizontal="center" vertical="center"/>
    </xf>
    <xf numFmtId="0" fontId="14" fillId="4" borderId="6" xfId="1" applyFont="1" applyFill="1" applyBorder="1" applyAlignment="1">
      <alignment horizontal="center" vertical="center"/>
    </xf>
    <xf numFmtId="0" fontId="14" fillId="4" borderId="8" xfId="1" applyFont="1" applyFill="1" applyBorder="1" applyAlignment="1">
      <alignment horizontal="center" vertical="center"/>
    </xf>
    <xf numFmtId="0" fontId="14" fillId="4" borderId="9" xfId="1" applyFont="1" applyFill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top"/>
    </xf>
    <xf numFmtId="0" fontId="16" fillId="0" borderId="0" xfId="1" applyFont="1" applyAlignment="1">
      <alignment horizontal="center" vertical="top"/>
    </xf>
    <xf numFmtId="0" fontId="16" fillId="0" borderId="7" xfId="1" applyFont="1" applyBorder="1" applyAlignment="1">
      <alignment horizontal="center" vertical="top"/>
    </xf>
    <xf numFmtId="0" fontId="16" fillId="0" borderId="8" xfId="1" applyFont="1" applyBorder="1" applyAlignment="1">
      <alignment horizontal="center" vertical="top"/>
    </xf>
    <xf numFmtId="0" fontId="7" fillId="4" borderId="2" xfId="1" applyFont="1" applyFill="1" applyBorder="1" applyAlignment="1">
      <alignment horizontal="center"/>
    </xf>
    <xf numFmtId="0" fontId="7" fillId="4" borderId="3" xfId="1" applyFont="1" applyFill="1" applyBorder="1" applyAlignment="1">
      <alignment horizontal="center"/>
    </xf>
    <xf numFmtId="0" fontId="7" fillId="4" borderId="5" xfId="1" applyFont="1" applyFill="1" applyBorder="1" applyAlignment="1">
      <alignment horizontal="center"/>
    </xf>
    <xf numFmtId="0" fontId="7" fillId="4" borderId="0" xfId="1" applyFont="1" applyFill="1" applyAlignment="1">
      <alignment horizontal="center"/>
    </xf>
    <xf numFmtId="0" fontId="8" fillId="4" borderId="3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textRotation="255"/>
    </xf>
    <xf numFmtId="0" fontId="19" fillId="0" borderId="0" xfId="1" applyFont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8" fillId="4" borderId="2" xfId="1" applyFont="1" applyFill="1" applyBorder="1" applyAlignment="1">
      <alignment horizontal="center"/>
    </xf>
    <xf numFmtId="0" fontId="18" fillId="4" borderId="3" xfId="1" applyFont="1" applyFill="1" applyBorder="1" applyAlignment="1">
      <alignment horizontal="center"/>
    </xf>
    <xf numFmtId="0" fontId="18" fillId="4" borderId="5" xfId="1" applyFont="1" applyFill="1" applyBorder="1" applyAlignment="1">
      <alignment horizontal="center"/>
    </xf>
    <xf numFmtId="0" fontId="18" fillId="4" borderId="0" xfId="1" applyFont="1" applyFill="1" applyAlignment="1">
      <alignment horizontal="center"/>
    </xf>
    <xf numFmtId="0" fontId="6" fillId="3" borderId="10" xfId="1" applyFont="1" applyFill="1" applyBorder="1" applyAlignment="1">
      <alignment horizontal="center" vertical="center" textRotation="255"/>
    </xf>
    <xf numFmtId="0" fontId="2" fillId="2" borderId="1" xfId="1" applyFont="1" applyFill="1" applyBorder="1" applyAlignment="1">
      <alignment horizontal="center" vertical="center"/>
    </xf>
  </cellXfs>
  <cellStyles count="4">
    <cellStyle name="一般" xfId="0" builtinId="0"/>
    <cellStyle name="一般 2" xfId="1" xr:uid="{3E4F0BEB-F552-4352-B414-FC37FDDE46B0}"/>
    <cellStyle name="一般 3" xfId="2" xr:uid="{929E8B33-30AB-4B11-AE05-0378AACAEA0C}"/>
    <cellStyle name="一般 4" xfId="3" xr:uid="{5C3815C3-8972-4AD6-82A9-C116FFEA1164}"/>
  </cellStyles>
  <dxfs count="6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89999084444715716"/>
        </patternFill>
      </fill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8"/>
        <color rgb="FF000000"/>
        <name val="Charis SIL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haris SIL"/>
        <scheme val="none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Charis SIL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rgb="FF00B0F0"/>
        <name val="Noto Sans TC Medium"/>
        <family val="2"/>
        <charset val="136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rgb="FF00B0F0"/>
        <name val="Noto Sans TC Medium"/>
        <family val="2"/>
        <charset val="136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3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alignment horizontal="left" vertical="center" textRotation="0" wrapText="0" indent="2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&#27827;&#27931;&#35441;/&#28450;&#35486;&#27880;&#38899;&#23565;&#29031;&#34920;.xlsx" TargetMode="External"/><Relationship Id="rId1" Type="http://schemas.openxmlformats.org/officeDocument/2006/relationships/externalLinkPath" Target="https://d.docs.live.net/e853628f16e3ee33/&#27827;&#27931;&#35441;/&#28450;&#35486;&#27880;&#38899;&#23565;&#2903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iau-Im/Documents/D100_&#24409;&#38598;&#38597;&#20439;&#36890;&#21313;&#20116;&#38899;&#23383;&#20856;.xlsx" TargetMode="External"/><Relationship Id="rId2" Type="http://schemas.openxmlformats.org/officeDocument/2006/relationships/externalLinkPath" Target="file:///C:\Users\AlanJui\work\Piau-Im\Documents\D100_&#24409;&#38598;&#38597;&#20439;&#36890;&#21313;&#20116;&#38899;&#23383;&#20856;.xlsx" TargetMode="External"/><Relationship Id="rId1" Type="http://schemas.openxmlformats.org/officeDocument/2006/relationships/externalLinkPath" Target="/Users/AlanJui/work/Piau-Im/Documents/D100_&#24409;&#38598;&#38597;&#20439;&#36890;&#21313;&#20116;&#38899;&#23383;&#20856;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iau-Im/Documents/&#38313;&#21335;&#35486;&#27880;&#38899;&#20108;&#24335;/&#21488;&#35486;&#27880;&#38899;&#20108;&#24335;.xlsx" TargetMode="External"/><Relationship Id="rId2" Type="http://schemas.openxmlformats.org/officeDocument/2006/relationships/externalLinkPath" Target="file:///C:\Users\AlanJui\work\Piau-Im\Documents\&#38313;&#21335;&#35486;&#27880;&#38899;&#20108;&#24335;\&#21488;&#35486;&#27880;&#38899;&#20108;&#24335;.xlsx" TargetMode="External"/><Relationship Id="rId1" Type="http://schemas.openxmlformats.org/officeDocument/2006/relationships/externalLinkPath" Target="/Users/AlanJui/work/Piau-Im/Documents/&#38313;&#21335;&#35486;&#27880;&#38899;&#20108;&#24335;/&#21488;&#35486;&#27880;&#38899;&#20108;&#24335;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ork/Piau-Im/output7/&#12304;&#27827;&#27931;&#25991;&#35712;&#27880;&#38899;-&#38313;&#25340;&#35519;&#34399;&#12305;&#12298;&#23450;&#39080;&#27874;&#12299;.xlsx" TargetMode="External"/><Relationship Id="rId2" Type="http://schemas.openxmlformats.org/officeDocument/2006/relationships/externalLinkPath" Target="file:///C:\work\Piau-Im\output7\&#12304;&#27827;&#27931;&#25991;&#35712;&#27880;&#38899;-&#38313;&#25340;&#35519;&#34399;&#12305;&#12298;&#23450;&#39080;&#27874;&#12299;.xlsx" TargetMode="External"/><Relationship Id="rId1" Type="http://schemas.openxmlformats.org/officeDocument/2006/relationships/externalLinkPath" Target="/work/Piau-Im/output7/&#12304;&#27827;&#27931;&#25991;&#35712;&#27880;&#38899;-&#38313;&#25340;&#35519;&#34399;&#12305;&#12298;&#23450;&#39080;&#27874;&#12299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Jui\work\rime-tlpa\docs\101_&#32882;&#38907;&#35519;&#23565;&#29031;&#34920;.xlsx" TargetMode="External"/><Relationship Id="rId1" Type="http://schemas.openxmlformats.org/officeDocument/2006/relationships/externalLinkPath" Target="101_&#32882;&#38907;&#35519;&#23565;&#29031;&#34920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Jui\work\rime-tlpa\docs\105_&#21313;&#20116;&#38899;&#38899;&#31680;&#34920;.xlsx" TargetMode="External"/><Relationship Id="rId1" Type="http://schemas.openxmlformats.org/officeDocument/2006/relationships/externalLinkPath" Target="105_&#21313;&#20116;&#38899;&#38899;&#3168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昔時賢文"/>
      <sheetName val="昔時賢文 (自動翻譯)"/>
      <sheetName val="字典01"/>
      <sheetName val="雅俗通字庫"/>
      <sheetName val="注音聲母碼"/>
      <sheetName val="注音韻母碼"/>
      <sheetName val="方音-音節表"/>
      <sheetName val="台語ㄅㄆㄇ-聲母碼"/>
      <sheetName val="台語ㄅㄆㄇ-韻母碼"/>
      <sheetName val="台語ㄅㄆㄇ轉換對照表"/>
      <sheetName val="聲調表"/>
      <sheetName val="聲母碼"/>
      <sheetName val="韻母碼 (台羅)"/>
      <sheetName val="聲母對照表"/>
      <sheetName val="十五音-聲母"/>
      <sheetName val="韻母碼"/>
      <sheetName val="韻母對照表"/>
      <sheetName val="十五音-韻母"/>
      <sheetName val="十五音韻母比較表"/>
      <sheetName val="十五音-韻母八音反切"/>
      <sheetName val="方音-聲母"/>
      <sheetName val="方音-韻母"/>
      <sheetName val="方音．組合韻母表"/>
      <sheetName val="方音符號表"/>
      <sheetName val="方音符號．鍵盤"/>
      <sheetName val="閩拼-聲母"/>
      <sheetName val="閩拼-韻母"/>
      <sheetName val="聲母對照表（舊）"/>
      <sheetName val="韻母對照表（舊）"/>
      <sheetName val="閩拼-韻母八音反切"/>
      <sheetName val="閩拼-聲調"/>
      <sheetName val="白話字-音節表"/>
      <sheetName val="白話字-韻母八音反切"/>
      <sheetName val="台羅拼音-音節表"/>
      <sheetName val="台羅-韻母八音反切"/>
      <sheetName val="增補彙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1</v>
          </cell>
          <cell r="E6" t="str">
            <v>b</v>
          </cell>
          <cell r="F6" t="str">
            <v>b</v>
          </cell>
          <cell r="G6" t="str">
            <v>門</v>
          </cell>
          <cell r="H6" t="str">
            <v>b</v>
          </cell>
          <cell r="I6" t="str">
            <v>b</v>
          </cell>
          <cell r="J6" t="str">
            <v>bb</v>
          </cell>
          <cell r="K6" t="str">
            <v>ㆠ</v>
          </cell>
        </row>
        <row r="7">
          <cell r="D7">
            <v>2</v>
          </cell>
          <cell r="E7" t="str">
            <v>ch</v>
          </cell>
          <cell r="F7" t="str">
            <v>ʦ</v>
          </cell>
          <cell r="G7" t="str">
            <v>曾</v>
          </cell>
          <cell r="H7" t="str">
            <v>ch</v>
          </cell>
          <cell r="I7" t="str">
            <v>ts</v>
          </cell>
          <cell r="J7" t="str">
            <v>z</v>
          </cell>
          <cell r="K7" t="str">
            <v>ㄗ</v>
          </cell>
        </row>
        <row r="8">
          <cell r="D8">
            <v>3</v>
          </cell>
          <cell r="E8" t="str">
            <v>chh</v>
          </cell>
          <cell r="F8" t="str">
            <v>ʦʰ</v>
          </cell>
          <cell r="G8" t="str">
            <v>出</v>
          </cell>
          <cell r="H8" t="str">
            <v>chh</v>
          </cell>
          <cell r="I8" t="str">
            <v>tsh</v>
          </cell>
          <cell r="J8" t="str">
            <v>c</v>
          </cell>
          <cell r="K8" t="str">
            <v>ㄘ</v>
          </cell>
        </row>
        <row r="9">
          <cell r="D9">
            <v>4</v>
          </cell>
          <cell r="E9" t="str">
            <v>g</v>
          </cell>
          <cell r="F9" t="str">
            <v>ɡ</v>
          </cell>
          <cell r="G9" t="str">
            <v>語</v>
          </cell>
          <cell r="H9" t="str">
            <v>g</v>
          </cell>
          <cell r="I9" t="str">
            <v>g</v>
          </cell>
          <cell r="J9" t="str">
            <v>gg</v>
          </cell>
          <cell r="K9" t="str">
            <v>ㆣ</v>
          </cell>
        </row>
        <row r="10">
          <cell r="D10">
            <v>5</v>
          </cell>
          <cell r="E10" t="str">
            <v>h</v>
          </cell>
          <cell r="F10" t="str">
            <v>h</v>
          </cell>
          <cell r="G10" t="str">
            <v>喜</v>
          </cell>
          <cell r="H10" t="str">
            <v>h</v>
          </cell>
          <cell r="I10" t="str">
            <v>h</v>
          </cell>
          <cell r="J10" t="str">
            <v>h</v>
          </cell>
          <cell r="K10" t="str">
            <v>ㄏ</v>
          </cell>
        </row>
        <row r="11">
          <cell r="D11">
            <v>6</v>
          </cell>
          <cell r="E11" t="str">
            <v>j</v>
          </cell>
          <cell r="F11" t="str">
            <v>ʣ</v>
          </cell>
          <cell r="G11" t="str">
            <v>入</v>
          </cell>
          <cell r="H11" t="str">
            <v>j</v>
          </cell>
          <cell r="I11" t="str">
            <v>j</v>
          </cell>
          <cell r="J11" t="str">
            <v>zz</v>
          </cell>
          <cell r="K11" t="str">
            <v>ㆡ</v>
          </cell>
        </row>
        <row r="12">
          <cell r="D12">
            <v>7</v>
          </cell>
          <cell r="E12" t="str">
            <v>k</v>
          </cell>
          <cell r="F12" t="str">
            <v>k</v>
          </cell>
          <cell r="G12" t="str">
            <v>求</v>
          </cell>
          <cell r="H12" t="str">
            <v>k</v>
          </cell>
          <cell r="I12" t="str">
            <v>k</v>
          </cell>
          <cell r="J12" t="str">
            <v>g</v>
          </cell>
          <cell r="K12" t="str">
            <v>ㄍ</v>
          </cell>
        </row>
        <row r="13">
          <cell r="D13">
            <v>8</v>
          </cell>
          <cell r="E13" t="str">
            <v>kh</v>
          </cell>
          <cell r="F13" t="str">
            <v>kʰ</v>
          </cell>
          <cell r="G13" t="str">
            <v>去</v>
          </cell>
          <cell r="H13" t="str">
            <v>kh</v>
          </cell>
          <cell r="I13" t="str">
            <v>kh</v>
          </cell>
          <cell r="J13" t="str">
            <v>k</v>
          </cell>
          <cell r="K13" t="str">
            <v>ㄎ</v>
          </cell>
        </row>
        <row r="14">
          <cell r="D14">
            <v>9</v>
          </cell>
          <cell r="E14" t="str">
            <v>l</v>
          </cell>
          <cell r="F14" t="str">
            <v>l</v>
          </cell>
          <cell r="G14" t="str">
            <v>柳</v>
          </cell>
          <cell r="H14" t="str">
            <v>l</v>
          </cell>
          <cell r="I14" t="str">
            <v>l</v>
          </cell>
          <cell r="J14" t="str">
            <v>l</v>
          </cell>
          <cell r="K14" t="str">
            <v>ㄌ</v>
          </cell>
        </row>
        <row r="15">
          <cell r="D15">
            <v>10</v>
          </cell>
          <cell r="E15" t="str">
            <v>m</v>
          </cell>
          <cell r="F15" t="str">
            <v>m</v>
          </cell>
          <cell r="G15" t="str">
            <v>毛</v>
          </cell>
          <cell r="H15" t="str">
            <v>m</v>
          </cell>
          <cell r="I15" t="str">
            <v>m</v>
          </cell>
          <cell r="J15" t="str">
            <v>bbn</v>
          </cell>
          <cell r="K15" t="str">
            <v>ㄇ</v>
          </cell>
        </row>
        <row r="16">
          <cell r="D16">
            <v>11</v>
          </cell>
          <cell r="E16" t="str">
            <v>n</v>
          </cell>
          <cell r="F16" t="str">
            <v>n</v>
          </cell>
          <cell r="G16" t="str">
            <v>耐</v>
          </cell>
          <cell r="H16" t="str">
            <v>n</v>
          </cell>
          <cell r="I16" t="str">
            <v>n</v>
          </cell>
          <cell r="J16" t="str">
            <v>ln</v>
          </cell>
          <cell r="K16" t="str">
            <v>ㄋ</v>
          </cell>
        </row>
        <row r="17">
          <cell r="D17">
            <v>12</v>
          </cell>
          <cell r="E17" t="str">
            <v>ng</v>
          </cell>
          <cell r="F17" t="str">
            <v>ŋ</v>
          </cell>
          <cell r="G17" t="str">
            <v>雅</v>
          </cell>
          <cell r="H17" t="str">
            <v>ng</v>
          </cell>
          <cell r="I17" t="str">
            <v>ng</v>
          </cell>
          <cell r="J17" t="str">
            <v>ggn</v>
          </cell>
          <cell r="K17" t="str">
            <v>ㄫ</v>
          </cell>
        </row>
        <row r="18">
          <cell r="D18">
            <v>13</v>
          </cell>
          <cell r="E18" t="str">
            <v>p</v>
          </cell>
          <cell r="F18" t="str">
            <v>p</v>
          </cell>
          <cell r="G18" t="str">
            <v>邊</v>
          </cell>
          <cell r="H18" t="str">
            <v>p</v>
          </cell>
          <cell r="I18" t="str">
            <v>p</v>
          </cell>
          <cell r="J18" t="str">
            <v>b</v>
          </cell>
          <cell r="K18" t="str">
            <v>ㄅ</v>
          </cell>
        </row>
        <row r="19">
          <cell r="D19">
            <v>14</v>
          </cell>
          <cell r="E19" t="str">
            <v>ph</v>
          </cell>
          <cell r="F19" t="str">
            <v>pʰ</v>
          </cell>
          <cell r="G19" t="str">
            <v>頗</v>
          </cell>
          <cell r="H19" t="str">
            <v>ph</v>
          </cell>
          <cell r="I19" t="str">
            <v>ph</v>
          </cell>
          <cell r="J19" t="str">
            <v>p</v>
          </cell>
          <cell r="K19" t="str">
            <v>ㄆ</v>
          </cell>
        </row>
        <row r="20">
          <cell r="D20">
            <v>15</v>
          </cell>
          <cell r="E20" t="str">
            <v>s</v>
          </cell>
          <cell r="F20" t="str">
            <v>s</v>
          </cell>
          <cell r="G20" t="str">
            <v>時</v>
          </cell>
          <cell r="H20" t="str">
            <v>s</v>
          </cell>
          <cell r="I20" t="str">
            <v>s</v>
          </cell>
          <cell r="J20" t="str">
            <v>s</v>
          </cell>
          <cell r="K20" t="str">
            <v>ㄙ</v>
          </cell>
        </row>
        <row r="21">
          <cell r="D21">
            <v>16</v>
          </cell>
          <cell r="E21" t="str">
            <v>t</v>
          </cell>
          <cell r="F21" t="str">
            <v>t</v>
          </cell>
          <cell r="G21" t="str">
            <v>地</v>
          </cell>
          <cell r="H21" t="str">
            <v>t</v>
          </cell>
          <cell r="I21" t="str">
            <v>t</v>
          </cell>
          <cell r="J21" t="str">
            <v>d</v>
          </cell>
          <cell r="K21" t="str">
            <v>ㄉ</v>
          </cell>
        </row>
        <row r="22">
          <cell r="D22">
            <v>17</v>
          </cell>
          <cell r="E22" t="str">
            <v>th</v>
          </cell>
          <cell r="F22" t="str">
            <v>tʰ</v>
          </cell>
          <cell r="G22" t="str">
            <v>他</v>
          </cell>
          <cell r="H22" t="str">
            <v>th</v>
          </cell>
          <cell r="I22" t="str">
            <v>th</v>
          </cell>
          <cell r="J22" t="str">
            <v>t</v>
          </cell>
          <cell r="K22" t="str">
            <v>ㄊ</v>
          </cell>
        </row>
      </sheetData>
      <sheetData sheetId="12" refreshError="1"/>
      <sheetData sheetId="13" refreshError="1"/>
      <sheetData sheetId="14" refreshError="1"/>
      <sheetData sheetId="15">
        <row r="5">
          <cell r="F5">
            <v>1</v>
          </cell>
          <cell r="G5" t="str">
            <v>a</v>
          </cell>
          <cell r="H5" t="str">
            <v>a</v>
          </cell>
          <cell r="I5" t="str">
            <v>膠</v>
          </cell>
          <cell r="J5" t="str">
            <v>a</v>
          </cell>
          <cell r="K5" t="str">
            <v>a</v>
          </cell>
          <cell r="L5" t="str">
            <v>a</v>
          </cell>
          <cell r="M5" t="str">
            <v>ㄚ</v>
          </cell>
        </row>
        <row r="6">
          <cell r="F6">
            <v>2</v>
          </cell>
          <cell r="G6" t="str">
            <v>ann</v>
          </cell>
          <cell r="H6" t="str">
            <v>ã</v>
          </cell>
          <cell r="I6" t="str">
            <v>監</v>
          </cell>
          <cell r="J6" t="str">
            <v>aⁿ</v>
          </cell>
          <cell r="K6" t="str">
            <v>ann</v>
          </cell>
          <cell r="L6" t="str">
            <v>na</v>
          </cell>
          <cell r="M6" t="str">
            <v>ㆩ</v>
          </cell>
        </row>
        <row r="7">
          <cell r="F7">
            <v>3</v>
          </cell>
          <cell r="G7" t="str">
            <v>ah</v>
          </cell>
          <cell r="H7" t="str">
            <v>a?</v>
          </cell>
          <cell r="I7" t="str">
            <v>膠</v>
          </cell>
          <cell r="J7" t="str">
            <v>ah</v>
          </cell>
          <cell r="K7" t="str">
            <v>ah</v>
          </cell>
          <cell r="L7" t="str">
            <v>ah</v>
          </cell>
          <cell r="M7" t="str">
            <v>ㄚㆷ</v>
          </cell>
        </row>
        <row r="8">
          <cell r="F8">
            <v>4</v>
          </cell>
          <cell r="G8" t="str">
            <v>ahnn</v>
          </cell>
          <cell r="H8" t="str">
            <v>ã?</v>
          </cell>
          <cell r="I8" t="str">
            <v>監</v>
          </cell>
          <cell r="J8" t="str">
            <v>ahⁿ</v>
          </cell>
          <cell r="K8" t="str">
            <v>annh</v>
          </cell>
          <cell r="L8" t="str">
            <v>nah</v>
          </cell>
          <cell r="M8" t="str">
            <v>ㆩㆷ</v>
          </cell>
        </row>
        <row r="9">
          <cell r="F9">
            <v>5</v>
          </cell>
          <cell r="G9" t="str">
            <v>ai</v>
          </cell>
          <cell r="H9" t="str">
            <v>ai</v>
          </cell>
          <cell r="I9" t="str">
            <v>皆</v>
          </cell>
          <cell r="J9" t="str">
            <v>ai</v>
          </cell>
          <cell r="K9" t="str">
            <v>ai</v>
          </cell>
          <cell r="L9" t="str">
            <v>ai</v>
          </cell>
          <cell r="M9" t="str">
            <v>ㄞ</v>
          </cell>
        </row>
        <row r="10">
          <cell r="F10">
            <v>6</v>
          </cell>
          <cell r="G10" t="str">
            <v>ainn</v>
          </cell>
          <cell r="H10" t="str">
            <v>ãĩ</v>
          </cell>
          <cell r="I10" t="str">
            <v>閒</v>
          </cell>
          <cell r="J10" t="str">
            <v>aiⁿ</v>
          </cell>
          <cell r="K10" t="str">
            <v>ainn</v>
          </cell>
          <cell r="L10" t="str">
            <v>nai</v>
          </cell>
          <cell r="M10" t="str">
            <v>ㆮ</v>
          </cell>
        </row>
        <row r="11">
          <cell r="F11">
            <v>7</v>
          </cell>
          <cell r="G11" t="str">
            <v>ak</v>
          </cell>
          <cell r="H11" t="str">
            <v>ak̚</v>
          </cell>
          <cell r="I11" t="str">
            <v>江</v>
          </cell>
          <cell r="J11" t="str">
            <v>ak</v>
          </cell>
          <cell r="K11" t="str">
            <v>ak</v>
          </cell>
          <cell r="L11" t="str">
            <v>ak</v>
          </cell>
          <cell r="M11" t="str">
            <v>ㄚㆻ</v>
          </cell>
        </row>
        <row r="12">
          <cell r="F12">
            <v>8</v>
          </cell>
          <cell r="G12" t="str">
            <v>am</v>
          </cell>
          <cell r="H12" t="str">
            <v>am</v>
          </cell>
          <cell r="I12" t="str">
            <v>甘</v>
          </cell>
          <cell r="J12" t="str">
            <v>am</v>
          </cell>
          <cell r="K12" t="str">
            <v>am</v>
          </cell>
          <cell r="L12" t="str">
            <v>am</v>
          </cell>
          <cell r="M12" t="str">
            <v>ㆰ</v>
          </cell>
        </row>
        <row r="13">
          <cell r="F13">
            <v>9</v>
          </cell>
          <cell r="G13" t="str">
            <v>an</v>
          </cell>
          <cell r="H13" t="str">
            <v>an</v>
          </cell>
          <cell r="I13" t="str">
            <v>干</v>
          </cell>
          <cell r="J13" t="str">
            <v>an</v>
          </cell>
          <cell r="K13" t="str">
            <v>an</v>
          </cell>
          <cell r="L13" t="str">
            <v>an</v>
          </cell>
          <cell r="M13" t="str">
            <v>ㄢ</v>
          </cell>
        </row>
        <row r="14">
          <cell r="F14">
            <v>10</v>
          </cell>
          <cell r="G14" t="str">
            <v>ang</v>
          </cell>
          <cell r="H14" t="str">
            <v>aŋ</v>
          </cell>
          <cell r="I14" t="str">
            <v>江</v>
          </cell>
          <cell r="J14" t="str">
            <v>ang</v>
          </cell>
          <cell r="K14" t="str">
            <v>ang</v>
          </cell>
          <cell r="L14" t="str">
            <v>ang</v>
          </cell>
          <cell r="M14" t="str">
            <v>ㄤ</v>
          </cell>
        </row>
        <row r="15">
          <cell r="F15">
            <v>11</v>
          </cell>
          <cell r="G15" t="str">
            <v>ap</v>
          </cell>
          <cell r="H15" t="str">
            <v>ap̚</v>
          </cell>
          <cell r="I15" t="str">
            <v>甘</v>
          </cell>
          <cell r="J15" t="str">
            <v>ap</v>
          </cell>
          <cell r="K15" t="str">
            <v>ap</v>
          </cell>
          <cell r="L15" t="str">
            <v>ap</v>
          </cell>
          <cell r="M15" t="str">
            <v>ㄚㆴ</v>
          </cell>
        </row>
        <row r="16">
          <cell r="F16">
            <v>12</v>
          </cell>
          <cell r="G16" t="str">
            <v>at</v>
          </cell>
          <cell r="H16" t="str">
            <v>at̚</v>
          </cell>
          <cell r="I16" t="str">
            <v>干</v>
          </cell>
          <cell r="J16" t="str">
            <v>at</v>
          </cell>
          <cell r="K16" t="str">
            <v>ap</v>
          </cell>
          <cell r="L16" t="str">
            <v>at</v>
          </cell>
          <cell r="M16" t="str">
            <v>ㄚㆵ</v>
          </cell>
        </row>
        <row r="17">
          <cell r="F17">
            <v>13</v>
          </cell>
          <cell r="G17" t="str">
            <v>au</v>
          </cell>
          <cell r="H17" t="str">
            <v>aʊ</v>
          </cell>
          <cell r="I17" t="str">
            <v>交</v>
          </cell>
          <cell r="J17" t="str">
            <v>au</v>
          </cell>
          <cell r="K17" t="str">
            <v>au</v>
          </cell>
          <cell r="L17" t="str">
            <v>ao</v>
          </cell>
          <cell r="M17" t="str">
            <v>ㄠ</v>
          </cell>
        </row>
        <row r="18">
          <cell r="F18">
            <v>14</v>
          </cell>
          <cell r="G18" t="str">
            <v>auh</v>
          </cell>
          <cell r="H18" t="str">
            <v>au?</v>
          </cell>
          <cell r="I18" t="str">
            <v>交</v>
          </cell>
          <cell r="J18" t="str">
            <v>auh</v>
          </cell>
          <cell r="K18" t="str">
            <v>auh</v>
          </cell>
          <cell r="L18" t="str">
            <v>aoh</v>
          </cell>
          <cell r="M18" t="str">
            <v>ㄠㆷ</v>
          </cell>
        </row>
        <row r="19">
          <cell r="F19">
            <v>15</v>
          </cell>
          <cell r="G19" t="str">
            <v>e</v>
          </cell>
          <cell r="H19" t="str">
            <v>e</v>
          </cell>
          <cell r="I19" t="str">
            <v>伽</v>
          </cell>
          <cell r="J19" t="str">
            <v>e</v>
          </cell>
          <cell r="K19" t="str">
            <v>e</v>
          </cell>
          <cell r="L19" t="str">
            <v>e</v>
          </cell>
          <cell r="M19" t="str">
            <v>ㆤ</v>
          </cell>
        </row>
        <row r="20">
          <cell r="F20">
            <v>16</v>
          </cell>
          <cell r="G20" t="str">
            <v>enn</v>
          </cell>
          <cell r="H20" t="str">
            <v>ẽ</v>
          </cell>
          <cell r="I20" t="str">
            <v>更</v>
          </cell>
          <cell r="J20" t="str">
            <v>eⁿ</v>
          </cell>
          <cell r="K20" t="str">
            <v>enn</v>
          </cell>
          <cell r="L20" t="str">
            <v>ne</v>
          </cell>
          <cell r="M20" t="str">
            <v>ㆥ</v>
          </cell>
        </row>
        <row r="21">
          <cell r="F21">
            <v>17</v>
          </cell>
          <cell r="G21" t="str">
            <v>eh</v>
          </cell>
          <cell r="H21" t="str">
            <v>e?</v>
          </cell>
          <cell r="I21" t="str">
            <v>伽</v>
          </cell>
          <cell r="J21" t="str">
            <v>eh</v>
          </cell>
          <cell r="K21" t="str">
            <v>eh</v>
          </cell>
          <cell r="L21" t="str">
            <v>eh</v>
          </cell>
          <cell r="M21" t="str">
            <v>ㆤㆷ</v>
          </cell>
        </row>
        <row r="22">
          <cell r="F22">
            <v>18</v>
          </cell>
          <cell r="G22" t="str">
            <v>ehnn</v>
          </cell>
          <cell r="H22" t="str">
            <v>ẽ?</v>
          </cell>
          <cell r="I22" t="str">
            <v>更</v>
          </cell>
          <cell r="J22" t="str">
            <v>ehⁿ</v>
          </cell>
          <cell r="K22" t="str">
            <v>ennh</v>
          </cell>
          <cell r="L22" t="str">
            <v>neh</v>
          </cell>
          <cell r="M22" t="str">
            <v>ㆥㆷ</v>
          </cell>
        </row>
        <row r="23">
          <cell r="F23">
            <v>19</v>
          </cell>
          <cell r="G23" t="str">
            <v>ek</v>
          </cell>
          <cell r="H23" t="str">
            <v>ik̚</v>
          </cell>
          <cell r="I23" t="str">
            <v>經</v>
          </cell>
          <cell r="J23" t="str">
            <v>ek</v>
          </cell>
          <cell r="K23" t="str">
            <v>ik</v>
          </cell>
          <cell r="L23" t="str">
            <v>ik</v>
          </cell>
          <cell r="M23" t="str">
            <v>ㄧㆻ</v>
          </cell>
        </row>
        <row r="24">
          <cell r="F24">
            <v>20</v>
          </cell>
          <cell r="G24" t="str">
            <v>eng</v>
          </cell>
          <cell r="H24" t="str">
            <v>ɪŋ</v>
          </cell>
          <cell r="I24" t="str">
            <v>經</v>
          </cell>
          <cell r="J24" t="str">
            <v>eng</v>
          </cell>
          <cell r="K24" t="str">
            <v>ing</v>
          </cell>
          <cell r="L24" t="str">
            <v>ing</v>
          </cell>
          <cell r="M24" t="str">
            <v>ㄧㄥ</v>
          </cell>
        </row>
        <row r="25">
          <cell r="F25">
            <v>21</v>
          </cell>
          <cell r="G25" t="str">
            <v>i</v>
          </cell>
          <cell r="H25" t="str">
            <v>i</v>
          </cell>
          <cell r="I25" t="str">
            <v>居</v>
          </cell>
          <cell r="J25" t="str">
            <v>i</v>
          </cell>
          <cell r="K25" t="str">
            <v>i</v>
          </cell>
          <cell r="L25" t="str">
            <v>i</v>
          </cell>
          <cell r="M25" t="str">
            <v>ㄧ</v>
          </cell>
        </row>
        <row r="26">
          <cell r="F26">
            <v>22</v>
          </cell>
          <cell r="G26" t="str">
            <v>inn</v>
          </cell>
          <cell r="H26" t="str">
            <v>ĩ</v>
          </cell>
          <cell r="I26" t="str">
            <v>梔</v>
          </cell>
          <cell r="J26" t="str">
            <v>iⁿ</v>
          </cell>
          <cell r="K26" t="str">
            <v>inn</v>
          </cell>
          <cell r="L26" t="str">
            <v>ni</v>
          </cell>
          <cell r="M26" t="str">
            <v>ㆪ</v>
          </cell>
        </row>
        <row r="27">
          <cell r="F27">
            <v>23</v>
          </cell>
          <cell r="G27" t="str">
            <v>ia</v>
          </cell>
          <cell r="H27" t="str">
            <v>ia</v>
          </cell>
          <cell r="I27" t="str">
            <v>迦</v>
          </cell>
          <cell r="J27" t="str">
            <v>ia</v>
          </cell>
          <cell r="K27" t="str">
            <v>ia</v>
          </cell>
          <cell r="L27" t="str">
            <v>ia</v>
          </cell>
          <cell r="M27" t="str">
            <v>ㄧㄚ</v>
          </cell>
        </row>
        <row r="28">
          <cell r="F28">
            <v>24</v>
          </cell>
          <cell r="G28" t="str">
            <v>iann</v>
          </cell>
          <cell r="H28" t="str">
            <v>ĩã</v>
          </cell>
          <cell r="I28" t="str">
            <v>驚</v>
          </cell>
          <cell r="J28" t="str">
            <v>iaⁿ</v>
          </cell>
          <cell r="K28" t="str">
            <v>iann</v>
          </cell>
          <cell r="L28" t="str">
            <v>nia</v>
          </cell>
          <cell r="M28" t="str">
            <v>ㄧㆩ</v>
          </cell>
        </row>
        <row r="29">
          <cell r="F29">
            <v>25</v>
          </cell>
          <cell r="G29" t="str">
            <v>iah</v>
          </cell>
          <cell r="H29" t="str">
            <v>ia?</v>
          </cell>
          <cell r="I29" t="str">
            <v>迦</v>
          </cell>
          <cell r="J29" t="str">
            <v>iah</v>
          </cell>
          <cell r="K29" t="str">
            <v>iah</v>
          </cell>
          <cell r="L29" t="str">
            <v>iah</v>
          </cell>
          <cell r="M29" t="str">
            <v>ㄧㄚㆷ</v>
          </cell>
        </row>
        <row r="30">
          <cell r="F30">
            <v>26</v>
          </cell>
          <cell r="G30" t="str">
            <v>iannh</v>
          </cell>
          <cell r="H30" t="str">
            <v>iãh</v>
          </cell>
          <cell r="I30" t="str">
            <v>驚</v>
          </cell>
          <cell r="J30" t="str">
            <v>iahⁿ</v>
          </cell>
          <cell r="K30" t="str">
            <v>iannh</v>
          </cell>
          <cell r="L30" t="str">
            <v>niah</v>
          </cell>
          <cell r="M30" t="str">
            <v>ㄧㆩㆷ</v>
          </cell>
        </row>
        <row r="31">
          <cell r="F31">
            <v>27</v>
          </cell>
          <cell r="G31" t="str">
            <v>iak</v>
          </cell>
          <cell r="H31" t="str">
            <v>iak̚</v>
          </cell>
          <cell r="I31" t="str">
            <v>姜</v>
          </cell>
          <cell r="J31" t="str">
            <v>iak</v>
          </cell>
          <cell r="K31" t="str">
            <v>iak</v>
          </cell>
          <cell r="L31" t="str">
            <v>iak</v>
          </cell>
          <cell r="M31" t="str">
            <v>ㄧㄚㆻ</v>
          </cell>
        </row>
        <row r="32">
          <cell r="F32">
            <v>28</v>
          </cell>
          <cell r="G32" t="str">
            <v>iam</v>
          </cell>
          <cell r="H32" t="str">
            <v>iam</v>
          </cell>
          <cell r="I32" t="str">
            <v>兼</v>
          </cell>
          <cell r="J32" t="str">
            <v>iam</v>
          </cell>
          <cell r="K32" t="str">
            <v>iam</v>
          </cell>
          <cell r="L32" t="str">
            <v>iam</v>
          </cell>
          <cell r="M32" t="str">
            <v>ㄧㆰ</v>
          </cell>
        </row>
        <row r="33">
          <cell r="F33">
            <v>29</v>
          </cell>
          <cell r="G33" t="str">
            <v>ian</v>
          </cell>
          <cell r="H33" t="str">
            <v>ian</v>
          </cell>
          <cell r="I33" t="str">
            <v>堅</v>
          </cell>
          <cell r="J33" t="str">
            <v>ian</v>
          </cell>
          <cell r="K33" t="str">
            <v>ian</v>
          </cell>
          <cell r="L33" t="str">
            <v>ian</v>
          </cell>
          <cell r="M33" t="str">
            <v>ㄧㄢ</v>
          </cell>
        </row>
        <row r="34">
          <cell r="F34">
            <v>30</v>
          </cell>
          <cell r="G34" t="str">
            <v>iang</v>
          </cell>
          <cell r="H34" t="str">
            <v>iaŋ</v>
          </cell>
          <cell r="I34" t="str">
            <v>姜</v>
          </cell>
          <cell r="J34" t="str">
            <v>iang</v>
          </cell>
          <cell r="K34" t="str">
            <v>iang</v>
          </cell>
          <cell r="L34" t="str">
            <v>iang</v>
          </cell>
          <cell r="M34" t="str">
            <v>ㄧㄤ</v>
          </cell>
        </row>
        <row r="35">
          <cell r="F35">
            <v>31</v>
          </cell>
          <cell r="G35" t="str">
            <v>iap</v>
          </cell>
          <cell r="H35" t="str">
            <v>iap̚</v>
          </cell>
          <cell r="I35" t="str">
            <v>兼</v>
          </cell>
          <cell r="J35" t="str">
            <v>iap</v>
          </cell>
          <cell r="K35" t="str">
            <v>iap</v>
          </cell>
          <cell r="L35" t="str">
            <v>iap</v>
          </cell>
          <cell r="M35" t="str">
            <v>ㄧㄚㆴ</v>
          </cell>
        </row>
        <row r="36">
          <cell r="F36">
            <v>32</v>
          </cell>
          <cell r="G36" t="str">
            <v>iat</v>
          </cell>
          <cell r="H36" t="str">
            <v>iat̚</v>
          </cell>
          <cell r="I36" t="str">
            <v>堅</v>
          </cell>
          <cell r="J36" t="str">
            <v>iat</v>
          </cell>
          <cell r="K36" t="str">
            <v>iat</v>
          </cell>
          <cell r="L36" t="str">
            <v>iat</v>
          </cell>
          <cell r="M36" t="str">
            <v>ㄧㄚㆵ</v>
          </cell>
        </row>
        <row r="37">
          <cell r="F37">
            <v>33</v>
          </cell>
          <cell r="G37" t="str">
            <v>iau</v>
          </cell>
          <cell r="H37" t="str">
            <v>iaʊ</v>
          </cell>
          <cell r="I37" t="str">
            <v>嬌</v>
          </cell>
          <cell r="J37" t="str">
            <v>iau</v>
          </cell>
          <cell r="K37" t="str">
            <v>iau</v>
          </cell>
          <cell r="L37" t="str">
            <v>iao</v>
          </cell>
          <cell r="M37" t="str">
            <v>ㄧㄠ</v>
          </cell>
        </row>
        <row r="38">
          <cell r="F38">
            <v>34</v>
          </cell>
          <cell r="G38" t="str">
            <v>iaunn</v>
          </cell>
          <cell r="H38" t="str">
            <v>ĩãũ</v>
          </cell>
          <cell r="I38" t="str">
            <v>嘄</v>
          </cell>
          <cell r="J38" t="str">
            <v>iauⁿ</v>
          </cell>
          <cell r="K38" t="str">
            <v>iaunn</v>
          </cell>
          <cell r="L38" t="str">
            <v>niao</v>
          </cell>
          <cell r="M38" t="str">
            <v>ㄧㆯ</v>
          </cell>
        </row>
        <row r="39">
          <cell r="F39">
            <v>35</v>
          </cell>
          <cell r="G39" t="str">
            <v>iauh</v>
          </cell>
          <cell r="H39" t="str">
            <v>iau?</v>
          </cell>
          <cell r="I39" t="str">
            <v>嬌</v>
          </cell>
          <cell r="J39" t="str">
            <v>iauh</v>
          </cell>
          <cell r="K39" t="str">
            <v>iauh</v>
          </cell>
          <cell r="L39" t="str">
            <v>iaoh</v>
          </cell>
          <cell r="M39" t="str">
            <v>ㄧㄠㆷ</v>
          </cell>
        </row>
        <row r="40">
          <cell r="F40">
            <v>36</v>
          </cell>
          <cell r="G40" t="str">
            <v>ih</v>
          </cell>
          <cell r="H40" t="str">
            <v>i?</v>
          </cell>
          <cell r="I40" t="str">
            <v>居</v>
          </cell>
          <cell r="J40" t="str">
            <v>ih</v>
          </cell>
          <cell r="K40" t="str">
            <v>ih</v>
          </cell>
          <cell r="L40" t="str">
            <v>ih</v>
          </cell>
          <cell r="M40" t="str">
            <v>ㄧㆷ</v>
          </cell>
        </row>
        <row r="41">
          <cell r="F41">
            <v>37</v>
          </cell>
          <cell r="G41" t="str">
            <v>im</v>
          </cell>
          <cell r="H41" t="str">
            <v>im</v>
          </cell>
          <cell r="I41" t="str">
            <v>金</v>
          </cell>
          <cell r="J41" t="str">
            <v>im</v>
          </cell>
          <cell r="K41" t="str">
            <v>im</v>
          </cell>
          <cell r="L41" t="str">
            <v>im</v>
          </cell>
          <cell r="M41" t="str">
            <v>ㄧㆬ</v>
          </cell>
        </row>
        <row r="42">
          <cell r="F42">
            <v>38</v>
          </cell>
          <cell r="G42" t="str">
            <v>in</v>
          </cell>
          <cell r="H42" t="str">
            <v>in</v>
          </cell>
          <cell r="I42" t="str">
            <v>巾</v>
          </cell>
          <cell r="J42" t="str">
            <v>in</v>
          </cell>
          <cell r="K42" t="str">
            <v>in</v>
          </cell>
          <cell r="L42" t="str">
            <v>in</v>
          </cell>
          <cell r="M42" t="str">
            <v>ㄧㄣ</v>
          </cell>
        </row>
        <row r="43">
          <cell r="F43">
            <v>39</v>
          </cell>
          <cell r="G43" t="str">
            <v>io</v>
          </cell>
          <cell r="H43" t="str">
            <v>io</v>
          </cell>
          <cell r="I43" t="str">
            <v>茄</v>
          </cell>
          <cell r="J43" t="str">
            <v>io</v>
          </cell>
          <cell r="K43" t="str">
            <v>io</v>
          </cell>
          <cell r="L43" t="str">
            <v>io</v>
          </cell>
          <cell r="M43" t="str">
            <v>ㄧㄜ</v>
          </cell>
        </row>
        <row r="44">
          <cell r="F44">
            <v>40</v>
          </cell>
          <cell r="G44" t="str">
            <v>ioh</v>
          </cell>
          <cell r="H44" t="str">
            <v>iə?</v>
          </cell>
          <cell r="I44" t="str">
            <v>茄</v>
          </cell>
          <cell r="J44" t="str">
            <v>ioh</v>
          </cell>
          <cell r="K44" t="str">
            <v>ioh</v>
          </cell>
          <cell r="L44" t="str">
            <v>ioh</v>
          </cell>
          <cell r="M44" t="str">
            <v>ㄧㄜㆷ</v>
          </cell>
        </row>
        <row r="45">
          <cell r="F45">
            <v>41</v>
          </cell>
          <cell r="G45" t="str">
            <v>iok</v>
          </cell>
          <cell r="H45" t="str">
            <v>iɔk̚</v>
          </cell>
          <cell r="I45" t="str">
            <v>恭</v>
          </cell>
          <cell r="J45" t="str">
            <v>iok</v>
          </cell>
          <cell r="K45" t="str">
            <v>iok</v>
          </cell>
          <cell r="L45" t="str">
            <v>iok</v>
          </cell>
          <cell r="M45" t="str">
            <v>ㄧㆦㆻ</v>
          </cell>
        </row>
        <row r="46">
          <cell r="F46">
            <v>42</v>
          </cell>
          <cell r="G46" t="str">
            <v>iong</v>
          </cell>
          <cell r="H46" t="str">
            <v>iɔŋ</v>
          </cell>
          <cell r="I46" t="str">
            <v>恭</v>
          </cell>
          <cell r="J46" t="str">
            <v>iong</v>
          </cell>
          <cell r="K46" t="str">
            <v>iong</v>
          </cell>
          <cell r="L46" t="str">
            <v>iong</v>
          </cell>
          <cell r="M46" t="str">
            <v>ㄧㆲ</v>
          </cell>
        </row>
        <row r="47">
          <cell r="F47">
            <v>43</v>
          </cell>
          <cell r="G47" t="str">
            <v>ip</v>
          </cell>
          <cell r="H47" t="str">
            <v>ip̚</v>
          </cell>
          <cell r="I47" t="str">
            <v>金</v>
          </cell>
          <cell r="J47" t="str">
            <v>ip</v>
          </cell>
          <cell r="K47" t="str">
            <v>ip</v>
          </cell>
          <cell r="L47" t="str">
            <v>ip</v>
          </cell>
          <cell r="M47" t="str">
            <v>ㄧㆴ</v>
          </cell>
        </row>
        <row r="48">
          <cell r="F48">
            <v>44</v>
          </cell>
          <cell r="G48" t="str">
            <v>it</v>
          </cell>
          <cell r="H48" t="str">
            <v>it̚</v>
          </cell>
          <cell r="I48" t="str">
            <v>巾</v>
          </cell>
          <cell r="J48" t="str">
            <v>it</v>
          </cell>
          <cell r="K48" t="str">
            <v>it</v>
          </cell>
          <cell r="L48" t="str">
            <v>it</v>
          </cell>
          <cell r="M48" t="str">
            <v>ㄧㆵ</v>
          </cell>
        </row>
        <row r="49">
          <cell r="F49">
            <v>45</v>
          </cell>
          <cell r="G49" t="str">
            <v>iu</v>
          </cell>
          <cell r="H49" t="str">
            <v>iu</v>
          </cell>
          <cell r="I49" t="str">
            <v>丩</v>
          </cell>
          <cell r="J49" t="str">
            <v>iu</v>
          </cell>
          <cell r="K49" t="str">
            <v>iu</v>
          </cell>
          <cell r="L49" t="str">
            <v>iu</v>
          </cell>
          <cell r="M49" t="str">
            <v>ㄧㄨ</v>
          </cell>
        </row>
        <row r="50">
          <cell r="F50">
            <v>46</v>
          </cell>
          <cell r="G50" t="str">
            <v>iunn</v>
          </cell>
          <cell r="H50" t="str">
            <v>ĩũ</v>
          </cell>
          <cell r="I50" t="str">
            <v>牛</v>
          </cell>
          <cell r="J50" t="str">
            <v>iuⁿ</v>
          </cell>
          <cell r="K50" t="str">
            <v>iunn</v>
          </cell>
          <cell r="L50" t="str">
            <v>niu</v>
          </cell>
          <cell r="M50" t="str">
            <v>ㄧㆫ</v>
          </cell>
        </row>
        <row r="51">
          <cell r="F51">
            <v>47</v>
          </cell>
          <cell r="G51" t="str">
            <v>iunnh</v>
          </cell>
          <cell r="H51" t="str">
            <v>iũh</v>
          </cell>
          <cell r="I51" t="str">
            <v>牛</v>
          </cell>
          <cell r="J51" t="str">
            <v>iuhⁿ</v>
          </cell>
          <cell r="K51" t="str">
            <v>iunnh</v>
          </cell>
          <cell r="L51" t="str">
            <v>niuh</v>
          </cell>
          <cell r="M51" t="str">
            <v>ㄧㆫㆷ</v>
          </cell>
        </row>
        <row r="52">
          <cell r="F52">
            <v>48</v>
          </cell>
          <cell r="G52" t="str">
            <v>m</v>
          </cell>
          <cell r="H52" t="str">
            <v>m̩</v>
          </cell>
          <cell r="I52" t="str">
            <v>姆</v>
          </cell>
          <cell r="J52" t="str">
            <v>m</v>
          </cell>
          <cell r="K52" t="str">
            <v>m</v>
          </cell>
          <cell r="L52" t="str">
            <v>m</v>
          </cell>
          <cell r="M52" t="str">
            <v>ㆬ</v>
          </cell>
        </row>
        <row r="53">
          <cell r="F53">
            <v>49</v>
          </cell>
          <cell r="G53" t="str">
            <v>mh</v>
          </cell>
          <cell r="H53" t="str">
            <v>m̩h</v>
          </cell>
          <cell r="I53" t="str">
            <v>姆</v>
          </cell>
          <cell r="J53" t="str">
            <v>mh</v>
          </cell>
          <cell r="K53" t="str">
            <v>mh</v>
          </cell>
          <cell r="L53" t="str">
            <v>mh</v>
          </cell>
          <cell r="M53" t="str">
            <v>ㆬㆷ</v>
          </cell>
        </row>
        <row r="54">
          <cell r="F54">
            <v>50</v>
          </cell>
          <cell r="G54" t="str">
            <v>ng</v>
          </cell>
          <cell r="H54" t="str">
            <v>ŋ̍</v>
          </cell>
          <cell r="I54" t="str">
            <v>鋼</v>
          </cell>
          <cell r="J54" t="str">
            <v>ng</v>
          </cell>
          <cell r="K54" t="str">
            <v>ng</v>
          </cell>
          <cell r="L54" t="str">
            <v>ng</v>
          </cell>
          <cell r="M54" t="str">
            <v>ㆭ</v>
          </cell>
        </row>
        <row r="55">
          <cell r="F55">
            <v>51</v>
          </cell>
          <cell r="G55" t="str">
            <v>ngh</v>
          </cell>
          <cell r="H55" t="str">
            <v>ŋ̍h</v>
          </cell>
          <cell r="I55" t="str">
            <v>鋼</v>
          </cell>
          <cell r="J55" t="str">
            <v>ngh</v>
          </cell>
          <cell r="K55" t="str">
            <v>ngh</v>
          </cell>
          <cell r="L55" t="str">
            <v>ngh</v>
          </cell>
          <cell r="M55" t="str">
            <v>ㆭㆷ</v>
          </cell>
        </row>
        <row r="56">
          <cell r="F56">
            <v>52</v>
          </cell>
          <cell r="G56" t="str">
            <v>o</v>
          </cell>
          <cell r="H56" t="str">
            <v>o</v>
          </cell>
          <cell r="I56" t="str">
            <v>高</v>
          </cell>
          <cell r="J56" t="str">
            <v>o</v>
          </cell>
          <cell r="K56" t="str">
            <v>o</v>
          </cell>
          <cell r="L56" t="str">
            <v>o</v>
          </cell>
          <cell r="M56" t="str">
            <v>ㄜ</v>
          </cell>
        </row>
        <row r="57">
          <cell r="F57">
            <v>53</v>
          </cell>
          <cell r="G57" t="str">
            <v>onn</v>
          </cell>
          <cell r="H57" t="str">
            <v>ɔ̃</v>
          </cell>
          <cell r="I57" t="str">
            <v>姑</v>
          </cell>
          <cell r="J57" t="str">
            <v>oⁿ</v>
          </cell>
          <cell r="K57" t="str">
            <v>onn</v>
          </cell>
          <cell r="L57" t="str">
            <v>noo</v>
          </cell>
          <cell r="M57" t="str">
            <v>ㆧ</v>
          </cell>
        </row>
        <row r="58">
          <cell r="F58">
            <v>54</v>
          </cell>
          <cell r="G58" t="str">
            <v>oo</v>
          </cell>
          <cell r="H58" t="str">
            <v>ɔ</v>
          </cell>
          <cell r="I58" t="str">
            <v>沽</v>
          </cell>
          <cell r="J58" t="str">
            <v>o͘</v>
          </cell>
          <cell r="K58" t="str">
            <v>oo</v>
          </cell>
          <cell r="L58" t="str">
            <v>oo</v>
          </cell>
          <cell r="M58" t="str">
            <v>ㆦ</v>
          </cell>
        </row>
        <row r="59">
          <cell r="F59">
            <v>55</v>
          </cell>
          <cell r="G59" t="str">
            <v>oa</v>
          </cell>
          <cell r="H59" t="str">
            <v>ua</v>
          </cell>
          <cell r="I59" t="str">
            <v>瓜</v>
          </cell>
          <cell r="J59" t="str">
            <v>oa</v>
          </cell>
          <cell r="K59" t="str">
            <v>ua</v>
          </cell>
          <cell r="L59" t="str">
            <v>ua</v>
          </cell>
          <cell r="M59" t="str">
            <v>ㄨㄚ</v>
          </cell>
        </row>
        <row r="60">
          <cell r="F60">
            <v>56</v>
          </cell>
          <cell r="G60" t="str">
            <v>oann</v>
          </cell>
          <cell r="H60" t="str">
            <v>ũã</v>
          </cell>
          <cell r="I60" t="str">
            <v>官</v>
          </cell>
          <cell r="J60" t="str">
            <v>oaⁿ</v>
          </cell>
          <cell r="K60" t="str">
            <v>uann</v>
          </cell>
          <cell r="L60" t="str">
            <v>nua</v>
          </cell>
          <cell r="M60" t="str">
            <v>ㄨㆩ</v>
          </cell>
        </row>
        <row r="61">
          <cell r="F61">
            <v>57</v>
          </cell>
          <cell r="G61" t="str">
            <v>oah</v>
          </cell>
          <cell r="H61" t="str">
            <v>ua?</v>
          </cell>
          <cell r="I61" t="str">
            <v>瓜</v>
          </cell>
          <cell r="J61" t="str">
            <v>oah</v>
          </cell>
          <cell r="K61" t="str">
            <v>uah</v>
          </cell>
          <cell r="L61" t="str">
            <v>uah</v>
          </cell>
          <cell r="M61" t="str">
            <v>ㄨㄚㆷ</v>
          </cell>
        </row>
        <row r="62">
          <cell r="F62">
            <v>58</v>
          </cell>
          <cell r="G62" t="str">
            <v>oai</v>
          </cell>
          <cell r="H62" t="str">
            <v>uai</v>
          </cell>
          <cell r="I62" t="str">
            <v>乖</v>
          </cell>
          <cell r="J62" t="str">
            <v>oai</v>
          </cell>
          <cell r="K62" t="str">
            <v>uai</v>
          </cell>
          <cell r="L62" t="str">
            <v>uai</v>
          </cell>
          <cell r="M62" t="str">
            <v>ㄨㄞ</v>
          </cell>
        </row>
        <row r="63">
          <cell r="F63">
            <v>59</v>
          </cell>
          <cell r="G63" t="str">
            <v>oainn</v>
          </cell>
          <cell r="H63" t="str">
            <v>ũãĩ</v>
          </cell>
          <cell r="I63" t="str">
            <v>閂</v>
          </cell>
          <cell r="J63" t="str">
            <v>oaiⁿ</v>
          </cell>
          <cell r="K63" t="str">
            <v>uainn</v>
          </cell>
          <cell r="L63" t="str">
            <v>nuai</v>
          </cell>
          <cell r="M63" t="str">
            <v>ㄨㆮ</v>
          </cell>
        </row>
        <row r="64">
          <cell r="F64">
            <v>60</v>
          </cell>
          <cell r="G64" t="str">
            <v>oan</v>
          </cell>
          <cell r="H64" t="str">
            <v>uan</v>
          </cell>
          <cell r="I64" t="str">
            <v>觀</v>
          </cell>
          <cell r="J64" t="str">
            <v>oan</v>
          </cell>
          <cell r="K64" t="str">
            <v>uan</v>
          </cell>
          <cell r="L64" t="str">
            <v>uan</v>
          </cell>
          <cell r="M64" t="str">
            <v>ㄨㄢ</v>
          </cell>
        </row>
        <row r="65">
          <cell r="F65">
            <v>61</v>
          </cell>
          <cell r="G65" t="str">
            <v>oang</v>
          </cell>
          <cell r="H65" t="str">
            <v>uaŋ</v>
          </cell>
          <cell r="I65" t="str">
            <v>光</v>
          </cell>
          <cell r="J65" t="str">
            <v>oang</v>
          </cell>
          <cell r="K65" t="str">
            <v>uang</v>
          </cell>
          <cell r="L65" t="str">
            <v>uang</v>
          </cell>
          <cell r="M65" t="str">
            <v>ㄨㄤ</v>
          </cell>
        </row>
        <row r="66">
          <cell r="F66">
            <v>62</v>
          </cell>
          <cell r="G66" t="str">
            <v>oat</v>
          </cell>
          <cell r="H66" t="str">
            <v>uat̚</v>
          </cell>
          <cell r="I66" t="str">
            <v>觀</v>
          </cell>
          <cell r="J66" t="str">
            <v>oat</v>
          </cell>
          <cell r="K66" t="str">
            <v>uat</v>
          </cell>
          <cell r="L66" t="str">
            <v>uat</v>
          </cell>
          <cell r="M66" t="str">
            <v>ㄨㄚㆵ</v>
          </cell>
        </row>
        <row r="67">
          <cell r="F67">
            <v>63</v>
          </cell>
          <cell r="G67" t="str">
            <v>oe</v>
          </cell>
          <cell r="H67" t="str">
            <v>ue</v>
          </cell>
          <cell r="I67" t="str">
            <v>檜</v>
          </cell>
          <cell r="J67" t="str">
            <v>oe</v>
          </cell>
          <cell r="K67" t="str">
            <v>ue</v>
          </cell>
          <cell r="L67" t="str">
            <v>ue</v>
          </cell>
          <cell r="M67" t="str">
            <v>ㄨㆤ</v>
          </cell>
        </row>
        <row r="68">
          <cell r="F68">
            <v>64</v>
          </cell>
          <cell r="G68" t="str">
            <v>oeh</v>
          </cell>
          <cell r="H68" t="str">
            <v>ue?</v>
          </cell>
          <cell r="I68" t="str">
            <v>檜</v>
          </cell>
          <cell r="J68" t="str">
            <v>oeh</v>
          </cell>
          <cell r="K68" t="str">
            <v>ueh</v>
          </cell>
          <cell r="L68" t="str">
            <v>ueh</v>
          </cell>
          <cell r="M68" t="str">
            <v>ㄨㆤㆷ</v>
          </cell>
        </row>
        <row r="69">
          <cell r="F69">
            <v>65</v>
          </cell>
          <cell r="G69" t="str">
            <v>oh</v>
          </cell>
          <cell r="H69" t="str">
            <v>ə?</v>
          </cell>
          <cell r="I69" t="str">
            <v>高</v>
          </cell>
          <cell r="J69" t="str">
            <v>oh</v>
          </cell>
          <cell r="K69" t="str">
            <v>oh</v>
          </cell>
          <cell r="L69" t="str">
            <v>oh</v>
          </cell>
          <cell r="M69" t="str">
            <v>ㄜㆷ</v>
          </cell>
        </row>
        <row r="70">
          <cell r="F70">
            <v>67</v>
          </cell>
          <cell r="G70" t="str">
            <v>onnh</v>
          </cell>
          <cell r="H70" t="str">
            <v>ɔ̃?</v>
          </cell>
          <cell r="I70" t="str">
            <v>姑</v>
          </cell>
          <cell r="J70" t="str">
            <v>ohⁿ</v>
          </cell>
          <cell r="K70" t="str">
            <v>onnh</v>
          </cell>
          <cell r="L70" t="str">
            <v>nooh</v>
          </cell>
          <cell r="M70" t="str">
            <v>ㆧㆷ</v>
          </cell>
        </row>
        <row r="71">
          <cell r="F71">
            <v>68</v>
          </cell>
          <cell r="G71" t="str">
            <v>ok</v>
          </cell>
          <cell r="H71" t="str">
            <v>ɔk̚</v>
          </cell>
          <cell r="I71" t="str">
            <v>公</v>
          </cell>
          <cell r="J71" t="str">
            <v>ok</v>
          </cell>
          <cell r="K71" t="str">
            <v>ok</v>
          </cell>
          <cell r="L71" t="str">
            <v>ok</v>
          </cell>
          <cell r="M71" t="str">
            <v>ㆦㆻ</v>
          </cell>
        </row>
        <row r="72">
          <cell r="F72">
            <v>69</v>
          </cell>
          <cell r="G72" t="str">
            <v>om</v>
          </cell>
          <cell r="H72" t="str">
            <v>ɔm</v>
          </cell>
          <cell r="I72" t="str">
            <v>箴</v>
          </cell>
          <cell r="J72" t="str">
            <v>om</v>
          </cell>
          <cell r="K72" t="str">
            <v>om</v>
          </cell>
          <cell r="L72" t="str">
            <v>om</v>
          </cell>
          <cell r="M72" t="str">
            <v>ㆱ</v>
          </cell>
        </row>
        <row r="73">
          <cell r="F73">
            <v>70</v>
          </cell>
          <cell r="G73" t="str">
            <v>ong</v>
          </cell>
          <cell r="H73" t="str">
            <v>ɔŋ</v>
          </cell>
          <cell r="I73" t="str">
            <v>公</v>
          </cell>
          <cell r="J73" t="str">
            <v>ong</v>
          </cell>
          <cell r="K73" t="str">
            <v>ong</v>
          </cell>
          <cell r="L73" t="str">
            <v>ong</v>
          </cell>
          <cell r="M73" t="str">
            <v>ㆲ</v>
          </cell>
        </row>
        <row r="74">
          <cell r="F74">
            <v>71</v>
          </cell>
          <cell r="G74" t="str">
            <v>u</v>
          </cell>
          <cell r="H74" t="str">
            <v>u</v>
          </cell>
          <cell r="I74" t="str">
            <v>艍</v>
          </cell>
          <cell r="J74" t="str">
            <v>u</v>
          </cell>
          <cell r="K74" t="str">
            <v>u</v>
          </cell>
          <cell r="L74" t="str">
            <v>u</v>
          </cell>
          <cell r="M74" t="str">
            <v>ㄨ</v>
          </cell>
        </row>
        <row r="75">
          <cell r="F75">
            <v>72</v>
          </cell>
          <cell r="G75" t="str">
            <v>uh</v>
          </cell>
          <cell r="H75" t="str">
            <v>u?</v>
          </cell>
          <cell r="I75" t="str">
            <v>艍</v>
          </cell>
          <cell r="J75" t="str">
            <v>uh</v>
          </cell>
          <cell r="K75" t="str">
            <v>uh</v>
          </cell>
          <cell r="L75" t="str">
            <v>uh</v>
          </cell>
          <cell r="M75" t="str">
            <v>ㄨㆷ</v>
          </cell>
        </row>
        <row r="76">
          <cell r="F76">
            <v>73</v>
          </cell>
          <cell r="G76" t="str">
            <v>ui</v>
          </cell>
          <cell r="H76" t="str">
            <v>ui</v>
          </cell>
          <cell r="I76" t="str">
            <v>規</v>
          </cell>
          <cell r="J76" t="str">
            <v>ui</v>
          </cell>
          <cell r="K76" t="str">
            <v>ui</v>
          </cell>
          <cell r="L76" t="str">
            <v>ui</v>
          </cell>
          <cell r="M76" t="str">
            <v>ㄨㄧ</v>
          </cell>
        </row>
        <row r="77">
          <cell r="F77">
            <v>74</v>
          </cell>
          <cell r="G77" t="str">
            <v>un</v>
          </cell>
          <cell r="H77" t="str">
            <v>un</v>
          </cell>
          <cell r="I77" t="str">
            <v>君</v>
          </cell>
          <cell r="J77" t="str">
            <v>un</v>
          </cell>
          <cell r="K77" t="str">
            <v>un</v>
          </cell>
          <cell r="L77" t="str">
            <v>un</v>
          </cell>
          <cell r="M77" t="str">
            <v>ㄨㄣ</v>
          </cell>
        </row>
        <row r="78">
          <cell r="F78">
            <v>75</v>
          </cell>
          <cell r="G78" t="str">
            <v>ut</v>
          </cell>
          <cell r="H78" t="str">
            <v>ut̚</v>
          </cell>
          <cell r="I78" t="str">
            <v>君</v>
          </cell>
          <cell r="J78" t="str">
            <v>ut</v>
          </cell>
          <cell r="K78" t="str">
            <v>ut</v>
          </cell>
          <cell r="L78" t="str">
            <v>ut</v>
          </cell>
          <cell r="M78" t="str">
            <v>ㄨㆵ</v>
          </cell>
        </row>
      </sheetData>
      <sheetData sheetId="16">
        <row r="6">
          <cell r="B6">
            <v>1</v>
          </cell>
          <cell r="C6">
            <v>1</v>
          </cell>
          <cell r="D6" t="str">
            <v>君</v>
          </cell>
          <cell r="E6" t="str">
            <v>舒聲</v>
          </cell>
          <cell r="F6" t="str">
            <v>un</v>
          </cell>
          <cell r="G6" t="str">
            <v>un</v>
          </cell>
          <cell r="H6" t="str">
            <v>un</v>
          </cell>
          <cell r="I6" t="str">
            <v>un</v>
          </cell>
          <cell r="J6" t="str">
            <v>un</v>
          </cell>
          <cell r="K6" t="str">
            <v>ㄨㄣ</v>
          </cell>
        </row>
        <row r="7">
          <cell r="B7">
            <v>2</v>
          </cell>
          <cell r="C7">
            <v>1</v>
          </cell>
          <cell r="D7" t="str">
            <v>君</v>
          </cell>
          <cell r="E7" t="str">
            <v>入聲</v>
          </cell>
          <cell r="F7" t="str">
            <v>ut</v>
          </cell>
          <cell r="G7" t="str">
            <v>ut̚</v>
          </cell>
          <cell r="H7" t="str">
            <v>ut</v>
          </cell>
          <cell r="I7" t="str">
            <v>ut</v>
          </cell>
          <cell r="J7" t="str">
            <v>ut</v>
          </cell>
          <cell r="K7" t="str">
            <v>ㄨㆵ</v>
          </cell>
        </row>
        <row r="8">
          <cell r="B8">
            <v>3</v>
          </cell>
          <cell r="C8">
            <v>2</v>
          </cell>
          <cell r="D8" t="str">
            <v>堅</v>
          </cell>
          <cell r="E8" t="str">
            <v>舒聲</v>
          </cell>
          <cell r="F8" t="str">
            <v>ian</v>
          </cell>
          <cell r="G8" t="str">
            <v>ian</v>
          </cell>
          <cell r="H8" t="str">
            <v>ian</v>
          </cell>
          <cell r="I8" t="str">
            <v>ian</v>
          </cell>
          <cell r="J8" t="str">
            <v>ian</v>
          </cell>
          <cell r="K8" t="str">
            <v>ㄧㄢ</v>
          </cell>
        </row>
        <row r="9">
          <cell r="B9">
            <v>4</v>
          </cell>
          <cell r="C9">
            <v>2</v>
          </cell>
          <cell r="D9" t="str">
            <v>堅</v>
          </cell>
          <cell r="E9" t="str">
            <v>入聲</v>
          </cell>
          <cell r="F9" t="str">
            <v>iat</v>
          </cell>
          <cell r="G9" t="str">
            <v>iat̚</v>
          </cell>
          <cell r="H9" t="str">
            <v>iat</v>
          </cell>
          <cell r="I9" t="str">
            <v>iat</v>
          </cell>
          <cell r="J9" t="str">
            <v>iat</v>
          </cell>
          <cell r="K9" t="str">
            <v>ㄧㄚㆵ</v>
          </cell>
        </row>
        <row r="10">
          <cell r="B10">
            <v>5</v>
          </cell>
          <cell r="C10">
            <v>3</v>
          </cell>
          <cell r="D10" t="str">
            <v>金</v>
          </cell>
          <cell r="E10" t="str">
            <v>舒聲</v>
          </cell>
          <cell r="F10" t="str">
            <v>im</v>
          </cell>
          <cell r="G10" t="str">
            <v>im</v>
          </cell>
          <cell r="H10" t="str">
            <v>im</v>
          </cell>
          <cell r="I10" t="str">
            <v>im</v>
          </cell>
          <cell r="J10" t="str">
            <v>im</v>
          </cell>
          <cell r="K10" t="str">
            <v>ㄧㆬ</v>
          </cell>
        </row>
        <row r="11">
          <cell r="B11">
            <v>6</v>
          </cell>
          <cell r="C11">
            <v>3</v>
          </cell>
          <cell r="D11" t="str">
            <v>金</v>
          </cell>
          <cell r="E11" t="str">
            <v>入聲</v>
          </cell>
          <cell r="F11" t="str">
            <v>ip</v>
          </cell>
          <cell r="G11" t="str">
            <v>ip̚</v>
          </cell>
          <cell r="H11" t="str">
            <v>ip</v>
          </cell>
          <cell r="I11" t="str">
            <v>ip</v>
          </cell>
          <cell r="J11" t="str">
            <v>ip</v>
          </cell>
          <cell r="K11" t="str">
            <v>ㄧㆴ</v>
          </cell>
        </row>
        <row r="12">
          <cell r="B12">
            <v>7</v>
          </cell>
          <cell r="C12">
            <v>4</v>
          </cell>
          <cell r="D12" t="str">
            <v>規</v>
          </cell>
          <cell r="E12" t="str">
            <v>舒聲</v>
          </cell>
          <cell r="F12" t="str">
            <v>ui</v>
          </cell>
          <cell r="G12" t="str">
            <v>ui</v>
          </cell>
          <cell r="H12" t="str">
            <v>ui</v>
          </cell>
          <cell r="I12" t="str">
            <v>ui</v>
          </cell>
          <cell r="J12" t="str">
            <v>ui</v>
          </cell>
          <cell r="K12" t="str">
            <v>ㄨㄧ</v>
          </cell>
        </row>
        <row r="13">
          <cell r="B13">
            <v>8</v>
          </cell>
          <cell r="C13">
            <v>4</v>
          </cell>
          <cell r="D13" t="str">
            <v>規</v>
          </cell>
          <cell r="E13" t="str">
            <v>入聲</v>
          </cell>
          <cell r="F13" t="str">
            <v>uih</v>
          </cell>
          <cell r="G13" t="str">
            <v>ui?</v>
          </cell>
          <cell r="H13" t="str">
            <v>uih</v>
          </cell>
          <cell r="I13" t="str">
            <v>uih</v>
          </cell>
          <cell r="J13" t="str">
            <v>uih</v>
          </cell>
          <cell r="K13" t="str">
            <v>ㄨㄧㆷ</v>
          </cell>
        </row>
        <row r="14">
          <cell r="B14">
            <v>9</v>
          </cell>
          <cell r="C14">
            <v>5</v>
          </cell>
          <cell r="D14" t="str">
            <v>嘉</v>
          </cell>
          <cell r="E14" t="str">
            <v>舒聲</v>
          </cell>
          <cell r="F14" t="str">
            <v>ee</v>
          </cell>
          <cell r="G14" t="str">
            <v>ɛ</v>
          </cell>
          <cell r="H14" t="str">
            <v>ee</v>
          </cell>
          <cell r="I14" t="str">
            <v>ee</v>
          </cell>
          <cell r="J14" t="str">
            <v>e</v>
          </cell>
          <cell r="K14" t="str">
            <v>ㄝ</v>
          </cell>
        </row>
        <row r="15">
          <cell r="B15">
            <v>10</v>
          </cell>
          <cell r="C15">
            <v>5</v>
          </cell>
          <cell r="D15" t="str">
            <v>嘉</v>
          </cell>
          <cell r="E15" t="str">
            <v>入聲</v>
          </cell>
          <cell r="F15" t="str">
            <v>eeh</v>
          </cell>
          <cell r="G15" t="str">
            <v>ɛ?</v>
          </cell>
          <cell r="H15" t="str">
            <v>eeh</v>
          </cell>
          <cell r="I15" t="str">
            <v>eh</v>
          </cell>
          <cell r="J15" t="str">
            <v>eh</v>
          </cell>
          <cell r="K15" t="str">
            <v>ㄝㆷ</v>
          </cell>
        </row>
        <row r="16">
          <cell r="B16">
            <v>11</v>
          </cell>
          <cell r="C16">
            <v>6</v>
          </cell>
          <cell r="D16" t="str">
            <v>干</v>
          </cell>
          <cell r="E16" t="str">
            <v>舒聲</v>
          </cell>
          <cell r="F16" t="str">
            <v>an</v>
          </cell>
          <cell r="G16" t="str">
            <v>an</v>
          </cell>
          <cell r="H16" t="str">
            <v>an</v>
          </cell>
          <cell r="I16" t="str">
            <v>an</v>
          </cell>
          <cell r="J16" t="str">
            <v>an</v>
          </cell>
          <cell r="K16" t="str">
            <v>ㄢ</v>
          </cell>
        </row>
        <row r="17">
          <cell r="B17">
            <v>12</v>
          </cell>
          <cell r="C17">
            <v>6</v>
          </cell>
          <cell r="D17" t="str">
            <v>干</v>
          </cell>
          <cell r="E17" t="str">
            <v>入聲</v>
          </cell>
          <cell r="F17" t="str">
            <v>at</v>
          </cell>
          <cell r="G17" t="str">
            <v>at̚</v>
          </cell>
          <cell r="H17" t="str">
            <v>at</v>
          </cell>
          <cell r="I17" t="str">
            <v>ap</v>
          </cell>
          <cell r="J17" t="str">
            <v>at</v>
          </cell>
          <cell r="K17" t="str">
            <v>ㄚㆵ</v>
          </cell>
        </row>
        <row r="18">
          <cell r="B18">
            <v>13</v>
          </cell>
          <cell r="C18">
            <v>7</v>
          </cell>
          <cell r="D18" t="str">
            <v>公</v>
          </cell>
          <cell r="E18" t="str">
            <v>舒聲</v>
          </cell>
          <cell r="F18" t="str">
            <v>ong</v>
          </cell>
          <cell r="G18" t="str">
            <v>ɔŋ</v>
          </cell>
          <cell r="H18" t="str">
            <v>ong</v>
          </cell>
          <cell r="I18" t="str">
            <v>ong</v>
          </cell>
          <cell r="J18" t="str">
            <v>ong</v>
          </cell>
          <cell r="K18" t="str">
            <v>ㆲ</v>
          </cell>
        </row>
        <row r="19">
          <cell r="B19">
            <v>14</v>
          </cell>
          <cell r="C19">
            <v>7</v>
          </cell>
          <cell r="D19" t="str">
            <v>公</v>
          </cell>
          <cell r="E19" t="str">
            <v>入聲</v>
          </cell>
          <cell r="F19" t="str">
            <v>ok</v>
          </cell>
          <cell r="G19" t="str">
            <v>ɔk̚</v>
          </cell>
          <cell r="H19" t="str">
            <v>ok</v>
          </cell>
          <cell r="I19" t="str">
            <v>ok</v>
          </cell>
          <cell r="J19" t="str">
            <v>ok</v>
          </cell>
          <cell r="K19" t="str">
            <v>ㆦㆻ</v>
          </cell>
        </row>
        <row r="20">
          <cell r="B20">
            <v>15</v>
          </cell>
          <cell r="C20">
            <v>8</v>
          </cell>
          <cell r="D20" t="str">
            <v>乖</v>
          </cell>
          <cell r="E20" t="str">
            <v>舒聲</v>
          </cell>
          <cell r="F20" t="str">
            <v>oai</v>
          </cell>
          <cell r="G20" t="str">
            <v>uai</v>
          </cell>
          <cell r="H20" t="str">
            <v>oai</v>
          </cell>
          <cell r="I20" t="str">
            <v>uai</v>
          </cell>
          <cell r="J20" t="str">
            <v>uai</v>
          </cell>
          <cell r="K20" t="str">
            <v>ㄨㄞ</v>
          </cell>
        </row>
        <row r="21">
          <cell r="B21">
            <v>16</v>
          </cell>
          <cell r="C21">
            <v>8</v>
          </cell>
          <cell r="D21" t="str">
            <v>乖</v>
          </cell>
          <cell r="E21" t="str">
            <v>入聲</v>
          </cell>
          <cell r="F21" t="str">
            <v>oaih</v>
          </cell>
          <cell r="G21" t="str">
            <v>uai?</v>
          </cell>
          <cell r="H21" t="str">
            <v>oaih</v>
          </cell>
          <cell r="I21" t="str">
            <v>uaih</v>
          </cell>
          <cell r="J21" t="str">
            <v>uaih</v>
          </cell>
          <cell r="K21" t="str">
            <v>ㄨㄞㆷ</v>
          </cell>
        </row>
        <row r="22">
          <cell r="B22">
            <v>17</v>
          </cell>
          <cell r="C22">
            <v>9</v>
          </cell>
          <cell r="D22" t="str">
            <v>經</v>
          </cell>
          <cell r="E22" t="str">
            <v>舒聲</v>
          </cell>
          <cell r="F22" t="str">
            <v>eng</v>
          </cell>
          <cell r="G22" t="str">
            <v>ɪŋ</v>
          </cell>
          <cell r="H22" t="str">
            <v>eng</v>
          </cell>
          <cell r="I22" t="str">
            <v>ing</v>
          </cell>
          <cell r="J22" t="str">
            <v>ing</v>
          </cell>
          <cell r="K22" t="str">
            <v>ㄧㄥ</v>
          </cell>
        </row>
        <row r="23">
          <cell r="B23">
            <v>18</v>
          </cell>
          <cell r="C23">
            <v>9</v>
          </cell>
          <cell r="D23" t="str">
            <v>經</v>
          </cell>
          <cell r="E23" t="str">
            <v>入聲</v>
          </cell>
          <cell r="F23" t="str">
            <v>ek</v>
          </cell>
          <cell r="G23" t="str">
            <v>ik̚</v>
          </cell>
          <cell r="H23" t="str">
            <v>ek</v>
          </cell>
          <cell r="I23" t="str">
            <v>ik</v>
          </cell>
          <cell r="J23" t="str">
            <v>ik</v>
          </cell>
          <cell r="K23" t="str">
            <v>ㄧㆻ</v>
          </cell>
        </row>
        <row r="24">
          <cell r="B24">
            <v>19</v>
          </cell>
          <cell r="C24">
            <v>10</v>
          </cell>
          <cell r="D24" t="str">
            <v>觀</v>
          </cell>
          <cell r="E24" t="str">
            <v>舒聲</v>
          </cell>
          <cell r="F24" t="str">
            <v>oan</v>
          </cell>
          <cell r="G24" t="str">
            <v>uan</v>
          </cell>
          <cell r="H24" t="str">
            <v>oan</v>
          </cell>
          <cell r="I24" t="str">
            <v>uan</v>
          </cell>
          <cell r="J24" t="str">
            <v>uan</v>
          </cell>
          <cell r="K24" t="str">
            <v>ㄨㄢ</v>
          </cell>
        </row>
        <row r="25">
          <cell r="B25">
            <v>20</v>
          </cell>
          <cell r="C25">
            <v>10</v>
          </cell>
          <cell r="D25" t="str">
            <v>觀</v>
          </cell>
          <cell r="E25" t="str">
            <v>入聲</v>
          </cell>
          <cell r="F25" t="str">
            <v>oat</v>
          </cell>
          <cell r="G25" t="str">
            <v>uat̚</v>
          </cell>
          <cell r="H25" t="str">
            <v>oat</v>
          </cell>
          <cell r="I25" t="str">
            <v>uat</v>
          </cell>
          <cell r="J25" t="str">
            <v>uat</v>
          </cell>
          <cell r="K25" t="str">
            <v>ㄨㄚㆵ</v>
          </cell>
        </row>
        <row r="26">
          <cell r="B26">
            <v>21</v>
          </cell>
          <cell r="C26">
            <v>11</v>
          </cell>
          <cell r="D26" t="str">
            <v>沽</v>
          </cell>
          <cell r="E26" t="str">
            <v>舒聲</v>
          </cell>
          <cell r="F26" t="str">
            <v>oo</v>
          </cell>
          <cell r="G26" t="str">
            <v>ɔ</v>
          </cell>
          <cell r="H26" t="str">
            <v>o͘</v>
          </cell>
          <cell r="I26" t="str">
            <v>oo</v>
          </cell>
          <cell r="J26" t="str">
            <v>oo</v>
          </cell>
          <cell r="K26" t="str">
            <v>ㆦ</v>
          </cell>
        </row>
        <row r="27">
          <cell r="B27">
            <v>22</v>
          </cell>
          <cell r="C27">
            <v>11</v>
          </cell>
          <cell r="D27" t="str">
            <v>沽</v>
          </cell>
          <cell r="E27" t="str">
            <v>入聲</v>
          </cell>
          <cell r="F27" t="str">
            <v>ooh</v>
          </cell>
          <cell r="G27" t="str">
            <v>ɔu?</v>
          </cell>
          <cell r="H27" t="str">
            <v>o͘h</v>
          </cell>
          <cell r="I27" t="str">
            <v>ooh</v>
          </cell>
          <cell r="J27" t="str">
            <v>ooh</v>
          </cell>
          <cell r="K27" t="str">
            <v>ㆦㆷ</v>
          </cell>
        </row>
        <row r="28">
          <cell r="B28">
            <v>23</v>
          </cell>
          <cell r="C28">
            <v>12</v>
          </cell>
          <cell r="D28" t="str">
            <v>嬌</v>
          </cell>
          <cell r="E28" t="str">
            <v>舒聲</v>
          </cell>
          <cell r="F28" t="str">
            <v>iau</v>
          </cell>
          <cell r="G28" t="str">
            <v>iaʊ</v>
          </cell>
          <cell r="H28" t="str">
            <v>iau</v>
          </cell>
          <cell r="I28" t="str">
            <v>iau</v>
          </cell>
          <cell r="J28" t="str">
            <v>iao</v>
          </cell>
          <cell r="K28" t="str">
            <v>ㄧㄠ</v>
          </cell>
        </row>
        <row r="29">
          <cell r="B29">
            <v>24</v>
          </cell>
          <cell r="C29">
            <v>12</v>
          </cell>
          <cell r="D29" t="str">
            <v>嬌</v>
          </cell>
          <cell r="E29" t="str">
            <v>入聲</v>
          </cell>
          <cell r="F29" t="str">
            <v>iauh</v>
          </cell>
          <cell r="G29" t="str">
            <v>iau?</v>
          </cell>
          <cell r="H29" t="str">
            <v>iauh</v>
          </cell>
          <cell r="I29" t="str">
            <v>iauh</v>
          </cell>
          <cell r="J29" t="str">
            <v>iaoh</v>
          </cell>
          <cell r="K29" t="str">
            <v>ㄧㄠㆷ</v>
          </cell>
        </row>
        <row r="30">
          <cell r="B30">
            <v>25</v>
          </cell>
          <cell r="C30">
            <v>13</v>
          </cell>
          <cell r="D30" t="str">
            <v>稽</v>
          </cell>
          <cell r="E30" t="str">
            <v>舒聲</v>
          </cell>
          <cell r="F30" t="str">
            <v>ei</v>
          </cell>
          <cell r="G30" t="str">
            <v>ei</v>
          </cell>
          <cell r="H30" t="str">
            <v>ei</v>
          </cell>
          <cell r="I30" t="str">
            <v>e</v>
          </cell>
          <cell r="J30" t="str">
            <v>e</v>
          </cell>
          <cell r="K30" t="str">
            <v>ㄟ</v>
          </cell>
        </row>
        <row r="31">
          <cell r="B31">
            <v>26</v>
          </cell>
          <cell r="C31">
            <v>13</v>
          </cell>
          <cell r="D31" t="str">
            <v>稽</v>
          </cell>
          <cell r="E31" t="str">
            <v>入聲</v>
          </cell>
          <cell r="F31" t="str">
            <v>eih</v>
          </cell>
          <cell r="G31" t="str">
            <v>ei?</v>
          </cell>
          <cell r="H31" t="str">
            <v>eih</v>
          </cell>
          <cell r="I31" t="str">
            <v>eh</v>
          </cell>
          <cell r="J31" t="str">
            <v>eh</v>
          </cell>
          <cell r="K31" t="str">
            <v>ㄟㆷ</v>
          </cell>
        </row>
        <row r="32">
          <cell r="B32">
            <v>27</v>
          </cell>
          <cell r="C32">
            <v>14</v>
          </cell>
          <cell r="D32" t="str">
            <v>恭</v>
          </cell>
          <cell r="E32" t="str">
            <v>舒聲</v>
          </cell>
          <cell r="F32" t="str">
            <v>iong</v>
          </cell>
          <cell r="G32" t="str">
            <v>iɔŋ</v>
          </cell>
          <cell r="H32" t="str">
            <v>iong</v>
          </cell>
          <cell r="I32" t="str">
            <v>iong</v>
          </cell>
          <cell r="J32" t="str">
            <v>iong</v>
          </cell>
          <cell r="K32" t="str">
            <v>ㄧㆲ</v>
          </cell>
        </row>
        <row r="33">
          <cell r="B33">
            <v>28</v>
          </cell>
          <cell r="C33">
            <v>14</v>
          </cell>
          <cell r="D33" t="str">
            <v>恭</v>
          </cell>
          <cell r="E33" t="str">
            <v>入聲</v>
          </cell>
          <cell r="F33" t="str">
            <v>iok</v>
          </cell>
          <cell r="G33" t="str">
            <v>iɔk̚</v>
          </cell>
          <cell r="H33" t="str">
            <v>iok</v>
          </cell>
          <cell r="I33" t="str">
            <v>iok</v>
          </cell>
          <cell r="J33" t="str">
            <v>iok</v>
          </cell>
          <cell r="K33" t="str">
            <v>ㄧㆦㆻ</v>
          </cell>
        </row>
        <row r="34">
          <cell r="B34">
            <v>29</v>
          </cell>
          <cell r="C34">
            <v>15</v>
          </cell>
          <cell r="D34" t="str">
            <v>高</v>
          </cell>
          <cell r="E34" t="str">
            <v>舒聲</v>
          </cell>
          <cell r="F34" t="str">
            <v>o</v>
          </cell>
          <cell r="G34" t="str">
            <v>o</v>
          </cell>
          <cell r="H34" t="str">
            <v>o</v>
          </cell>
          <cell r="I34" t="str">
            <v>o</v>
          </cell>
          <cell r="J34" t="str">
            <v>o</v>
          </cell>
          <cell r="K34" t="str">
            <v>ㄜ</v>
          </cell>
        </row>
        <row r="35">
          <cell r="B35">
            <v>30</v>
          </cell>
          <cell r="C35">
            <v>15</v>
          </cell>
          <cell r="D35" t="str">
            <v>高</v>
          </cell>
          <cell r="E35" t="str">
            <v>入聲</v>
          </cell>
          <cell r="F35" t="str">
            <v>oh</v>
          </cell>
          <cell r="G35" t="str">
            <v>ə?</v>
          </cell>
          <cell r="H35" t="str">
            <v>oh</v>
          </cell>
          <cell r="I35" t="str">
            <v>oh</v>
          </cell>
          <cell r="J35" t="str">
            <v>oh</v>
          </cell>
          <cell r="K35" t="str">
            <v>ㄜㆷ</v>
          </cell>
        </row>
        <row r="36">
          <cell r="B36">
            <v>31</v>
          </cell>
          <cell r="C36">
            <v>16</v>
          </cell>
          <cell r="D36" t="str">
            <v>皆</v>
          </cell>
          <cell r="E36" t="str">
            <v>舒聲</v>
          </cell>
          <cell r="F36" t="str">
            <v>ai</v>
          </cell>
          <cell r="G36" t="str">
            <v>ai</v>
          </cell>
          <cell r="H36" t="str">
            <v>ai</v>
          </cell>
          <cell r="I36" t="str">
            <v>ai</v>
          </cell>
          <cell r="J36" t="str">
            <v>ai</v>
          </cell>
          <cell r="K36" t="str">
            <v>ㄞ</v>
          </cell>
        </row>
        <row r="37">
          <cell r="B37">
            <v>32</v>
          </cell>
          <cell r="C37">
            <v>16</v>
          </cell>
          <cell r="D37" t="str">
            <v>皆</v>
          </cell>
          <cell r="E37" t="str">
            <v>入聲</v>
          </cell>
          <cell r="F37" t="str">
            <v>aih</v>
          </cell>
          <cell r="G37" t="str">
            <v>ai?</v>
          </cell>
          <cell r="H37" t="str">
            <v>aih</v>
          </cell>
          <cell r="I37" t="str">
            <v>aih</v>
          </cell>
          <cell r="J37" t="str">
            <v>aih</v>
          </cell>
          <cell r="K37" t="str">
            <v>ㄞㆷ</v>
          </cell>
        </row>
        <row r="38">
          <cell r="B38">
            <v>33</v>
          </cell>
          <cell r="C38">
            <v>17</v>
          </cell>
          <cell r="D38" t="str">
            <v>巾</v>
          </cell>
          <cell r="E38" t="str">
            <v>舒聲</v>
          </cell>
          <cell r="F38" t="str">
            <v>in</v>
          </cell>
          <cell r="G38" t="str">
            <v>in</v>
          </cell>
          <cell r="H38" t="str">
            <v>in</v>
          </cell>
          <cell r="I38" t="str">
            <v>in</v>
          </cell>
          <cell r="J38" t="str">
            <v>in</v>
          </cell>
          <cell r="K38" t="str">
            <v>ㄧㄣ</v>
          </cell>
        </row>
        <row r="39">
          <cell r="B39">
            <v>34</v>
          </cell>
          <cell r="C39">
            <v>17</v>
          </cell>
          <cell r="D39" t="str">
            <v>巾</v>
          </cell>
          <cell r="E39" t="str">
            <v>入聲</v>
          </cell>
          <cell r="F39" t="str">
            <v>it</v>
          </cell>
          <cell r="G39" t="str">
            <v>it̚</v>
          </cell>
          <cell r="H39" t="str">
            <v>it</v>
          </cell>
          <cell r="I39" t="str">
            <v>it</v>
          </cell>
          <cell r="J39" t="str">
            <v>it</v>
          </cell>
          <cell r="K39" t="str">
            <v>ㄧㆵ</v>
          </cell>
        </row>
        <row r="40">
          <cell r="B40">
            <v>35</v>
          </cell>
          <cell r="C40">
            <v>18</v>
          </cell>
          <cell r="D40" t="str">
            <v>姜</v>
          </cell>
          <cell r="E40" t="str">
            <v>舒聲</v>
          </cell>
          <cell r="F40" t="str">
            <v>iang</v>
          </cell>
          <cell r="G40" t="str">
            <v>iaŋ</v>
          </cell>
          <cell r="H40" t="str">
            <v>iang</v>
          </cell>
          <cell r="I40" t="str">
            <v>iang</v>
          </cell>
          <cell r="J40" t="str">
            <v>iang</v>
          </cell>
          <cell r="K40" t="str">
            <v>ㄧㄤ</v>
          </cell>
        </row>
        <row r="41">
          <cell r="B41">
            <v>36</v>
          </cell>
          <cell r="C41">
            <v>18</v>
          </cell>
          <cell r="D41" t="str">
            <v>姜</v>
          </cell>
          <cell r="E41" t="str">
            <v>入聲</v>
          </cell>
          <cell r="F41" t="str">
            <v>iak</v>
          </cell>
          <cell r="G41" t="str">
            <v>iak̚</v>
          </cell>
          <cell r="H41" t="str">
            <v>iak</v>
          </cell>
          <cell r="I41" t="str">
            <v>iak</v>
          </cell>
          <cell r="J41" t="str">
            <v>iak</v>
          </cell>
          <cell r="K41" t="str">
            <v>ㄧㄚㆻ</v>
          </cell>
        </row>
        <row r="42">
          <cell r="B42">
            <v>37</v>
          </cell>
          <cell r="C42">
            <v>19</v>
          </cell>
          <cell r="D42" t="str">
            <v>甘</v>
          </cell>
          <cell r="E42" t="str">
            <v>舒聲</v>
          </cell>
          <cell r="F42" t="str">
            <v>am</v>
          </cell>
          <cell r="G42" t="str">
            <v>am</v>
          </cell>
          <cell r="H42" t="str">
            <v>am</v>
          </cell>
          <cell r="I42" t="str">
            <v>am</v>
          </cell>
          <cell r="J42" t="str">
            <v>am</v>
          </cell>
          <cell r="K42" t="str">
            <v>ㆰ</v>
          </cell>
        </row>
        <row r="43">
          <cell r="B43">
            <v>38</v>
          </cell>
          <cell r="C43">
            <v>19</v>
          </cell>
          <cell r="D43" t="str">
            <v>甘</v>
          </cell>
          <cell r="E43" t="str">
            <v>入聲</v>
          </cell>
          <cell r="F43" t="str">
            <v>ap</v>
          </cell>
          <cell r="G43" t="str">
            <v>ap̚</v>
          </cell>
          <cell r="H43" t="str">
            <v>ap</v>
          </cell>
          <cell r="I43" t="str">
            <v>ap</v>
          </cell>
          <cell r="J43" t="str">
            <v>ap</v>
          </cell>
          <cell r="K43" t="str">
            <v>ㄚㆴ</v>
          </cell>
        </row>
        <row r="44">
          <cell r="B44">
            <v>39</v>
          </cell>
          <cell r="C44">
            <v>20</v>
          </cell>
          <cell r="D44" t="str">
            <v>瓜</v>
          </cell>
          <cell r="E44" t="str">
            <v>舒聲</v>
          </cell>
          <cell r="F44" t="str">
            <v>oa</v>
          </cell>
          <cell r="G44" t="str">
            <v>ua</v>
          </cell>
          <cell r="H44" t="str">
            <v>oa</v>
          </cell>
          <cell r="I44" t="str">
            <v>ua</v>
          </cell>
          <cell r="J44" t="str">
            <v>ua</v>
          </cell>
          <cell r="K44" t="str">
            <v>ㄨㄚ</v>
          </cell>
        </row>
        <row r="45">
          <cell r="B45">
            <v>40</v>
          </cell>
          <cell r="C45">
            <v>20</v>
          </cell>
          <cell r="D45" t="str">
            <v>瓜</v>
          </cell>
          <cell r="E45" t="str">
            <v>入聲</v>
          </cell>
          <cell r="F45" t="str">
            <v>oah</v>
          </cell>
          <cell r="G45" t="str">
            <v>ua?</v>
          </cell>
          <cell r="H45" t="str">
            <v>oah</v>
          </cell>
          <cell r="I45" t="str">
            <v>uah</v>
          </cell>
          <cell r="J45" t="str">
            <v>uah</v>
          </cell>
          <cell r="K45" t="str">
            <v>ㄨㄚㆷ</v>
          </cell>
        </row>
        <row r="46">
          <cell r="B46">
            <v>41</v>
          </cell>
          <cell r="C46">
            <v>21</v>
          </cell>
          <cell r="D46" t="str">
            <v>江</v>
          </cell>
          <cell r="E46" t="str">
            <v>舒聲</v>
          </cell>
          <cell r="F46" t="str">
            <v>ang</v>
          </cell>
          <cell r="G46" t="str">
            <v>aŋ</v>
          </cell>
          <cell r="H46" t="str">
            <v>ang</v>
          </cell>
          <cell r="I46" t="str">
            <v>ang</v>
          </cell>
          <cell r="J46" t="str">
            <v>ang</v>
          </cell>
          <cell r="K46" t="str">
            <v>ㄤ</v>
          </cell>
        </row>
        <row r="47">
          <cell r="B47">
            <v>42</v>
          </cell>
          <cell r="C47">
            <v>21</v>
          </cell>
          <cell r="D47" t="str">
            <v>江</v>
          </cell>
          <cell r="E47" t="str">
            <v>入聲</v>
          </cell>
          <cell r="F47" t="str">
            <v>ak</v>
          </cell>
          <cell r="G47" t="str">
            <v>ak̚</v>
          </cell>
          <cell r="H47" t="str">
            <v>ak</v>
          </cell>
          <cell r="I47" t="str">
            <v>ak</v>
          </cell>
          <cell r="J47" t="str">
            <v>ak</v>
          </cell>
          <cell r="K47" t="str">
            <v>ㄚㆻ</v>
          </cell>
        </row>
        <row r="48">
          <cell r="B48">
            <v>43</v>
          </cell>
          <cell r="C48">
            <v>22</v>
          </cell>
          <cell r="D48" t="str">
            <v>兼</v>
          </cell>
          <cell r="E48" t="str">
            <v>舒聲</v>
          </cell>
          <cell r="F48" t="str">
            <v>iam</v>
          </cell>
          <cell r="G48" t="str">
            <v>iam</v>
          </cell>
          <cell r="H48" t="str">
            <v>iam</v>
          </cell>
          <cell r="I48" t="str">
            <v>iam</v>
          </cell>
          <cell r="J48" t="str">
            <v>iam</v>
          </cell>
          <cell r="K48" t="str">
            <v>ㄧㆰ</v>
          </cell>
        </row>
        <row r="49">
          <cell r="B49">
            <v>44</v>
          </cell>
          <cell r="C49">
            <v>22</v>
          </cell>
          <cell r="D49" t="str">
            <v>兼</v>
          </cell>
          <cell r="E49" t="str">
            <v>入聲</v>
          </cell>
          <cell r="F49" t="str">
            <v>iap</v>
          </cell>
          <cell r="G49" t="str">
            <v>iap̚</v>
          </cell>
          <cell r="H49" t="str">
            <v>iap</v>
          </cell>
          <cell r="I49" t="str">
            <v>iap</v>
          </cell>
          <cell r="J49" t="str">
            <v>iap</v>
          </cell>
          <cell r="K49" t="str">
            <v>ㄧㄚㆴ</v>
          </cell>
        </row>
        <row r="50">
          <cell r="B50">
            <v>45</v>
          </cell>
          <cell r="C50">
            <v>23</v>
          </cell>
          <cell r="D50" t="str">
            <v>交</v>
          </cell>
          <cell r="E50" t="str">
            <v>舒聲</v>
          </cell>
          <cell r="F50" t="str">
            <v>au</v>
          </cell>
          <cell r="G50" t="str">
            <v>aʊ</v>
          </cell>
          <cell r="H50" t="str">
            <v>au</v>
          </cell>
          <cell r="I50" t="str">
            <v>au</v>
          </cell>
          <cell r="J50" t="str">
            <v>ao</v>
          </cell>
          <cell r="K50" t="str">
            <v>ㄠ</v>
          </cell>
        </row>
        <row r="51">
          <cell r="B51">
            <v>46</v>
          </cell>
          <cell r="C51">
            <v>23</v>
          </cell>
          <cell r="D51" t="str">
            <v>交</v>
          </cell>
          <cell r="E51" t="str">
            <v>入聲</v>
          </cell>
          <cell r="F51" t="str">
            <v>auh</v>
          </cell>
          <cell r="G51" t="str">
            <v>au?</v>
          </cell>
          <cell r="H51" t="str">
            <v>auh</v>
          </cell>
          <cell r="I51" t="str">
            <v>auh</v>
          </cell>
          <cell r="J51" t="str">
            <v>aoh</v>
          </cell>
          <cell r="K51" t="str">
            <v>ㄠㆷ</v>
          </cell>
        </row>
        <row r="52">
          <cell r="B52">
            <v>47</v>
          </cell>
          <cell r="C52">
            <v>24</v>
          </cell>
          <cell r="D52" t="str">
            <v>迦</v>
          </cell>
          <cell r="E52" t="str">
            <v>舒聲</v>
          </cell>
          <cell r="F52" t="str">
            <v>ia</v>
          </cell>
          <cell r="G52" t="str">
            <v>ia</v>
          </cell>
          <cell r="H52" t="str">
            <v>ia</v>
          </cell>
          <cell r="I52" t="str">
            <v>ia</v>
          </cell>
          <cell r="J52" t="str">
            <v>ia</v>
          </cell>
          <cell r="K52" t="str">
            <v>ㄧㄚ</v>
          </cell>
        </row>
        <row r="53">
          <cell r="B53">
            <v>48</v>
          </cell>
          <cell r="C53">
            <v>24</v>
          </cell>
          <cell r="D53" t="str">
            <v>迦</v>
          </cell>
          <cell r="E53" t="str">
            <v>入聲</v>
          </cell>
          <cell r="F53" t="str">
            <v>iah</v>
          </cell>
          <cell r="G53" t="str">
            <v>ia?</v>
          </cell>
          <cell r="H53" t="str">
            <v>iah</v>
          </cell>
          <cell r="I53" t="str">
            <v>iah</v>
          </cell>
          <cell r="J53" t="str">
            <v>iah</v>
          </cell>
          <cell r="K53" t="str">
            <v>ㄧㄚㆷ</v>
          </cell>
        </row>
        <row r="54">
          <cell r="B54">
            <v>49</v>
          </cell>
          <cell r="C54">
            <v>25</v>
          </cell>
          <cell r="D54" t="str">
            <v>檜</v>
          </cell>
          <cell r="E54" t="str">
            <v>舒聲</v>
          </cell>
          <cell r="F54" t="str">
            <v>oe</v>
          </cell>
          <cell r="G54" t="str">
            <v>ue</v>
          </cell>
          <cell r="H54" t="str">
            <v>oe</v>
          </cell>
          <cell r="I54" t="str">
            <v>ue</v>
          </cell>
          <cell r="J54" t="str">
            <v>ue</v>
          </cell>
          <cell r="K54" t="str">
            <v>ㄨㆤ</v>
          </cell>
        </row>
        <row r="55">
          <cell r="B55">
            <v>50</v>
          </cell>
          <cell r="C55">
            <v>25</v>
          </cell>
          <cell r="D55" t="str">
            <v>檜</v>
          </cell>
          <cell r="E55" t="str">
            <v>入聲</v>
          </cell>
          <cell r="F55" t="str">
            <v>oeh</v>
          </cell>
          <cell r="G55" t="str">
            <v>ue?</v>
          </cell>
          <cell r="H55" t="str">
            <v>oeh</v>
          </cell>
          <cell r="I55" t="str">
            <v>ueh</v>
          </cell>
          <cell r="J55" t="str">
            <v>ueh</v>
          </cell>
          <cell r="K55" t="str">
            <v>ㄨㆤㆷ</v>
          </cell>
        </row>
        <row r="56">
          <cell r="B56">
            <v>51</v>
          </cell>
          <cell r="C56">
            <v>26</v>
          </cell>
          <cell r="D56" t="str">
            <v>監</v>
          </cell>
          <cell r="E56" t="str">
            <v>舒聲</v>
          </cell>
          <cell r="F56" t="str">
            <v>ann</v>
          </cell>
          <cell r="G56" t="str">
            <v>ã</v>
          </cell>
          <cell r="H56" t="str">
            <v>aⁿ</v>
          </cell>
          <cell r="I56" t="str">
            <v>ann</v>
          </cell>
          <cell r="J56" t="str">
            <v>na</v>
          </cell>
          <cell r="K56" t="str">
            <v>ㆩ</v>
          </cell>
        </row>
        <row r="57">
          <cell r="B57">
            <v>52</v>
          </cell>
          <cell r="C57">
            <v>26</v>
          </cell>
          <cell r="D57" t="str">
            <v>監</v>
          </cell>
          <cell r="E57" t="str">
            <v>入聲</v>
          </cell>
          <cell r="F57" t="str">
            <v>ahnn</v>
          </cell>
          <cell r="G57" t="str">
            <v>ã?</v>
          </cell>
          <cell r="H57" t="str">
            <v>ahⁿ</v>
          </cell>
          <cell r="I57" t="str">
            <v>annh</v>
          </cell>
          <cell r="J57" t="str">
            <v>nah</v>
          </cell>
          <cell r="K57" t="str">
            <v>ㆩㆷ</v>
          </cell>
        </row>
        <row r="58">
          <cell r="B58">
            <v>53</v>
          </cell>
          <cell r="C58">
            <v>27</v>
          </cell>
          <cell r="D58" t="str">
            <v>艍</v>
          </cell>
          <cell r="E58" t="str">
            <v>舒聲</v>
          </cell>
          <cell r="F58" t="str">
            <v>u</v>
          </cell>
          <cell r="G58" t="str">
            <v>u</v>
          </cell>
          <cell r="H58" t="str">
            <v>u</v>
          </cell>
          <cell r="I58" t="str">
            <v>u</v>
          </cell>
          <cell r="J58" t="str">
            <v>u</v>
          </cell>
          <cell r="K58" t="str">
            <v>ㄨ</v>
          </cell>
        </row>
        <row r="59">
          <cell r="B59">
            <v>54</v>
          </cell>
          <cell r="C59">
            <v>27</v>
          </cell>
          <cell r="D59" t="str">
            <v>艍</v>
          </cell>
          <cell r="E59" t="str">
            <v>入聲</v>
          </cell>
          <cell r="F59" t="str">
            <v>uh</v>
          </cell>
          <cell r="G59" t="str">
            <v>u?</v>
          </cell>
          <cell r="H59" t="str">
            <v>uh</v>
          </cell>
          <cell r="I59" t="str">
            <v>uh</v>
          </cell>
          <cell r="J59" t="str">
            <v>uh</v>
          </cell>
          <cell r="K59" t="str">
            <v>ㄨㆷ</v>
          </cell>
        </row>
        <row r="60">
          <cell r="B60">
            <v>55</v>
          </cell>
          <cell r="C60">
            <v>28</v>
          </cell>
          <cell r="D60" t="str">
            <v>膠</v>
          </cell>
          <cell r="E60" t="str">
            <v>舒聲</v>
          </cell>
          <cell r="F60" t="str">
            <v>a</v>
          </cell>
          <cell r="G60" t="str">
            <v>a</v>
          </cell>
          <cell r="H60" t="str">
            <v>a</v>
          </cell>
          <cell r="I60" t="str">
            <v>a</v>
          </cell>
          <cell r="J60" t="str">
            <v>a</v>
          </cell>
          <cell r="K60" t="str">
            <v>ㄚ</v>
          </cell>
        </row>
        <row r="61">
          <cell r="B61">
            <v>56</v>
          </cell>
          <cell r="C61">
            <v>28</v>
          </cell>
          <cell r="D61" t="str">
            <v>膠</v>
          </cell>
          <cell r="E61" t="str">
            <v>入聲</v>
          </cell>
          <cell r="F61" t="str">
            <v>ah</v>
          </cell>
          <cell r="G61" t="str">
            <v>a?</v>
          </cell>
          <cell r="H61" t="str">
            <v>ah</v>
          </cell>
          <cell r="I61" t="str">
            <v>ah</v>
          </cell>
          <cell r="J61" t="str">
            <v>ah</v>
          </cell>
          <cell r="K61" t="str">
            <v>ㄚㆷ</v>
          </cell>
        </row>
        <row r="62">
          <cell r="B62">
            <v>57</v>
          </cell>
          <cell r="C62">
            <v>29</v>
          </cell>
          <cell r="D62" t="str">
            <v>居</v>
          </cell>
          <cell r="E62" t="str">
            <v>舒聲</v>
          </cell>
          <cell r="F62" t="str">
            <v>i</v>
          </cell>
          <cell r="G62" t="str">
            <v>i</v>
          </cell>
          <cell r="H62" t="str">
            <v>i</v>
          </cell>
          <cell r="I62" t="str">
            <v>i</v>
          </cell>
          <cell r="J62" t="str">
            <v>i</v>
          </cell>
          <cell r="K62" t="str">
            <v>ㄧ</v>
          </cell>
        </row>
        <row r="63">
          <cell r="B63">
            <v>58</v>
          </cell>
          <cell r="C63">
            <v>29</v>
          </cell>
          <cell r="D63" t="str">
            <v>居</v>
          </cell>
          <cell r="E63" t="str">
            <v>入聲</v>
          </cell>
          <cell r="F63" t="str">
            <v>ih</v>
          </cell>
          <cell r="G63" t="str">
            <v>i?</v>
          </cell>
          <cell r="H63" t="str">
            <v>ih</v>
          </cell>
          <cell r="I63" t="str">
            <v>ih</v>
          </cell>
          <cell r="J63" t="str">
            <v>ih</v>
          </cell>
          <cell r="K63" t="str">
            <v>ㄧㆷ</v>
          </cell>
        </row>
        <row r="64">
          <cell r="B64">
            <v>59</v>
          </cell>
          <cell r="C64">
            <v>30</v>
          </cell>
          <cell r="D64" t="str">
            <v>丩</v>
          </cell>
          <cell r="E64" t="str">
            <v>舒聲</v>
          </cell>
          <cell r="F64" t="str">
            <v>iu</v>
          </cell>
          <cell r="G64" t="str">
            <v>iu</v>
          </cell>
          <cell r="H64" t="str">
            <v>iu</v>
          </cell>
          <cell r="I64" t="str">
            <v>iu</v>
          </cell>
          <cell r="J64" t="str">
            <v>iu</v>
          </cell>
          <cell r="K64" t="str">
            <v>ㄧㄨ</v>
          </cell>
        </row>
        <row r="65">
          <cell r="B65">
            <v>60</v>
          </cell>
          <cell r="C65">
            <v>30</v>
          </cell>
          <cell r="D65" t="str">
            <v>丩</v>
          </cell>
          <cell r="E65" t="str">
            <v>入聲</v>
          </cell>
          <cell r="F65" t="str">
            <v>iuh</v>
          </cell>
          <cell r="G65" t="str">
            <v>iu?</v>
          </cell>
          <cell r="H65" t="str">
            <v>iuh</v>
          </cell>
          <cell r="I65" t="str">
            <v>iuh</v>
          </cell>
          <cell r="J65" t="str">
            <v>iuh</v>
          </cell>
          <cell r="K65" t="str">
            <v>ㄧㄨㆷ</v>
          </cell>
        </row>
        <row r="66">
          <cell r="B66">
            <v>61</v>
          </cell>
          <cell r="C66">
            <v>31</v>
          </cell>
          <cell r="D66" t="str">
            <v>更</v>
          </cell>
          <cell r="E66" t="str">
            <v>舒聲</v>
          </cell>
          <cell r="F66" t="str">
            <v>enn</v>
          </cell>
          <cell r="G66" t="str">
            <v>ẽ</v>
          </cell>
          <cell r="H66" t="str">
            <v>eⁿ</v>
          </cell>
          <cell r="I66" t="str">
            <v>enn</v>
          </cell>
          <cell r="J66" t="str">
            <v>ne</v>
          </cell>
          <cell r="K66" t="str">
            <v>ㆥ</v>
          </cell>
        </row>
        <row r="67">
          <cell r="B67">
            <v>62</v>
          </cell>
          <cell r="C67">
            <v>31</v>
          </cell>
          <cell r="D67" t="str">
            <v>更</v>
          </cell>
          <cell r="E67" t="str">
            <v>入聲</v>
          </cell>
          <cell r="F67" t="str">
            <v>ehnn</v>
          </cell>
          <cell r="G67" t="str">
            <v>ẽ?</v>
          </cell>
          <cell r="H67" t="str">
            <v>ehⁿ</v>
          </cell>
          <cell r="I67" t="str">
            <v>ennh</v>
          </cell>
          <cell r="J67" t="str">
            <v>neh</v>
          </cell>
          <cell r="K67" t="str">
            <v>ㆥㆷ</v>
          </cell>
        </row>
        <row r="68">
          <cell r="B68">
            <v>63</v>
          </cell>
          <cell r="C68">
            <v>32</v>
          </cell>
          <cell r="D68" t="str">
            <v>褌</v>
          </cell>
          <cell r="E68" t="str">
            <v>舒聲</v>
          </cell>
          <cell r="F68" t="str">
            <v>uinn</v>
          </cell>
          <cell r="G68" t="str">
            <v>ũĩ</v>
          </cell>
          <cell r="H68" t="str">
            <v>uiⁿ</v>
          </cell>
          <cell r="I68" t="str">
            <v>uinn</v>
          </cell>
          <cell r="J68" t="str">
            <v>nui</v>
          </cell>
          <cell r="K68" t="str">
            <v>ㄨㆪ</v>
          </cell>
        </row>
        <row r="69">
          <cell r="B69">
            <v>64</v>
          </cell>
          <cell r="C69">
            <v>32</v>
          </cell>
          <cell r="D69" t="str">
            <v>褌</v>
          </cell>
          <cell r="E69" t="str">
            <v>入聲</v>
          </cell>
          <cell r="F69" t="str">
            <v>uinnh</v>
          </cell>
          <cell r="G69" t="str">
            <v>ũĩ?</v>
          </cell>
          <cell r="H69" t="str">
            <v>uihⁿ</v>
          </cell>
          <cell r="I69" t="str">
            <v>uinnh</v>
          </cell>
          <cell r="J69" t="str">
            <v>nuih</v>
          </cell>
          <cell r="K69" t="str">
            <v>ㄨㆪㆷ</v>
          </cell>
        </row>
        <row r="70">
          <cell r="B70">
            <v>65</v>
          </cell>
          <cell r="C70">
            <v>33</v>
          </cell>
          <cell r="D70" t="str">
            <v>茄</v>
          </cell>
          <cell r="E70" t="str">
            <v>舒聲</v>
          </cell>
          <cell r="F70" t="str">
            <v>io</v>
          </cell>
          <cell r="G70" t="str">
            <v>io</v>
          </cell>
          <cell r="H70" t="str">
            <v>io</v>
          </cell>
          <cell r="I70" t="str">
            <v>io</v>
          </cell>
          <cell r="J70" t="str">
            <v>io</v>
          </cell>
          <cell r="K70" t="str">
            <v>ㄧㄜ</v>
          </cell>
        </row>
        <row r="71">
          <cell r="B71">
            <v>66</v>
          </cell>
          <cell r="C71">
            <v>33</v>
          </cell>
          <cell r="D71" t="str">
            <v>茄</v>
          </cell>
          <cell r="E71" t="str">
            <v>入聲</v>
          </cell>
          <cell r="F71" t="str">
            <v>ioh</v>
          </cell>
          <cell r="G71" t="str">
            <v>iə?</v>
          </cell>
          <cell r="H71" t="str">
            <v>ioh</v>
          </cell>
          <cell r="I71" t="str">
            <v>ioh</v>
          </cell>
          <cell r="J71" t="str">
            <v>ioh</v>
          </cell>
          <cell r="K71" t="str">
            <v>ㄧㄜㆷ</v>
          </cell>
        </row>
        <row r="72">
          <cell r="B72">
            <v>67</v>
          </cell>
          <cell r="C72">
            <v>34</v>
          </cell>
          <cell r="D72" t="str">
            <v>梔</v>
          </cell>
          <cell r="E72" t="str">
            <v>舒聲</v>
          </cell>
          <cell r="F72" t="str">
            <v>inn</v>
          </cell>
          <cell r="G72" t="str">
            <v>ĩ</v>
          </cell>
          <cell r="H72" t="str">
            <v>iⁿ</v>
          </cell>
          <cell r="I72" t="str">
            <v>inn</v>
          </cell>
          <cell r="J72" t="str">
            <v>ni</v>
          </cell>
          <cell r="K72" t="str">
            <v>ㆪ</v>
          </cell>
        </row>
        <row r="73">
          <cell r="B73">
            <v>68</v>
          </cell>
          <cell r="C73">
            <v>34</v>
          </cell>
          <cell r="D73" t="str">
            <v>梔</v>
          </cell>
          <cell r="E73" t="str">
            <v>入聲</v>
          </cell>
          <cell r="F73" t="str">
            <v>ihnn</v>
          </cell>
          <cell r="G73" t="str">
            <v>ĩ?</v>
          </cell>
          <cell r="H73" t="str">
            <v>iⁿh</v>
          </cell>
          <cell r="I73" t="str">
            <v>innh</v>
          </cell>
          <cell r="J73" t="str">
            <v>nih</v>
          </cell>
          <cell r="K73" t="str">
            <v>ㆪ</v>
          </cell>
        </row>
        <row r="74">
          <cell r="B74">
            <v>69</v>
          </cell>
          <cell r="C74">
            <v>35</v>
          </cell>
          <cell r="D74" t="str">
            <v>薑</v>
          </cell>
          <cell r="E74" t="str">
            <v>舒聲</v>
          </cell>
          <cell r="F74" t="str">
            <v>ionn</v>
          </cell>
          <cell r="G74" t="str">
            <v>ĩɔ̃</v>
          </cell>
          <cell r="H74" t="str">
            <v>ioⁿ</v>
          </cell>
          <cell r="I74" t="str">
            <v>ionn</v>
          </cell>
          <cell r="J74" t="str">
            <v>nioo</v>
          </cell>
          <cell r="K74" t="str">
            <v>ㄧㆧ</v>
          </cell>
        </row>
        <row r="75">
          <cell r="B75">
            <v>70</v>
          </cell>
          <cell r="C75">
            <v>35</v>
          </cell>
          <cell r="D75" t="str">
            <v>薑</v>
          </cell>
          <cell r="E75" t="str">
            <v>入聲</v>
          </cell>
          <cell r="F75" t="str">
            <v>ionnh</v>
          </cell>
          <cell r="G75" t="str">
            <v>ĩɔ̃?</v>
          </cell>
          <cell r="H75" t="str">
            <v>iohⁿ</v>
          </cell>
          <cell r="I75" t="str">
            <v>ionnh</v>
          </cell>
          <cell r="J75" t="str">
            <v>niooh</v>
          </cell>
          <cell r="K75" t="str">
            <v>ㄧㆧㆷ</v>
          </cell>
        </row>
        <row r="76">
          <cell r="B76">
            <v>71</v>
          </cell>
          <cell r="C76">
            <v>36</v>
          </cell>
          <cell r="D76" t="str">
            <v>驚</v>
          </cell>
          <cell r="E76" t="str">
            <v>舒聲</v>
          </cell>
          <cell r="F76" t="str">
            <v>iann</v>
          </cell>
          <cell r="G76" t="str">
            <v>ĩã</v>
          </cell>
          <cell r="H76" t="str">
            <v>iaⁿ</v>
          </cell>
          <cell r="I76" t="str">
            <v>iann</v>
          </cell>
          <cell r="J76" t="str">
            <v>nia</v>
          </cell>
          <cell r="K76" t="str">
            <v>ㄧㆩ</v>
          </cell>
        </row>
        <row r="77">
          <cell r="B77">
            <v>72</v>
          </cell>
          <cell r="C77">
            <v>36</v>
          </cell>
          <cell r="D77" t="str">
            <v>驚</v>
          </cell>
          <cell r="E77" t="str">
            <v>入聲</v>
          </cell>
          <cell r="F77" t="str">
            <v>iannh</v>
          </cell>
          <cell r="G77" t="str">
            <v>iãh</v>
          </cell>
          <cell r="H77" t="str">
            <v>iahⁿ</v>
          </cell>
          <cell r="I77" t="str">
            <v>iannh</v>
          </cell>
          <cell r="J77" t="str">
            <v>niah</v>
          </cell>
          <cell r="K77" t="str">
            <v>ㄧㆩㆷ</v>
          </cell>
        </row>
        <row r="78">
          <cell r="B78">
            <v>73</v>
          </cell>
          <cell r="C78">
            <v>37</v>
          </cell>
          <cell r="D78" t="str">
            <v>官</v>
          </cell>
          <cell r="E78" t="str">
            <v>舒聲</v>
          </cell>
          <cell r="F78" t="str">
            <v>oann</v>
          </cell>
          <cell r="G78" t="str">
            <v>ũã</v>
          </cell>
          <cell r="H78" t="str">
            <v>oaⁿ</v>
          </cell>
          <cell r="I78" t="str">
            <v>uann</v>
          </cell>
          <cell r="J78" t="str">
            <v>nua</v>
          </cell>
          <cell r="K78" t="str">
            <v>ㄨㆩ</v>
          </cell>
        </row>
        <row r="79">
          <cell r="B79">
            <v>74</v>
          </cell>
          <cell r="C79">
            <v>37</v>
          </cell>
          <cell r="D79" t="str">
            <v>官</v>
          </cell>
          <cell r="E79" t="str">
            <v>入聲</v>
          </cell>
          <cell r="F79" t="str">
            <v>oannh</v>
          </cell>
          <cell r="G79" t="str">
            <v>ũã?</v>
          </cell>
          <cell r="H79" t="str">
            <v>oahⁿ</v>
          </cell>
          <cell r="I79" t="str">
            <v>uannh</v>
          </cell>
          <cell r="J79" t="str">
            <v>nuah</v>
          </cell>
          <cell r="K79" t="str">
            <v>ㄨㆩㆷ</v>
          </cell>
        </row>
        <row r="80">
          <cell r="B80">
            <v>75</v>
          </cell>
          <cell r="C80">
            <v>38</v>
          </cell>
          <cell r="D80" t="str">
            <v>鋼</v>
          </cell>
          <cell r="E80" t="str">
            <v>舒聲</v>
          </cell>
          <cell r="F80" t="str">
            <v>ng</v>
          </cell>
          <cell r="G80" t="str">
            <v>ŋ̍</v>
          </cell>
          <cell r="H80" t="str">
            <v>ng</v>
          </cell>
          <cell r="I80" t="str">
            <v>ng</v>
          </cell>
          <cell r="J80" t="str">
            <v>ng</v>
          </cell>
          <cell r="K80" t="str">
            <v>ㆭ</v>
          </cell>
        </row>
        <row r="81">
          <cell r="B81">
            <v>76</v>
          </cell>
          <cell r="C81">
            <v>38</v>
          </cell>
          <cell r="D81" t="str">
            <v>鋼</v>
          </cell>
          <cell r="E81" t="str">
            <v>入聲</v>
          </cell>
          <cell r="F81" t="str">
            <v>ngh</v>
          </cell>
          <cell r="G81" t="str">
            <v>ŋ̍h</v>
          </cell>
          <cell r="H81" t="str">
            <v>ngh</v>
          </cell>
          <cell r="I81" t="str">
            <v>ngh</v>
          </cell>
          <cell r="J81" t="str">
            <v>ngh</v>
          </cell>
          <cell r="K81" t="str">
            <v>ㆭㆷ</v>
          </cell>
        </row>
        <row r="82">
          <cell r="B82">
            <v>77</v>
          </cell>
          <cell r="C82">
            <v>39</v>
          </cell>
          <cell r="D82" t="str">
            <v>伽</v>
          </cell>
          <cell r="E82" t="str">
            <v>舒聲</v>
          </cell>
          <cell r="F82" t="str">
            <v>e</v>
          </cell>
          <cell r="G82" t="str">
            <v>e</v>
          </cell>
          <cell r="H82" t="str">
            <v>e</v>
          </cell>
          <cell r="I82" t="str">
            <v>e</v>
          </cell>
          <cell r="J82" t="str">
            <v>e</v>
          </cell>
          <cell r="K82" t="str">
            <v>ㆤ</v>
          </cell>
        </row>
        <row r="83">
          <cell r="B83">
            <v>78</v>
          </cell>
          <cell r="C83">
            <v>39</v>
          </cell>
          <cell r="D83" t="str">
            <v>伽</v>
          </cell>
          <cell r="E83" t="str">
            <v>入聲</v>
          </cell>
          <cell r="F83" t="str">
            <v>eh</v>
          </cell>
          <cell r="G83" t="str">
            <v>e?</v>
          </cell>
          <cell r="H83" t="str">
            <v>eh</v>
          </cell>
          <cell r="I83" t="str">
            <v>eh</v>
          </cell>
          <cell r="J83" t="str">
            <v>eh</v>
          </cell>
          <cell r="K83" t="str">
            <v>ㆤㆷ</v>
          </cell>
        </row>
        <row r="84">
          <cell r="B84">
            <v>79</v>
          </cell>
          <cell r="C84">
            <v>40</v>
          </cell>
          <cell r="D84" t="str">
            <v>閒</v>
          </cell>
          <cell r="E84" t="str">
            <v>舒聲</v>
          </cell>
          <cell r="F84" t="str">
            <v>ainn</v>
          </cell>
          <cell r="G84" t="str">
            <v>ãĩ</v>
          </cell>
          <cell r="H84" t="str">
            <v>aiⁿ</v>
          </cell>
          <cell r="I84" t="str">
            <v>ainn</v>
          </cell>
          <cell r="J84" t="str">
            <v>nai</v>
          </cell>
          <cell r="K84" t="str">
            <v>ㆮ</v>
          </cell>
        </row>
        <row r="85">
          <cell r="B85">
            <v>80</v>
          </cell>
          <cell r="C85">
            <v>40</v>
          </cell>
          <cell r="D85" t="str">
            <v>閒</v>
          </cell>
          <cell r="E85" t="str">
            <v>入聲</v>
          </cell>
          <cell r="F85" t="str">
            <v>ainnh</v>
          </cell>
          <cell r="G85" t="str">
            <v>ãĩ?</v>
          </cell>
          <cell r="H85" t="str">
            <v>aihⁿ</v>
          </cell>
          <cell r="I85" t="str">
            <v>ainnh</v>
          </cell>
          <cell r="J85" t="str">
            <v>naih</v>
          </cell>
          <cell r="K85" t="str">
            <v>ㆮㆷ</v>
          </cell>
        </row>
        <row r="86">
          <cell r="B86">
            <v>81</v>
          </cell>
          <cell r="C86">
            <v>41</v>
          </cell>
          <cell r="D86" t="str">
            <v>姑</v>
          </cell>
          <cell r="E86" t="str">
            <v>舒聲</v>
          </cell>
          <cell r="F86" t="str">
            <v>onn</v>
          </cell>
          <cell r="G86" t="str">
            <v>ɔ̃</v>
          </cell>
          <cell r="H86" t="str">
            <v>oⁿ</v>
          </cell>
          <cell r="I86" t="str">
            <v>onn</v>
          </cell>
          <cell r="J86" t="str">
            <v>noo</v>
          </cell>
          <cell r="K86" t="str">
            <v>ㆧ</v>
          </cell>
        </row>
        <row r="87">
          <cell r="B87">
            <v>82</v>
          </cell>
          <cell r="C87">
            <v>41</v>
          </cell>
          <cell r="D87" t="str">
            <v>姑</v>
          </cell>
          <cell r="E87" t="str">
            <v>入聲</v>
          </cell>
          <cell r="F87" t="str">
            <v>onnh</v>
          </cell>
          <cell r="G87" t="str">
            <v>ɔ̃?</v>
          </cell>
          <cell r="H87" t="str">
            <v>ohⁿ</v>
          </cell>
          <cell r="I87" t="str">
            <v>onnh</v>
          </cell>
          <cell r="J87" t="str">
            <v>nooh</v>
          </cell>
          <cell r="K87" t="str">
            <v>ㆧㆷ</v>
          </cell>
        </row>
        <row r="88">
          <cell r="B88">
            <v>83</v>
          </cell>
          <cell r="C88">
            <v>42</v>
          </cell>
          <cell r="D88" t="str">
            <v>姆</v>
          </cell>
          <cell r="E88" t="str">
            <v>舒聲</v>
          </cell>
          <cell r="F88" t="str">
            <v>m</v>
          </cell>
          <cell r="G88" t="str">
            <v>m̩</v>
          </cell>
          <cell r="H88" t="str">
            <v>m</v>
          </cell>
          <cell r="I88" t="str">
            <v>m</v>
          </cell>
          <cell r="J88" t="str">
            <v>m</v>
          </cell>
          <cell r="K88" t="str">
            <v>ㆬ</v>
          </cell>
        </row>
        <row r="89">
          <cell r="B89">
            <v>84</v>
          </cell>
          <cell r="C89">
            <v>42</v>
          </cell>
          <cell r="D89" t="str">
            <v>姆</v>
          </cell>
          <cell r="E89" t="str">
            <v>入聲</v>
          </cell>
          <cell r="F89" t="str">
            <v>mh</v>
          </cell>
          <cell r="G89" t="str">
            <v>m̩h</v>
          </cell>
          <cell r="H89" t="str">
            <v>mh</v>
          </cell>
          <cell r="I89" t="str">
            <v>mh</v>
          </cell>
          <cell r="J89" t="str">
            <v>mh</v>
          </cell>
          <cell r="K89" t="str">
            <v>ㆬㆷ</v>
          </cell>
        </row>
        <row r="90">
          <cell r="B90">
            <v>85</v>
          </cell>
          <cell r="C90">
            <v>43</v>
          </cell>
          <cell r="D90" t="str">
            <v>光</v>
          </cell>
          <cell r="E90" t="str">
            <v>舒聲</v>
          </cell>
          <cell r="F90" t="str">
            <v>oang</v>
          </cell>
          <cell r="G90" t="str">
            <v>uaŋ</v>
          </cell>
          <cell r="H90" t="str">
            <v>oang</v>
          </cell>
          <cell r="I90" t="str">
            <v>uang</v>
          </cell>
          <cell r="J90" t="str">
            <v>uang</v>
          </cell>
          <cell r="K90" t="str">
            <v>ㄨㄤ</v>
          </cell>
        </row>
        <row r="91">
          <cell r="B91">
            <v>86</v>
          </cell>
          <cell r="C91">
            <v>43</v>
          </cell>
          <cell r="D91" t="str">
            <v>光</v>
          </cell>
          <cell r="E91" t="str">
            <v>入聲</v>
          </cell>
          <cell r="F91" t="str">
            <v>oak</v>
          </cell>
          <cell r="G91" t="str">
            <v>uak̚</v>
          </cell>
          <cell r="H91" t="str">
            <v>oak</v>
          </cell>
          <cell r="I91" t="str">
            <v>uak</v>
          </cell>
          <cell r="J91" t="str">
            <v>uak</v>
          </cell>
          <cell r="K91" t="str">
            <v>ㄨㄚㆻ</v>
          </cell>
        </row>
        <row r="92">
          <cell r="B92">
            <v>87</v>
          </cell>
          <cell r="C92">
            <v>44</v>
          </cell>
          <cell r="D92" t="str">
            <v>閂</v>
          </cell>
          <cell r="E92" t="str">
            <v>舒聲</v>
          </cell>
          <cell r="F92" t="str">
            <v>oainn</v>
          </cell>
          <cell r="G92" t="str">
            <v>ũãĩ</v>
          </cell>
          <cell r="H92" t="str">
            <v>oaiⁿ</v>
          </cell>
          <cell r="I92" t="str">
            <v>uainn</v>
          </cell>
          <cell r="J92" t="str">
            <v>nuai</v>
          </cell>
          <cell r="K92" t="str">
            <v>ㄨㆮ</v>
          </cell>
        </row>
        <row r="93">
          <cell r="B93">
            <v>88</v>
          </cell>
          <cell r="C93">
            <v>44</v>
          </cell>
          <cell r="D93" t="str">
            <v>閂</v>
          </cell>
          <cell r="E93" t="str">
            <v>入聲</v>
          </cell>
          <cell r="F93" t="str">
            <v>oaihnn</v>
          </cell>
          <cell r="G93" t="str">
            <v>uãĩ?</v>
          </cell>
          <cell r="H93" t="str">
            <v>oaiⁿh</v>
          </cell>
          <cell r="I93" t="str">
            <v>uainnh</v>
          </cell>
          <cell r="J93" t="str">
            <v>nuaih</v>
          </cell>
          <cell r="K93" t="str">
            <v>ㄨㆮㆷ</v>
          </cell>
        </row>
        <row r="94">
          <cell r="B94">
            <v>89</v>
          </cell>
          <cell r="C94">
            <v>45</v>
          </cell>
          <cell r="D94" t="str">
            <v>糜</v>
          </cell>
          <cell r="E94" t="str">
            <v>舒聲</v>
          </cell>
          <cell r="F94" t="str">
            <v>oenn</v>
          </cell>
          <cell r="G94" t="str">
            <v>ũẽ</v>
          </cell>
          <cell r="H94" t="str">
            <v>oeⁿ</v>
          </cell>
          <cell r="I94" t="str">
            <v>uenn</v>
          </cell>
          <cell r="J94" t="str">
            <v>nue</v>
          </cell>
          <cell r="K94" t="str">
            <v>ㄨㆥ</v>
          </cell>
        </row>
        <row r="95">
          <cell r="B95">
            <v>90</v>
          </cell>
          <cell r="C95">
            <v>45</v>
          </cell>
          <cell r="D95" t="str">
            <v>糜</v>
          </cell>
          <cell r="E95" t="str">
            <v>入聲</v>
          </cell>
          <cell r="F95" t="str">
            <v>oennh</v>
          </cell>
          <cell r="G95" t="str">
            <v>ũẽ?</v>
          </cell>
          <cell r="H95" t="str">
            <v>oehⁿ</v>
          </cell>
          <cell r="I95" t="str">
            <v>uennh</v>
          </cell>
          <cell r="J95" t="str">
            <v>nueh</v>
          </cell>
          <cell r="K95" t="str">
            <v>ㄨㆥㆷ</v>
          </cell>
        </row>
        <row r="96">
          <cell r="B96">
            <v>91</v>
          </cell>
          <cell r="C96">
            <v>46</v>
          </cell>
          <cell r="D96" t="str">
            <v>嘄</v>
          </cell>
          <cell r="E96" t="str">
            <v>舒聲</v>
          </cell>
          <cell r="F96" t="str">
            <v>iaunn</v>
          </cell>
          <cell r="G96" t="str">
            <v>ĩãũ</v>
          </cell>
          <cell r="H96" t="str">
            <v>iauⁿ</v>
          </cell>
          <cell r="I96" t="str">
            <v>iaunn</v>
          </cell>
          <cell r="J96" t="str">
            <v>niao</v>
          </cell>
          <cell r="K96" t="str">
            <v>ㄧㆯ</v>
          </cell>
        </row>
        <row r="97">
          <cell r="B97">
            <v>92</v>
          </cell>
          <cell r="C97">
            <v>46</v>
          </cell>
          <cell r="D97" t="str">
            <v>嘄</v>
          </cell>
          <cell r="E97" t="str">
            <v>入聲</v>
          </cell>
          <cell r="F97" t="str">
            <v>iauhnn</v>
          </cell>
          <cell r="G97" t="str">
            <v>ĩãũ?</v>
          </cell>
          <cell r="H97" t="str">
            <v>iauⁿh</v>
          </cell>
          <cell r="I97" t="str">
            <v>iaunnh</v>
          </cell>
          <cell r="J97" t="str">
            <v>niaoh</v>
          </cell>
          <cell r="K97" t="str">
            <v>ㄧㆯㆷ</v>
          </cell>
        </row>
        <row r="98">
          <cell r="B98">
            <v>93</v>
          </cell>
          <cell r="C98">
            <v>47</v>
          </cell>
          <cell r="D98" t="str">
            <v>箴</v>
          </cell>
          <cell r="E98" t="str">
            <v>舒聲</v>
          </cell>
          <cell r="F98" t="str">
            <v>om</v>
          </cell>
          <cell r="G98" t="str">
            <v>ɔm</v>
          </cell>
          <cell r="H98" t="str">
            <v>om</v>
          </cell>
          <cell r="I98" t="str">
            <v>om</v>
          </cell>
          <cell r="J98" t="str">
            <v>om</v>
          </cell>
          <cell r="K98" t="str">
            <v>ㆱ</v>
          </cell>
        </row>
        <row r="99">
          <cell r="B99">
            <v>94</v>
          </cell>
          <cell r="C99">
            <v>47</v>
          </cell>
          <cell r="D99" t="str">
            <v>箴</v>
          </cell>
          <cell r="E99" t="str">
            <v>入聲</v>
          </cell>
          <cell r="F99" t="str">
            <v>op</v>
          </cell>
          <cell r="G99" t="str">
            <v>ɔp̚</v>
          </cell>
          <cell r="H99" t="str">
            <v>op</v>
          </cell>
          <cell r="I99" t="str">
            <v>op</v>
          </cell>
          <cell r="J99" t="str">
            <v>op</v>
          </cell>
          <cell r="K99" t="str">
            <v>ㆦㆴ</v>
          </cell>
        </row>
        <row r="100">
          <cell r="B100">
            <v>95</v>
          </cell>
          <cell r="C100">
            <v>48</v>
          </cell>
          <cell r="D100" t="str">
            <v>爻</v>
          </cell>
          <cell r="E100" t="str">
            <v>舒聲</v>
          </cell>
          <cell r="F100" t="str">
            <v>aunn</v>
          </cell>
          <cell r="G100" t="str">
            <v>ãũ</v>
          </cell>
          <cell r="H100" t="str">
            <v>auⁿ</v>
          </cell>
          <cell r="I100" t="str">
            <v>aunn</v>
          </cell>
          <cell r="J100" t="str">
            <v>nao</v>
          </cell>
          <cell r="K100" t="str">
            <v>ㆯ</v>
          </cell>
        </row>
        <row r="101">
          <cell r="B101">
            <v>96</v>
          </cell>
          <cell r="C101">
            <v>48</v>
          </cell>
          <cell r="D101" t="str">
            <v>爻</v>
          </cell>
          <cell r="E101" t="str">
            <v>入聲</v>
          </cell>
          <cell r="F101" t="str">
            <v>aunnh</v>
          </cell>
          <cell r="G101" t="str">
            <v>ãũ?</v>
          </cell>
          <cell r="H101" t="str">
            <v>auhⁿ</v>
          </cell>
          <cell r="I101" t="str">
            <v>aunnh</v>
          </cell>
          <cell r="J101" t="str">
            <v>naoh</v>
          </cell>
          <cell r="K101" t="str">
            <v>ㆯㆷ</v>
          </cell>
        </row>
        <row r="102">
          <cell r="B102">
            <v>97</v>
          </cell>
          <cell r="C102">
            <v>49</v>
          </cell>
          <cell r="D102" t="str">
            <v>扛</v>
          </cell>
          <cell r="E102" t="str">
            <v>舒聲</v>
          </cell>
          <cell r="F102" t="str">
            <v>onn</v>
          </cell>
          <cell r="G102" t="str">
            <v>õ</v>
          </cell>
          <cell r="H102" t="str">
            <v>oⁿ</v>
          </cell>
          <cell r="I102" t="str">
            <v>onn</v>
          </cell>
          <cell r="J102" t="str">
            <v>no</v>
          </cell>
          <cell r="K102" t="str">
            <v>ㆧ</v>
          </cell>
        </row>
        <row r="103">
          <cell r="B103">
            <v>98</v>
          </cell>
          <cell r="C103">
            <v>49</v>
          </cell>
          <cell r="D103" t="str">
            <v>扛</v>
          </cell>
          <cell r="E103" t="str">
            <v>入聲</v>
          </cell>
          <cell r="F103" t="str">
            <v>ohnn</v>
          </cell>
          <cell r="G103" t="str">
            <v>õh</v>
          </cell>
          <cell r="H103" t="str">
            <v>ohⁿ</v>
          </cell>
          <cell r="I103" t="str">
            <v>onnh</v>
          </cell>
          <cell r="J103" t="str">
            <v>noh</v>
          </cell>
          <cell r="K103" t="str">
            <v>ㆧㆷ</v>
          </cell>
        </row>
        <row r="104">
          <cell r="B104">
            <v>99</v>
          </cell>
          <cell r="C104">
            <v>50</v>
          </cell>
          <cell r="D104" t="str">
            <v>牛</v>
          </cell>
          <cell r="E104" t="str">
            <v>舒聲</v>
          </cell>
          <cell r="F104" t="str">
            <v>iunn</v>
          </cell>
          <cell r="G104" t="str">
            <v>ĩũ</v>
          </cell>
          <cell r="H104" t="str">
            <v>iuⁿ</v>
          </cell>
          <cell r="I104" t="str">
            <v>iunn</v>
          </cell>
          <cell r="J104" t="str">
            <v>niu</v>
          </cell>
          <cell r="K104" t="str">
            <v>ㄧㆫ</v>
          </cell>
        </row>
        <row r="105">
          <cell r="B105">
            <v>100</v>
          </cell>
          <cell r="C105">
            <v>50</v>
          </cell>
          <cell r="D105" t="str">
            <v>牛</v>
          </cell>
          <cell r="E105" t="str">
            <v>入聲</v>
          </cell>
          <cell r="F105" t="str">
            <v>iunnh</v>
          </cell>
          <cell r="G105" t="str">
            <v>iũh</v>
          </cell>
          <cell r="H105" t="str">
            <v>iuhⁿ</v>
          </cell>
          <cell r="I105" t="str">
            <v>iunnh</v>
          </cell>
          <cell r="J105" t="str">
            <v>niuh</v>
          </cell>
          <cell r="K105" t="str">
            <v>ㄧㆫㆷ</v>
          </cell>
        </row>
      </sheetData>
      <sheetData sheetId="17">
        <row r="5">
          <cell r="B5">
            <v>1</v>
          </cell>
          <cell r="C5" t="str">
            <v>君</v>
          </cell>
          <cell r="D5" t="str">
            <v>un</v>
          </cell>
          <cell r="E5" t="str">
            <v>ut</v>
          </cell>
          <cell r="F5" t="str">
            <v>un</v>
          </cell>
          <cell r="G5" t="str">
            <v>ut̚</v>
          </cell>
          <cell r="H5" t="str">
            <v>un</v>
          </cell>
          <cell r="I5" t="str">
            <v>ut</v>
          </cell>
          <cell r="J5" t="str">
            <v>un</v>
          </cell>
          <cell r="K5" t="str">
            <v>ut</v>
          </cell>
          <cell r="L5" t="str">
            <v>un</v>
          </cell>
          <cell r="M5" t="str">
            <v>ut</v>
          </cell>
          <cell r="N5" t="str">
            <v>ㄨㄣ</v>
          </cell>
          <cell r="O5" t="str">
            <v>ㄨㆵ</v>
          </cell>
          <cell r="P5" t="str">
            <v>wun</v>
          </cell>
          <cell r="Q5" t="str">
            <v>wut</v>
          </cell>
        </row>
        <row r="6">
          <cell r="B6">
            <v>2</v>
          </cell>
          <cell r="C6" t="str">
            <v>堅</v>
          </cell>
          <cell r="D6" t="str">
            <v>ian</v>
          </cell>
          <cell r="E6" t="str">
            <v>iat</v>
          </cell>
          <cell r="F6" t="str">
            <v>ian</v>
          </cell>
          <cell r="G6" t="str">
            <v>iat̚</v>
          </cell>
          <cell r="H6" t="str">
            <v>ian</v>
          </cell>
          <cell r="I6" t="str">
            <v>iat</v>
          </cell>
          <cell r="J6" t="str">
            <v>ian</v>
          </cell>
          <cell r="K6" t="str">
            <v>iat</v>
          </cell>
          <cell r="L6" t="str">
            <v>ian</v>
          </cell>
          <cell r="M6" t="str">
            <v>iat</v>
          </cell>
          <cell r="N6" t="str">
            <v>ㄧㄢ</v>
          </cell>
          <cell r="O6" t="str">
            <v>ㄧㄚㆵ</v>
          </cell>
          <cell r="P6" t="str">
            <v>ëen</v>
          </cell>
          <cell r="Q6" t="str">
            <v>ëet</v>
          </cell>
        </row>
        <row r="7">
          <cell r="B7">
            <v>3</v>
          </cell>
          <cell r="C7" t="str">
            <v>金</v>
          </cell>
          <cell r="D7" t="str">
            <v>im</v>
          </cell>
          <cell r="E7" t="str">
            <v>ip</v>
          </cell>
          <cell r="F7" t="str">
            <v>im</v>
          </cell>
          <cell r="G7" t="str">
            <v>ip̚</v>
          </cell>
          <cell r="H7" t="str">
            <v>im</v>
          </cell>
          <cell r="I7" t="str">
            <v>ip</v>
          </cell>
          <cell r="J7" t="str">
            <v>im</v>
          </cell>
          <cell r="K7" t="str">
            <v>ip</v>
          </cell>
          <cell r="L7" t="str">
            <v>im</v>
          </cell>
          <cell r="M7" t="str">
            <v>ip</v>
          </cell>
          <cell r="N7" t="str">
            <v>ㄧㆬ</v>
          </cell>
          <cell r="O7" t="str">
            <v>ㄧㆴ</v>
          </cell>
          <cell r="P7" t="str">
            <v>im</v>
          </cell>
          <cell r="Q7" t="str">
            <v>ip</v>
          </cell>
        </row>
        <row r="8">
          <cell r="B8">
            <v>4</v>
          </cell>
          <cell r="C8" t="str">
            <v>規</v>
          </cell>
          <cell r="D8" t="str">
            <v>ui</v>
          </cell>
          <cell r="E8" t="str">
            <v>uih</v>
          </cell>
          <cell r="F8" t="str">
            <v>ui</v>
          </cell>
          <cell r="G8" t="str">
            <v>ui?</v>
          </cell>
          <cell r="H8" t="str">
            <v>ui</v>
          </cell>
          <cell r="I8" t="str">
            <v>uih</v>
          </cell>
          <cell r="J8" t="str">
            <v>ui</v>
          </cell>
          <cell r="K8" t="str">
            <v>uih</v>
          </cell>
          <cell r="L8" t="str">
            <v>ui</v>
          </cell>
          <cell r="M8" t="str">
            <v>uih</v>
          </cell>
          <cell r="N8" t="str">
            <v>ㄨㄧ</v>
          </cell>
          <cell r="O8" t="str">
            <v>ㄨㄧㆷ</v>
          </cell>
          <cell r="P8" t="str">
            <v>wuy</v>
          </cell>
        </row>
        <row r="9">
          <cell r="B9">
            <v>5</v>
          </cell>
          <cell r="C9" t="str">
            <v>嘉</v>
          </cell>
          <cell r="D9" t="str">
            <v>ee</v>
          </cell>
          <cell r="E9" t="str">
            <v>eeh</v>
          </cell>
          <cell r="F9" t="str">
            <v>ɛ</v>
          </cell>
          <cell r="G9" t="str">
            <v>ɛ?</v>
          </cell>
          <cell r="H9" t="str">
            <v>ee</v>
          </cell>
          <cell r="I9" t="str">
            <v>eeh</v>
          </cell>
          <cell r="J9" t="str">
            <v>ee</v>
          </cell>
          <cell r="K9" t="str">
            <v>eh</v>
          </cell>
          <cell r="L9" t="str">
            <v>e</v>
          </cell>
          <cell r="M9" t="str">
            <v>eh</v>
          </cell>
          <cell r="N9" t="str">
            <v>ㄝ</v>
          </cell>
          <cell r="O9" t="str">
            <v>ㄝㆷ</v>
          </cell>
          <cell r="P9" t="str">
            <v>ay</v>
          </cell>
          <cell r="Q9" t="str">
            <v>ăyh</v>
          </cell>
          <cell r="R9" t="str">
            <v>彙音【嘉】韻母為：e</v>
          </cell>
        </row>
        <row r="10">
          <cell r="B10">
            <v>6</v>
          </cell>
          <cell r="C10" t="str">
            <v>干</v>
          </cell>
          <cell r="D10" t="str">
            <v>an</v>
          </cell>
          <cell r="E10" t="str">
            <v>at</v>
          </cell>
          <cell r="F10" t="str">
            <v>an</v>
          </cell>
          <cell r="G10" t="str">
            <v>at̚</v>
          </cell>
          <cell r="H10" t="str">
            <v>an</v>
          </cell>
          <cell r="I10" t="str">
            <v>at</v>
          </cell>
          <cell r="J10" t="str">
            <v>an</v>
          </cell>
          <cell r="K10" t="str">
            <v>ap</v>
          </cell>
          <cell r="L10" t="str">
            <v>an</v>
          </cell>
          <cell r="M10" t="str">
            <v>at</v>
          </cell>
          <cell r="N10" t="str">
            <v>ㄢ</v>
          </cell>
          <cell r="O10" t="str">
            <v>ㄚㆵ</v>
          </cell>
          <cell r="P10" t="str">
            <v>an</v>
          </cell>
          <cell r="Q10" t="str">
            <v>at</v>
          </cell>
        </row>
        <row r="11">
          <cell r="B11">
            <v>7</v>
          </cell>
          <cell r="C11" t="str">
            <v>公</v>
          </cell>
          <cell r="D11" t="str">
            <v>ong</v>
          </cell>
          <cell r="E11" t="str">
            <v>ok</v>
          </cell>
          <cell r="F11" t="str">
            <v>ɔŋ</v>
          </cell>
          <cell r="G11" t="str">
            <v>ɔk̚</v>
          </cell>
          <cell r="H11" t="str">
            <v>ong</v>
          </cell>
          <cell r="I11" t="str">
            <v>ok</v>
          </cell>
          <cell r="J11" t="str">
            <v>ong</v>
          </cell>
          <cell r="K11" t="str">
            <v>ok</v>
          </cell>
          <cell r="L11" t="str">
            <v>ong</v>
          </cell>
          <cell r="M11" t="str">
            <v>ok</v>
          </cell>
          <cell r="N11" t="str">
            <v>ㆲ</v>
          </cell>
          <cell r="O11" t="str">
            <v>ㆦㆻ</v>
          </cell>
          <cell r="P11" t="str">
            <v>ong</v>
          </cell>
          <cell r="Q11" t="str">
            <v>ok</v>
          </cell>
        </row>
        <row r="12">
          <cell r="B12">
            <v>8</v>
          </cell>
          <cell r="C12" t="str">
            <v>乖</v>
          </cell>
          <cell r="D12" t="str">
            <v>oai</v>
          </cell>
          <cell r="E12" t="str">
            <v>oaih</v>
          </cell>
          <cell r="F12" t="str">
            <v>uai</v>
          </cell>
          <cell r="G12" t="str">
            <v>uai?</v>
          </cell>
          <cell r="H12" t="str">
            <v>oai</v>
          </cell>
          <cell r="I12" t="str">
            <v>oaih</v>
          </cell>
          <cell r="J12" t="str">
            <v>uai</v>
          </cell>
          <cell r="K12" t="str">
            <v>uaih</v>
          </cell>
          <cell r="L12" t="str">
            <v>uai</v>
          </cell>
          <cell r="M12" t="str">
            <v>uaih</v>
          </cell>
          <cell r="N12" t="str">
            <v>ㄨㄞ</v>
          </cell>
          <cell r="O12" t="str">
            <v>ㄨㄞㆷ</v>
          </cell>
          <cell r="P12" t="str">
            <v>wae</v>
          </cell>
          <cell r="Q12" t="str">
            <v>waĕh</v>
          </cell>
        </row>
        <row r="13">
          <cell r="B13">
            <v>9</v>
          </cell>
          <cell r="C13" t="str">
            <v>經</v>
          </cell>
          <cell r="D13" t="str">
            <v>eng</v>
          </cell>
          <cell r="E13" t="str">
            <v>ek</v>
          </cell>
          <cell r="F13" t="str">
            <v>ɪŋ</v>
          </cell>
          <cell r="G13" t="str">
            <v>ik̚</v>
          </cell>
          <cell r="H13" t="str">
            <v>eng</v>
          </cell>
          <cell r="I13" t="str">
            <v>ek</v>
          </cell>
          <cell r="J13" t="str">
            <v>ing</v>
          </cell>
          <cell r="K13" t="str">
            <v>ik</v>
          </cell>
          <cell r="L13" t="str">
            <v>ing</v>
          </cell>
          <cell r="M13" t="str">
            <v>ik</v>
          </cell>
          <cell r="N13" t="str">
            <v>ㄧㄥ</v>
          </cell>
          <cell r="O13" t="str">
            <v>ㄧㆻ</v>
          </cell>
          <cell r="P13" t="str">
            <v>eng</v>
          </cell>
          <cell r="Q13" t="str">
            <v>ek</v>
          </cell>
        </row>
        <row r="14">
          <cell r="B14">
            <v>10</v>
          </cell>
          <cell r="C14" t="str">
            <v>觀</v>
          </cell>
          <cell r="D14" t="str">
            <v>oan</v>
          </cell>
          <cell r="E14" t="str">
            <v>oat</v>
          </cell>
          <cell r="F14" t="str">
            <v>uan</v>
          </cell>
          <cell r="G14" t="str">
            <v>uat̚</v>
          </cell>
          <cell r="H14" t="str">
            <v>oan</v>
          </cell>
          <cell r="I14" t="str">
            <v>oat</v>
          </cell>
          <cell r="J14" t="str">
            <v>uan</v>
          </cell>
          <cell r="K14" t="str">
            <v>uat</v>
          </cell>
          <cell r="L14" t="str">
            <v>uan</v>
          </cell>
          <cell r="M14" t="str">
            <v>uat</v>
          </cell>
          <cell r="N14" t="str">
            <v>ㄨㄢ</v>
          </cell>
          <cell r="O14" t="str">
            <v>ㄨㄚㆵ</v>
          </cell>
          <cell r="P14" t="str">
            <v>wan</v>
          </cell>
          <cell r="Q14" t="str">
            <v>wat</v>
          </cell>
        </row>
        <row r="15">
          <cell r="B15">
            <v>11</v>
          </cell>
          <cell r="C15" t="str">
            <v>沽</v>
          </cell>
          <cell r="D15" t="str">
            <v>oo</v>
          </cell>
          <cell r="E15" t="str">
            <v>ooh</v>
          </cell>
          <cell r="F15" t="str">
            <v>ɔ</v>
          </cell>
          <cell r="G15" t="str">
            <v>ɔu?</v>
          </cell>
          <cell r="H15" t="str">
            <v>o͘</v>
          </cell>
          <cell r="I15" t="str">
            <v>o͘h</v>
          </cell>
          <cell r="J15" t="str">
            <v>oo</v>
          </cell>
          <cell r="K15" t="str">
            <v>ooh</v>
          </cell>
          <cell r="L15" t="str">
            <v>oo</v>
          </cell>
          <cell r="M15" t="str">
            <v>ooh</v>
          </cell>
          <cell r="N15" t="str">
            <v>ㆦ</v>
          </cell>
          <cell r="O15" t="str">
            <v>ㆦㆷ</v>
          </cell>
          <cell r="P15" t="str">
            <v>oe</v>
          </cell>
          <cell r="R15" t="str">
            <v>白話字的/ɔ/ [o͘] 有時寫成[ou]，因為[o͘]右上角的那點不易見。台羅 oo = ou</v>
          </cell>
        </row>
        <row r="16">
          <cell r="B16">
            <v>12</v>
          </cell>
          <cell r="C16" t="str">
            <v>嬌</v>
          </cell>
          <cell r="D16" t="str">
            <v>iau</v>
          </cell>
          <cell r="E16" t="str">
            <v>iauh</v>
          </cell>
          <cell r="F16" t="str">
            <v>iaʊ</v>
          </cell>
          <cell r="G16" t="str">
            <v>iau?</v>
          </cell>
          <cell r="H16" t="str">
            <v>iau</v>
          </cell>
          <cell r="I16" t="str">
            <v>iauh</v>
          </cell>
          <cell r="J16" t="str">
            <v>iau</v>
          </cell>
          <cell r="K16" t="str">
            <v>iauh</v>
          </cell>
          <cell r="L16" t="str">
            <v>iao</v>
          </cell>
          <cell r="M16" t="str">
            <v>iaoh</v>
          </cell>
          <cell r="N16" t="str">
            <v>ㄧㄠ</v>
          </cell>
          <cell r="O16" t="str">
            <v>ㄧㄠㆷ</v>
          </cell>
          <cell r="P16" t="str">
            <v>eaou</v>
          </cell>
          <cell r="Q16" t="str">
            <v>eaoŭh</v>
          </cell>
        </row>
        <row r="17">
          <cell r="B17">
            <v>13</v>
          </cell>
          <cell r="C17" t="str">
            <v>稽</v>
          </cell>
          <cell r="D17" t="str">
            <v>ei</v>
          </cell>
          <cell r="E17" t="str">
            <v>eih</v>
          </cell>
          <cell r="F17" t="str">
            <v>ei</v>
          </cell>
          <cell r="G17" t="str">
            <v>ei?</v>
          </cell>
          <cell r="H17" t="str">
            <v>ei</v>
          </cell>
          <cell r="I17" t="str">
            <v>eih</v>
          </cell>
          <cell r="J17" t="str">
            <v>e</v>
          </cell>
          <cell r="K17" t="str">
            <v>eh</v>
          </cell>
          <cell r="L17" t="str">
            <v>e</v>
          </cell>
          <cell r="M17" t="str">
            <v>eh</v>
          </cell>
          <cell r="N17" t="str">
            <v>ㄟ</v>
          </cell>
          <cell r="O17" t="str">
            <v>ㄟㆷ</v>
          </cell>
          <cell r="P17" t="str">
            <v>ey</v>
          </cell>
          <cell r="R17" t="str">
            <v>啼：【雅俗通】Thei2 (他稽下平）；【台羅】The5</v>
          </cell>
        </row>
        <row r="18">
          <cell r="B18">
            <v>14</v>
          </cell>
          <cell r="C18" t="str">
            <v>恭</v>
          </cell>
          <cell r="D18" t="str">
            <v>iong</v>
          </cell>
          <cell r="E18" t="str">
            <v>iok</v>
          </cell>
          <cell r="F18" t="str">
            <v>iɔŋ</v>
          </cell>
          <cell r="G18" t="str">
            <v>iɔk̚</v>
          </cell>
          <cell r="H18" t="str">
            <v>iong</v>
          </cell>
          <cell r="I18" t="str">
            <v>iok</v>
          </cell>
          <cell r="J18" t="str">
            <v>iong</v>
          </cell>
          <cell r="K18" t="str">
            <v>iok</v>
          </cell>
          <cell r="L18" t="str">
            <v>iong</v>
          </cell>
          <cell r="M18" t="str">
            <v>iok</v>
          </cell>
          <cell r="N18" t="str">
            <v>ㄧㆲ</v>
          </cell>
          <cell r="O18" t="str">
            <v>ㄧㆦㆻ</v>
          </cell>
          <cell r="P18" t="str">
            <v>ëung</v>
          </cell>
          <cell r="Q18" t="str">
            <v>ëuk</v>
          </cell>
        </row>
        <row r="19">
          <cell r="B19">
            <v>15</v>
          </cell>
          <cell r="C19" t="str">
            <v>高</v>
          </cell>
          <cell r="D19" t="str">
            <v>o</v>
          </cell>
          <cell r="E19" t="str">
            <v>oh</v>
          </cell>
          <cell r="F19" t="str">
            <v>o</v>
          </cell>
          <cell r="G19" t="str">
            <v>ə?</v>
          </cell>
          <cell r="H19" t="str">
            <v>o</v>
          </cell>
          <cell r="I19" t="str">
            <v>oh</v>
          </cell>
          <cell r="J19" t="str">
            <v>o</v>
          </cell>
          <cell r="K19" t="str">
            <v>oh</v>
          </cell>
          <cell r="L19" t="str">
            <v>o</v>
          </cell>
          <cell r="M19" t="str">
            <v>oh</v>
          </cell>
          <cell r="N19" t="str">
            <v>ㄜ</v>
          </cell>
          <cell r="O19" t="str">
            <v>ㄜㆷ</v>
          </cell>
          <cell r="P19" t="str">
            <v>o</v>
          </cell>
          <cell r="Q19" t="str">
            <v>ŏh</v>
          </cell>
        </row>
        <row r="20">
          <cell r="B20">
            <v>16</v>
          </cell>
          <cell r="C20" t="str">
            <v>皆</v>
          </cell>
          <cell r="D20" t="str">
            <v>ai</v>
          </cell>
          <cell r="E20" t="str">
            <v>aih</v>
          </cell>
          <cell r="F20" t="str">
            <v>ai</v>
          </cell>
          <cell r="G20" t="str">
            <v>ai?</v>
          </cell>
          <cell r="H20" t="str">
            <v>ai</v>
          </cell>
          <cell r="I20" t="str">
            <v>aih</v>
          </cell>
          <cell r="J20" t="str">
            <v>ai</v>
          </cell>
          <cell r="K20" t="str">
            <v>aih</v>
          </cell>
          <cell r="L20" t="str">
            <v>ai</v>
          </cell>
          <cell r="M20" t="str">
            <v>aih</v>
          </cell>
          <cell r="N20" t="str">
            <v>ㄞ</v>
          </cell>
          <cell r="O20" t="str">
            <v>ㄞㆷ</v>
          </cell>
          <cell r="P20" t="str">
            <v>ae</v>
          </cell>
        </row>
        <row r="21">
          <cell r="B21">
            <v>17</v>
          </cell>
          <cell r="C21" t="str">
            <v>巾</v>
          </cell>
          <cell r="D21" t="str">
            <v>in</v>
          </cell>
          <cell r="E21" t="str">
            <v>it</v>
          </cell>
          <cell r="F21" t="str">
            <v>in</v>
          </cell>
          <cell r="G21" t="str">
            <v>it̚</v>
          </cell>
          <cell r="H21" t="str">
            <v>in</v>
          </cell>
          <cell r="I21" t="str">
            <v>it</v>
          </cell>
          <cell r="J21" t="str">
            <v>in</v>
          </cell>
          <cell r="K21" t="str">
            <v>it</v>
          </cell>
          <cell r="L21" t="str">
            <v>in</v>
          </cell>
          <cell r="M21" t="str">
            <v>it</v>
          </cell>
          <cell r="N21" t="str">
            <v>ㄧㄣ</v>
          </cell>
          <cell r="O21" t="str">
            <v>ㄧㆵ</v>
          </cell>
          <cell r="P21" t="str">
            <v>in</v>
          </cell>
          <cell r="Q21" t="str">
            <v>it</v>
          </cell>
        </row>
        <row r="22">
          <cell r="B22">
            <v>18</v>
          </cell>
          <cell r="C22" t="str">
            <v>姜</v>
          </cell>
          <cell r="D22" t="str">
            <v>iang</v>
          </cell>
          <cell r="E22" t="str">
            <v>iak</v>
          </cell>
          <cell r="F22" t="str">
            <v>iaŋ</v>
          </cell>
          <cell r="G22" t="str">
            <v>iak̚</v>
          </cell>
          <cell r="H22" t="str">
            <v>iang</v>
          </cell>
          <cell r="I22" t="str">
            <v>iak</v>
          </cell>
          <cell r="J22" t="str">
            <v>iang</v>
          </cell>
          <cell r="K22" t="str">
            <v>iak</v>
          </cell>
          <cell r="L22" t="str">
            <v>iang</v>
          </cell>
          <cell r="M22" t="str">
            <v>iak</v>
          </cell>
          <cell r="N22" t="str">
            <v>ㄧㄤ</v>
          </cell>
          <cell r="O22" t="str">
            <v>ㄧㄚㆻ</v>
          </cell>
          <cell r="P22" t="str">
            <v>ëang</v>
          </cell>
          <cell r="Q22" t="str">
            <v>ëak</v>
          </cell>
        </row>
        <row r="23">
          <cell r="B23">
            <v>19</v>
          </cell>
          <cell r="C23" t="str">
            <v>甘</v>
          </cell>
          <cell r="D23" t="str">
            <v>am</v>
          </cell>
          <cell r="E23" t="str">
            <v>ap</v>
          </cell>
          <cell r="F23" t="str">
            <v>am</v>
          </cell>
          <cell r="G23" t="str">
            <v>ap̚</v>
          </cell>
          <cell r="H23" t="str">
            <v>am</v>
          </cell>
          <cell r="I23" t="str">
            <v>ap</v>
          </cell>
          <cell r="J23" t="str">
            <v>am</v>
          </cell>
          <cell r="K23" t="str">
            <v>ap</v>
          </cell>
          <cell r="L23" t="str">
            <v>am</v>
          </cell>
          <cell r="M23" t="str">
            <v>ap</v>
          </cell>
          <cell r="N23" t="str">
            <v>ㆰ</v>
          </cell>
          <cell r="O23" t="str">
            <v>ㄚㆴ</v>
          </cell>
          <cell r="P23" t="str">
            <v>am</v>
          </cell>
          <cell r="Q23" t="str">
            <v>ap</v>
          </cell>
        </row>
        <row r="24">
          <cell r="B24">
            <v>20</v>
          </cell>
          <cell r="C24" t="str">
            <v>瓜</v>
          </cell>
          <cell r="D24" t="str">
            <v>oa</v>
          </cell>
          <cell r="E24" t="str">
            <v>oah</v>
          </cell>
          <cell r="F24" t="str">
            <v>ua</v>
          </cell>
          <cell r="G24" t="str">
            <v>ua?</v>
          </cell>
          <cell r="H24" t="str">
            <v>oa</v>
          </cell>
          <cell r="I24" t="str">
            <v>oah</v>
          </cell>
          <cell r="J24" t="str">
            <v>ua</v>
          </cell>
          <cell r="K24" t="str">
            <v>uah</v>
          </cell>
          <cell r="L24" t="str">
            <v>ua</v>
          </cell>
          <cell r="M24" t="str">
            <v>uah</v>
          </cell>
          <cell r="N24" t="str">
            <v>ㄨㄚ</v>
          </cell>
          <cell r="O24" t="str">
            <v>ㄨㄚㆷ</v>
          </cell>
          <cell r="P24" t="str">
            <v>wa</v>
          </cell>
          <cell r="Q24" t="str">
            <v>wăh</v>
          </cell>
        </row>
        <row r="25">
          <cell r="B25">
            <v>21</v>
          </cell>
          <cell r="C25" t="str">
            <v>江</v>
          </cell>
          <cell r="D25" t="str">
            <v>ang</v>
          </cell>
          <cell r="E25" t="str">
            <v>ak</v>
          </cell>
          <cell r="F25" t="str">
            <v>aŋ</v>
          </cell>
          <cell r="G25" t="str">
            <v>ak̚</v>
          </cell>
          <cell r="H25" t="str">
            <v>ang</v>
          </cell>
          <cell r="I25" t="str">
            <v>ak</v>
          </cell>
          <cell r="J25" t="str">
            <v>ang</v>
          </cell>
          <cell r="K25" t="str">
            <v>ak</v>
          </cell>
          <cell r="L25" t="str">
            <v>ang</v>
          </cell>
          <cell r="M25" t="str">
            <v>ak</v>
          </cell>
          <cell r="N25" t="str">
            <v>ㄤ</v>
          </cell>
          <cell r="O25" t="str">
            <v>ㄚㆻ</v>
          </cell>
          <cell r="P25" t="str">
            <v>ang</v>
          </cell>
          <cell r="Q25" t="str">
            <v>ak</v>
          </cell>
        </row>
        <row r="26">
          <cell r="B26">
            <v>22</v>
          </cell>
          <cell r="C26" t="str">
            <v>兼</v>
          </cell>
          <cell r="D26" t="str">
            <v>iam</v>
          </cell>
          <cell r="E26" t="str">
            <v>iap</v>
          </cell>
          <cell r="F26" t="str">
            <v>iam</v>
          </cell>
          <cell r="G26" t="str">
            <v>iap̚</v>
          </cell>
          <cell r="H26" t="str">
            <v>iam</v>
          </cell>
          <cell r="I26" t="str">
            <v>iap</v>
          </cell>
          <cell r="J26" t="str">
            <v>iam</v>
          </cell>
          <cell r="K26" t="str">
            <v>iap</v>
          </cell>
          <cell r="L26" t="str">
            <v>iam</v>
          </cell>
          <cell r="M26" t="str">
            <v>iap</v>
          </cell>
          <cell r="N26" t="str">
            <v>ㄧㆰ</v>
          </cell>
          <cell r="O26" t="str">
            <v>ㄧㄚㆴ</v>
          </cell>
          <cell r="P26" t="str">
            <v>ëem</v>
          </cell>
          <cell r="Q26" t="str">
            <v>ëep</v>
          </cell>
        </row>
        <row r="27">
          <cell r="B27">
            <v>23</v>
          </cell>
          <cell r="C27" t="str">
            <v>交</v>
          </cell>
          <cell r="D27" t="str">
            <v>au</v>
          </cell>
          <cell r="E27" t="str">
            <v>auh</v>
          </cell>
          <cell r="F27" t="str">
            <v>aʊ</v>
          </cell>
          <cell r="G27" t="str">
            <v>au?</v>
          </cell>
          <cell r="H27" t="str">
            <v>au</v>
          </cell>
          <cell r="I27" t="str">
            <v>auh</v>
          </cell>
          <cell r="J27" t="str">
            <v>au</v>
          </cell>
          <cell r="K27" t="str">
            <v>auh</v>
          </cell>
          <cell r="L27" t="str">
            <v>ao</v>
          </cell>
          <cell r="M27" t="str">
            <v>aoh</v>
          </cell>
          <cell r="N27" t="str">
            <v>ㄠ</v>
          </cell>
          <cell r="O27" t="str">
            <v>ㄠㆷ</v>
          </cell>
          <cell r="P27" t="str">
            <v>aou</v>
          </cell>
          <cell r="Q27" t="str">
            <v>aoŭh</v>
          </cell>
          <cell r="R27" t="str">
            <v>aʊ</v>
          </cell>
        </row>
        <row r="28">
          <cell r="B28">
            <v>24</v>
          </cell>
          <cell r="C28" t="str">
            <v>迦</v>
          </cell>
          <cell r="D28" t="str">
            <v>ia</v>
          </cell>
          <cell r="E28" t="str">
            <v>iah</v>
          </cell>
          <cell r="F28" t="str">
            <v>ia</v>
          </cell>
          <cell r="G28" t="str">
            <v>ia?</v>
          </cell>
          <cell r="H28" t="str">
            <v>ia</v>
          </cell>
          <cell r="I28" t="str">
            <v>iah</v>
          </cell>
          <cell r="J28" t="str">
            <v>ia</v>
          </cell>
          <cell r="K28" t="str">
            <v>iah</v>
          </cell>
          <cell r="L28" t="str">
            <v>ia</v>
          </cell>
          <cell r="M28" t="str">
            <v>iah</v>
          </cell>
          <cell r="N28" t="str">
            <v>ㄧㄚ</v>
          </cell>
          <cell r="O28" t="str">
            <v>ㄧㄚㆷ</v>
          </cell>
          <cell r="P28" t="str">
            <v>ëa</v>
          </cell>
          <cell r="Q28" t="str">
            <v>ëăh</v>
          </cell>
          <cell r="R28" t="str">
            <v>【若】：梵文譯音用字，僅限翻念外來語特殊用法。例：般若波羅密多。</v>
          </cell>
        </row>
        <row r="29">
          <cell r="B29">
            <v>25</v>
          </cell>
          <cell r="C29" t="str">
            <v>檜</v>
          </cell>
          <cell r="D29" t="str">
            <v>oe</v>
          </cell>
          <cell r="E29" t="str">
            <v>oeh</v>
          </cell>
          <cell r="F29" t="str">
            <v>ue</v>
          </cell>
          <cell r="G29" t="str">
            <v>ue?</v>
          </cell>
          <cell r="H29" t="str">
            <v>oe</v>
          </cell>
          <cell r="I29" t="str">
            <v>oeh</v>
          </cell>
          <cell r="J29" t="str">
            <v>ue</v>
          </cell>
          <cell r="K29" t="str">
            <v>ueh</v>
          </cell>
          <cell r="L29" t="str">
            <v>ue</v>
          </cell>
          <cell r="M29" t="str">
            <v>ueh</v>
          </cell>
          <cell r="N29" t="str">
            <v>ㄨㆤ</v>
          </cell>
          <cell r="O29" t="str">
            <v>ㄨㆤㆷ</v>
          </cell>
          <cell r="P29" t="str">
            <v>öey</v>
          </cell>
          <cell r="Q29" t="str">
            <v>öĕyh</v>
          </cell>
        </row>
        <row r="30">
          <cell r="B30">
            <v>26</v>
          </cell>
          <cell r="C30" t="str">
            <v>監</v>
          </cell>
          <cell r="D30" t="str">
            <v>ann</v>
          </cell>
          <cell r="E30" t="str">
            <v>ahnn</v>
          </cell>
          <cell r="F30" t="str">
            <v>ã</v>
          </cell>
          <cell r="G30" t="str">
            <v>ã?</v>
          </cell>
          <cell r="H30" t="str">
            <v>aⁿ</v>
          </cell>
          <cell r="I30" t="str">
            <v>ahⁿ</v>
          </cell>
          <cell r="J30" t="str">
            <v>ann</v>
          </cell>
          <cell r="K30" t="str">
            <v>annh</v>
          </cell>
          <cell r="L30" t="str">
            <v>na</v>
          </cell>
          <cell r="M30" t="str">
            <v>nah</v>
          </cell>
          <cell r="N30" t="str">
            <v>ㆩ</v>
          </cell>
          <cell r="O30" t="str">
            <v>ㆩㆷ</v>
          </cell>
          <cell r="P30" t="str">
            <v>ⁿa</v>
          </cell>
          <cell r="Q30" t="str">
            <v>ⁿăh</v>
          </cell>
          <cell r="R30" t="str">
            <v>Lann = Na</v>
          </cell>
        </row>
        <row r="31">
          <cell r="B31">
            <v>27</v>
          </cell>
          <cell r="C31" t="str">
            <v>艍</v>
          </cell>
          <cell r="D31" t="str">
            <v>u</v>
          </cell>
          <cell r="E31" t="str">
            <v>uh</v>
          </cell>
          <cell r="F31" t="str">
            <v>u</v>
          </cell>
          <cell r="G31" t="str">
            <v>u?</v>
          </cell>
          <cell r="H31" t="str">
            <v>u</v>
          </cell>
          <cell r="I31" t="str">
            <v>uh</v>
          </cell>
          <cell r="J31" t="str">
            <v>u</v>
          </cell>
          <cell r="K31" t="str">
            <v>uh</v>
          </cell>
          <cell r="L31" t="str">
            <v>u</v>
          </cell>
          <cell r="M31" t="str">
            <v>uh</v>
          </cell>
          <cell r="N31" t="str">
            <v>ㄨ</v>
          </cell>
          <cell r="O31" t="str">
            <v>ㄨㆷ</v>
          </cell>
          <cell r="P31" t="str">
            <v>oo</v>
          </cell>
          <cell r="Q31" t="str">
            <v>oŏh</v>
          </cell>
          <cell r="R31" t="str">
            <v>海腔</v>
          </cell>
        </row>
        <row r="32">
          <cell r="B32">
            <v>28</v>
          </cell>
          <cell r="C32" t="str">
            <v>膠</v>
          </cell>
          <cell r="D32" t="str">
            <v>a</v>
          </cell>
          <cell r="E32" t="str">
            <v>ah</v>
          </cell>
          <cell r="F32" t="str">
            <v>a</v>
          </cell>
          <cell r="G32" t="str">
            <v>a?</v>
          </cell>
          <cell r="H32" t="str">
            <v>a</v>
          </cell>
          <cell r="I32" t="str">
            <v>ah</v>
          </cell>
          <cell r="J32" t="str">
            <v>a</v>
          </cell>
          <cell r="K32" t="str">
            <v>ah</v>
          </cell>
          <cell r="L32" t="str">
            <v>a</v>
          </cell>
          <cell r="M32" t="str">
            <v>ah</v>
          </cell>
          <cell r="N32" t="str">
            <v>ㄚ</v>
          </cell>
          <cell r="O32" t="str">
            <v>ㄚㆷ</v>
          </cell>
          <cell r="P32" t="str">
            <v>a</v>
          </cell>
          <cell r="Q32" t="str">
            <v>ăh</v>
          </cell>
        </row>
        <row r="33">
          <cell r="B33">
            <v>29</v>
          </cell>
          <cell r="C33" t="str">
            <v>居</v>
          </cell>
          <cell r="D33" t="str">
            <v>i</v>
          </cell>
          <cell r="E33" t="str">
            <v>ih</v>
          </cell>
          <cell r="F33" t="str">
            <v>i</v>
          </cell>
          <cell r="G33" t="str">
            <v>i?</v>
          </cell>
          <cell r="H33" t="str">
            <v>i</v>
          </cell>
          <cell r="I33" t="str">
            <v>ih</v>
          </cell>
          <cell r="J33" t="str">
            <v>i</v>
          </cell>
          <cell r="K33" t="str">
            <v>ih</v>
          </cell>
          <cell r="L33" t="str">
            <v>i</v>
          </cell>
          <cell r="M33" t="str">
            <v>ih</v>
          </cell>
          <cell r="N33" t="str">
            <v>ㄧ</v>
          </cell>
          <cell r="O33" t="str">
            <v>ㄧㆷ</v>
          </cell>
          <cell r="P33" t="str">
            <v>e</v>
          </cell>
          <cell r="Q33" t="str">
            <v>eĕh</v>
          </cell>
        </row>
        <row r="34">
          <cell r="B34">
            <v>30</v>
          </cell>
          <cell r="C34" t="str">
            <v>丩</v>
          </cell>
          <cell r="D34" t="str">
            <v>iu</v>
          </cell>
          <cell r="E34" t="str">
            <v>iuh</v>
          </cell>
          <cell r="F34" t="str">
            <v>iu</v>
          </cell>
          <cell r="G34" t="str">
            <v>iu?</v>
          </cell>
          <cell r="H34" t="str">
            <v>iu</v>
          </cell>
          <cell r="I34" t="str">
            <v>iuh</v>
          </cell>
          <cell r="J34" t="str">
            <v>iu</v>
          </cell>
          <cell r="K34" t="str">
            <v>iuh</v>
          </cell>
          <cell r="L34" t="str">
            <v>iu</v>
          </cell>
          <cell r="M34" t="str">
            <v>iuh</v>
          </cell>
          <cell r="N34" t="str">
            <v>ㄧㄨ</v>
          </cell>
          <cell r="O34" t="str">
            <v>ㄧㄨㆷ</v>
          </cell>
          <cell r="P34" t="str">
            <v>ew</v>
          </cell>
        </row>
        <row r="35">
          <cell r="B35">
            <v>31</v>
          </cell>
          <cell r="C35" t="str">
            <v>更</v>
          </cell>
          <cell r="D35" t="str">
            <v>enn</v>
          </cell>
          <cell r="E35" t="str">
            <v>ehnn</v>
          </cell>
          <cell r="F35" t="str">
            <v>ẽ</v>
          </cell>
          <cell r="G35" t="str">
            <v>ẽ?</v>
          </cell>
          <cell r="H35" t="str">
            <v>eⁿ</v>
          </cell>
          <cell r="I35" t="str">
            <v>ehⁿ</v>
          </cell>
          <cell r="J35" t="str">
            <v>enn</v>
          </cell>
          <cell r="K35" t="str">
            <v>ennh</v>
          </cell>
          <cell r="L35" t="str">
            <v>ne</v>
          </cell>
          <cell r="M35" t="str">
            <v>neh</v>
          </cell>
          <cell r="N35" t="str">
            <v>ㆥ</v>
          </cell>
          <cell r="O35" t="str">
            <v>ㆥㆷ</v>
          </cell>
          <cell r="P35" t="str">
            <v>aiⁿᶢ</v>
          </cell>
          <cell r="Q35" t="str">
            <v>aĭⁿᶢh</v>
          </cell>
          <cell r="R35" t="str">
            <v>箏</v>
          </cell>
        </row>
        <row r="36">
          <cell r="B36">
            <v>32</v>
          </cell>
          <cell r="C36" t="str">
            <v>褌</v>
          </cell>
          <cell r="D36" t="str">
            <v>uinn</v>
          </cell>
          <cell r="E36" t="str">
            <v>uinnh</v>
          </cell>
          <cell r="F36" t="str">
            <v>ũĩ</v>
          </cell>
          <cell r="G36" t="str">
            <v>ũĩ?</v>
          </cell>
          <cell r="H36" t="str">
            <v>uiⁿ</v>
          </cell>
          <cell r="I36" t="str">
            <v>uihⁿ</v>
          </cell>
          <cell r="J36" t="str">
            <v>uinn</v>
          </cell>
          <cell r="K36" t="str">
            <v>uinnh</v>
          </cell>
          <cell r="L36" t="str">
            <v>nui</v>
          </cell>
          <cell r="M36" t="str">
            <v>nuih</v>
          </cell>
          <cell r="N36" t="str">
            <v>ㄨㆪ</v>
          </cell>
          <cell r="O36" t="str">
            <v>ㄨㆪㆷ</v>
          </cell>
          <cell r="P36" t="str">
            <v>wuiⁿᶢ</v>
          </cell>
          <cell r="R36" t="str">
            <v>【彙音】褌：-ng</v>
          </cell>
        </row>
        <row r="37">
          <cell r="B37">
            <v>33</v>
          </cell>
          <cell r="C37" t="str">
            <v>茄</v>
          </cell>
          <cell r="D37" t="str">
            <v>io</v>
          </cell>
          <cell r="E37" t="str">
            <v>ioh</v>
          </cell>
          <cell r="F37" t="str">
            <v>io</v>
          </cell>
          <cell r="G37" t="str">
            <v>iə?</v>
          </cell>
          <cell r="H37" t="str">
            <v>io</v>
          </cell>
          <cell r="I37" t="str">
            <v>ioh</v>
          </cell>
          <cell r="J37" t="str">
            <v>io</v>
          </cell>
          <cell r="K37" t="str">
            <v>ioh</v>
          </cell>
          <cell r="L37" t="str">
            <v>io</v>
          </cell>
          <cell r="M37" t="str">
            <v>ioh</v>
          </cell>
          <cell r="N37" t="str">
            <v>ㄧㄜ</v>
          </cell>
          <cell r="O37" t="str">
            <v>ㄧㄜㆷ</v>
          </cell>
          <cell r="P37" t="str">
            <v>ëo</v>
          </cell>
          <cell r="Q37" t="str">
            <v>ëŏh</v>
          </cell>
        </row>
        <row r="38">
          <cell r="B38">
            <v>34</v>
          </cell>
          <cell r="C38" t="str">
            <v>梔</v>
          </cell>
          <cell r="D38" t="str">
            <v>inn</v>
          </cell>
          <cell r="E38" t="str">
            <v>ihnn</v>
          </cell>
          <cell r="F38" t="str">
            <v>ĩ</v>
          </cell>
          <cell r="G38" t="str">
            <v>ĩ?</v>
          </cell>
          <cell r="H38" t="str">
            <v>iⁿ</v>
          </cell>
          <cell r="I38" t="str">
            <v>iⁿh</v>
          </cell>
          <cell r="J38" t="str">
            <v>inn</v>
          </cell>
          <cell r="K38" t="str">
            <v>innh</v>
          </cell>
          <cell r="L38" t="str">
            <v>ni</v>
          </cell>
          <cell r="M38" t="str">
            <v>nih</v>
          </cell>
          <cell r="N38" t="str">
            <v>ㆪ</v>
          </cell>
          <cell r="O38" t="str">
            <v>ㆪ</v>
          </cell>
          <cell r="P38" t="str">
            <v>eeⁿᶢ</v>
          </cell>
          <cell r="Q38" t="str">
            <v>eĕⁿᶢh</v>
          </cell>
        </row>
        <row r="39">
          <cell r="B39">
            <v>35</v>
          </cell>
          <cell r="C39" t="str">
            <v>薑</v>
          </cell>
          <cell r="D39" t="str">
            <v>ionn</v>
          </cell>
          <cell r="E39" t="str">
            <v>ionnh</v>
          </cell>
          <cell r="F39" t="str">
            <v>ĩɔ̃</v>
          </cell>
          <cell r="G39" t="str">
            <v>ĩɔ̃?</v>
          </cell>
          <cell r="H39" t="str">
            <v>ioⁿ</v>
          </cell>
          <cell r="I39" t="str">
            <v>iohⁿ</v>
          </cell>
          <cell r="J39" t="str">
            <v>ionn</v>
          </cell>
          <cell r="K39" t="str">
            <v>ionnh</v>
          </cell>
          <cell r="L39" t="str">
            <v>nioo</v>
          </cell>
          <cell r="M39" t="str">
            <v>niooh</v>
          </cell>
          <cell r="N39" t="str">
            <v>ㄧㆧ</v>
          </cell>
          <cell r="O39" t="str">
            <v>ㄧㆧㆷ</v>
          </cell>
          <cell r="P39" t="str">
            <v>ëoⁿᶢ</v>
          </cell>
          <cell r="R39" t="str">
            <v>彙音的薑轉到牛</v>
          </cell>
        </row>
        <row r="40">
          <cell r="B40">
            <v>36</v>
          </cell>
          <cell r="C40" t="str">
            <v>驚</v>
          </cell>
          <cell r="D40" t="str">
            <v>iann</v>
          </cell>
          <cell r="E40" t="str">
            <v>iannh</v>
          </cell>
          <cell r="F40" t="str">
            <v>ĩã</v>
          </cell>
          <cell r="G40" t="str">
            <v>iãh</v>
          </cell>
          <cell r="H40" t="str">
            <v>iaⁿ</v>
          </cell>
          <cell r="I40" t="str">
            <v>iahⁿ</v>
          </cell>
          <cell r="J40" t="str">
            <v>iann</v>
          </cell>
          <cell r="K40" t="str">
            <v>iannh</v>
          </cell>
          <cell r="L40" t="str">
            <v>nia</v>
          </cell>
          <cell r="M40" t="str">
            <v>niah</v>
          </cell>
          <cell r="N40" t="str">
            <v>ㄧㆩ</v>
          </cell>
          <cell r="O40" t="str">
            <v>ㄧㆩㆷ</v>
          </cell>
          <cell r="P40" t="str">
            <v>ëⁿa</v>
          </cell>
          <cell r="R40" t="str">
            <v>娘： Liann5</v>
          </cell>
        </row>
        <row r="41">
          <cell r="B41">
            <v>37</v>
          </cell>
          <cell r="C41" t="str">
            <v>官</v>
          </cell>
          <cell r="D41" t="str">
            <v>oann</v>
          </cell>
          <cell r="E41" t="str">
            <v>oannh</v>
          </cell>
          <cell r="F41" t="str">
            <v>ũã</v>
          </cell>
          <cell r="G41" t="str">
            <v>ũã?</v>
          </cell>
          <cell r="H41" t="str">
            <v>oaⁿ</v>
          </cell>
          <cell r="I41" t="str">
            <v>oahⁿ</v>
          </cell>
          <cell r="J41" t="str">
            <v>uann</v>
          </cell>
          <cell r="K41" t="str">
            <v>uannh</v>
          </cell>
          <cell r="L41" t="str">
            <v>nua</v>
          </cell>
          <cell r="M41" t="str">
            <v>nuah</v>
          </cell>
          <cell r="N41" t="str">
            <v>ㄨㆩ</v>
          </cell>
          <cell r="O41" t="str">
            <v>ㄨㆩㆷ</v>
          </cell>
          <cell r="P41" t="str">
            <v>wⁿa</v>
          </cell>
        </row>
        <row r="42">
          <cell r="B42">
            <v>38</v>
          </cell>
          <cell r="C42" t="str">
            <v>鋼</v>
          </cell>
          <cell r="D42" t="str">
            <v>ng</v>
          </cell>
          <cell r="E42" t="str">
            <v>ngh</v>
          </cell>
          <cell r="F42" t="str">
            <v>ŋ̍</v>
          </cell>
          <cell r="G42" t="str">
            <v>ŋ̍h</v>
          </cell>
          <cell r="H42" t="str">
            <v>ng</v>
          </cell>
          <cell r="I42" t="str">
            <v>ngh</v>
          </cell>
          <cell r="J42" t="str">
            <v>ng</v>
          </cell>
          <cell r="K42" t="str">
            <v>ngh</v>
          </cell>
          <cell r="L42" t="str">
            <v>ng</v>
          </cell>
          <cell r="M42" t="str">
            <v>ngh</v>
          </cell>
          <cell r="N42" t="str">
            <v>ㆭ</v>
          </cell>
          <cell r="O42" t="str">
            <v>ㆭㆷ</v>
          </cell>
          <cell r="P42" t="str">
            <v>eⁿᶢ</v>
          </cell>
        </row>
        <row r="43">
          <cell r="B43">
            <v>39</v>
          </cell>
          <cell r="C43" t="str">
            <v>伽</v>
          </cell>
          <cell r="D43" t="str">
            <v>e</v>
          </cell>
          <cell r="E43" t="str">
            <v>eh</v>
          </cell>
          <cell r="F43" t="str">
            <v>e</v>
          </cell>
          <cell r="G43" t="str">
            <v>e?</v>
          </cell>
          <cell r="H43" t="str">
            <v>e</v>
          </cell>
          <cell r="I43" t="str">
            <v>eh</v>
          </cell>
          <cell r="J43" t="str">
            <v>e</v>
          </cell>
          <cell r="K43" t="str">
            <v>eh</v>
          </cell>
          <cell r="L43" t="str">
            <v>e</v>
          </cell>
          <cell r="M43" t="str">
            <v>eh</v>
          </cell>
          <cell r="N43" t="str">
            <v>ㆤ</v>
          </cell>
          <cell r="O43" t="str">
            <v>ㆤㆷ</v>
          </cell>
          <cell r="P43" t="str">
            <v>ay</v>
          </cell>
          <cell r="Q43" t="str">
            <v>ăyh</v>
          </cell>
        </row>
        <row r="44">
          <cell r="B44">
            <v>40</v>
          </cell>
          <cell r="C44" t="str">
            <v>閒</v>
          </cell>
          <cell r="D44" t="str">
            <v>ainn</v>
          </cell>
          <cell r="E44" t="str">
            <v>ainnh</v>
          </cell>
          <cell r="F44" t="str">
            <v>ãĩ</v>
          </cell>
          <cell r="G44" t="str">
            <v>ãĩ?</v>
          </cell>
          <cell r="H44" t="str">
            <v>aiⁿ</v>
          </cell>
          <cell r="I44" t="str">
            <v>aihⁿ</v>
          </cell>
          <cell r="J44" t="str">
            <v>ainn</v>
          </cell>
          <cell r="K44" t="str">
            <v>ainnh</v>
          </cell>
          <cell r="L44" t="str">
            <v>nai</v>
          </cell>
          <cell r="M44" t="str">
            <v>naih</v>
          </cell>
          <cell r="N44" t="str">
            <v>ㆮ</v>
          </cell>
          <cell r="O44" t="str">
            <v>ㆮㆷ</v>
          </cell>
          <cell r="P44" t="str">
            <v>aeⁿᶢ</v>
          </cell>
          <cell r="R44" t="str">
            <v>閒：Kainn1，為「同安」音；間：Kainn1</v>
          </cell>
        </row>
        <row r="45">
          <cell r="B45">
            <v>41</v>
          </cell>
          <cell r="C45" t="str">
            <v>姑</v>
          </cell>
          <cell r="D45" t="str">
            <v>onn</v>
          </cell>
          <cell r="E45" t="str">
            <v>onnh</v>
          </cell>
          <cell r="F45" t="str">
            <v>ɔ̃</v>
          </cell>
          <cell r="G45" t="str">
            <v>ɔ̃?</v>
          </cell>
          <cell r="H45" t="str">
            <v>oⁿ</v>
          </cell>
          <cell r="I45" t="str">
            <v>ohⁿ</v>
          </cell>
          <cell r="J45" t="str">
            <v>onn</v>
          </cell>
          <cell r="K45" t="str">
            <v>onnh</v>
          </cell>
          <cell r="L45" t="str">
            <v>noo</v>
          </cell>
          <cell r="M45" t="str">
            <v>nooh</v>
          </cell>
          <cell r="N45" t="str">
            <v>ㆧ</v>
          </cell>
          <cell r="O45" t="str">
            <v>ㆧㆷ</v>
          </cell>
          <cell r="P45" t="str">
            <v>ⁿoe</v>
          </cell>
          <cell r="R45" t="str">
            <v>台羅 oonn = ounn</v>
          </cell>
        </row>
        <row r="46">
          <cell r="B46">
            <v>42</v>
          </cell>
          <cell r="C46" t="str">
            <v>姆</v>
          </cell>
          <cell r="D46" t="str">
            <v>m</v>
          </cell>
          <cell r="E46" t="str">
            <v>mh</v>
          </cell>
          <cell r="F46" t="str">
            <v>m̩</v>
          </cell>
          <cell r="G46" t="str">
            <v>m̩h</v>
          </cell>
          <cell r="H46" t="str">
            <v>m</v>
          </cell>
          <cell r="I46" t="str">
            <v>mh</v>
          </cell>
          <cell r="J46" t="str">
            <v>m</v>
          </cell>
          <cell r="K46" t="str">
            <v>mh</v>
          </cell>
          <cell r="L46" t="str">
            <v>m</v>
          </cell>
          <cell r="M46" t="str">
            <v>mh</v>
          </cell>
          <cell r="N46" t="str">
            <v>ㆬ</v>
          </cell>
          <cell r="O46" t="str">
            <v>ㆬㆷ</v>
          </cell>
          <cell r="P46" t="str">
            <v>uᵐ</v>
          </cell>
        </row>
        <row r="47">
          <cell r="B47">
            <v>43</v>
          </cell>
          <cell r="C47" t="str">
            <v>光</v>
          </cell>
          <cell r="D47" t="str">
            <v>oang</v>
          </cell>
          <cell r="E47" t="str">
            <v>oak</v>
          </cell>
          <cell r="F47" t="str">
            <v>uaŋ</v>
          </cell>
          <cell r="G47" t="str">
            <v>uak̚</v>
          </cell>
          <cell r="H47" t="str">
            <v>oang</v>
          </cell>
          <cell r="I47" t="str">
            <v>oak</v>
          </cell>
          <cell r="J47" t="str">
            <v>uang</v>
          </cell>
          <cell r="K47" t="str">
            <v>uak</v>
          </cell>
          <cell r="L47" t="str">
            <v>uang</v>
          </cell>
          <cell r="M47" t="str">
            <v>uak</v>
          </cell>
          <cell r="N47" t="str">
            <v>ㄨㄤ</v>
          </cell>
          <cell r="O47" t="str">
            <v>ㄨㄚㆻ</v>
          </cell>
          <cell r="P47" t="str">
            <v>wang</v>
          </cell>
          <cell r="Q47" t="str">
            <v>wak</v>
          </cell>
        </row>
        <row r="48">
          <cell r="B48">
            <v>44</v>
          </cell>
          <cell r="C48" t="str">
            <v>閂</v>
          </cell>
          <cell r="D48" t="str">
            <v>oainn</v>
          </cell>
          <cell r="E48" t="str">
            <v>oaihnn</v>
          </cell>
          <cell r="F48" t="str">
            <v>ũãĩ</v>
          </cell>
          <cell r="G48" t="str">
            <v>uãĩ?</v>
          </cell>
          <cell r="H48" t="str">
            <v>oaiⁿ</v>
          </cell>
          <cell r="I48" t="str">
            <v>oaiⁿh</v>
          </cell>
          <cell r="J48" t="str">
            <v>uainn</v>
          </cell>
          <cell r="K48" t="str">
            <v>uainnh</v>
          </cell>
          <cell r="L48" t="str">
            <v>nuai</v>
          </cell>
          <cell r="M48" t="str">
            <v>nuaih</v>
          </cell>
          <cell r="N48" t="str">
            <v>ㄨㆮ</v>
          </cell>
          <cell r="O48" t="str">
            <v>ㄨㆮㆷ</v>
          </cell>
          <cell r="P48" t="str">
            <v>waeⁿᶢ</v>
          </cell>
          <cell r="Q48" t="str">
            <v>waĕⁿᶢh</v>
          </cell>
          <cell r="R48" t="str">
            <v>閂 (Tshuann) : 興事的意思</v>
          </cell>
        </row>
        <row r="49">
          <cell r="B49">
            <v>45</v>
          </cell>
          <cell r="C49" t="str">
            <v>糜</v>
          </cell>
          <cell r="D49" t="str">
            <v>oenn</v>
          </cell>
          <cell r="E49" t="str">
            <v>oennh</v>
          </cell>
          <cell r="F49" t="str">
            <v>ũẽ</v>
          </cell>
          <cell r="G49" t="str">
            <v>ũẽ?</v>
          </cell>
          <cell r="H49" t="str">
            <v>oeⁿ</v>
          </cell>
          <cell r="I49" t="str">
            <v>oehⁿ</v>
          </cell>
          <cell r="J49" t="str">
            <v>uenn</v>
          </cell>
          <cell r="K49" t="str">
            <v>uennh</v>
          </cell>
          <cell r="L49" t="str">
            <v>nue</v>
          </cell>
          <cell r="M49" t="str">
            <v>nueh</v>
          </cell>
          <cell r="N49" t="str">
            <v>ㄨㆥ</v>
          </cell>
          <cell r="O49" t="str">
            <v>ㄨㆥㆷ</v>
          </cell>
          <cell r="P49" t="str">
            <v>ⁿöey</v>
          </cell>
          <cell r="R49" t="str">
            <v>檜、糜：現在漳州各地主要腔口不存在 /i/ 尾，亦爲簡便故，今式羅馬字僅寫ue</v>
          </cell>
        </row>
        <row r="50">
          <cell r="B50">
            <v>46</v>
          </cell>
          <cell r="C50" t="str">
            <v>嘄</v>
          </cell>
          <cell r="D50" t="str">
            <v>iaunn</v>
          </cell>
          <cell r="E50" t="str">
            <v>iauhnn</v>
          </cell>
          <cell r="F50" t="str">
            <v>ĩãũ</v>
          </cell>
          <cell r="G50" t="str">
            <v>ĩãũ?</v>
          </cell>
          <cell r="H50" t="str">
            <v>iauⁿ</v>
          </cell>
          <cell r="I50" t="str">
            <v>iauⁿh</v>
          </cell>
          <cell r="J50" t="str">
            <v>iaunn</v>
          </cell>
          <cell r="K50" t="str">
            <v>iaunnh</v>
          </cell>
          <cell r="L50" t="str">
            <v>niao</v>
          </cell>
          <cell r="M50" t="str">
            <v>niaoh</v>
          </cell>
          <cell r="N50" t="str">
            <v>ㄧㆯ</v>
          </cell>
          <cell r="O50" t="str">
            <v>ㄧㆯㆷ</v>
          </cell>
          <cell r="P50" t="str">
            <v>ⁿeaou</v>
          </cell>
          <cell r="Q50" t="str">
            <v>ⁿeaoŭh</v>
          </cell>
        </row>
        <row r="51">
          <cell r="B51">
            <v>47</v>
          </cell>
          <cell r="C51" t="str">
            <v>箴</v>
          </cell>
          <cell r="D51" t="str">
            <v>om</v>
          </cell>
          <cell r="E51" t="str">
            <v>op</v>
          </cell>
          <cell r="F51" t="str">
            <v>ɔm</v>
          </cell>
          <cell r="G51" t="str">
            <v>ɔp̚</v>
          </cell>
          <cell r="H51" t="str">
            <v>om</v>
          </cell>
          <cell r="I51" t="str">
            <v>op</v>
          </cell>
          <cell r="J51" t="str">
            <v>om</v>
          </cell>
          <cell r="K51" t="str">
            <v>op</v>
          </cell>
          <cell r="L51" t="str">
            <v>om</v>
          </cell>
          <cell r="M51" t="str">
            <v>op</v>
          </cell>
          <cell r="N51" t="str">
            <v>ㆱ</v>
          </cell>
          <cell r="O51" t="str">
            <v>ㆦㆴ</v>
          </cell>
          <cell r="P51" t="str">
            <v>om</v>
          </cell>
          <cell r="Q51" t="str">
            <v>ŏmh</v>
          </cell>
        </row>
        <row r="52">
          <cell r="B52">
            <v>48</v>
          </cell>
          <cell r="C52" t="str">
            <v>爻</v>
          </cell>
          <cell r="D52" t="str">
            <v>aunn</v>
          </cell>
          <cell r="E52" t="str">
            <v>aunnh</v>
          </cell>
          <cell r="F52" t="str">
            <v>ãũ</v>
          </cell>
          <cell r="G52" t="str">
            <v>ãũ?</v>
          </cell>
          <cell r="H52" t="str">
            <v>auⁿ</v>
          </cell>
          <cell r="I52" t="str">
            <v>auhⁿ</v>
          </cell>
          <cell r="J52" t="str">
            <v>aunn</v>
          </cell>
          <cell r="K52" t="str">
            <v>aunnh</v>
          </cell>
          <cell r="L52" t="str">
            <v>nao</v>
          </cell>
          <cell r="M52" t="str">
            <v>naoh</v>
          </cell>
          <cell r="N52" t="str">
            <v>ㆯ</v>
          </cell>
          <cell r="O52" t="str">
            <v>ㆯㆷ</v>
          </cell>
          <cell r="P52" t="str">
            <v>ⁿaou</v>
          </cell>
        </row>
        <row r="53">
          <cell r="B53">
            <v>49</v>
          </cell>
          <cell r="C53" t="str">
            <v>扛</v>
          </cell>
          <cell r="D53" t="str">
            <v>onn</v>
          </cell>
          <cell r="E53" t="str">
            <v>ohnn</v>
          </cell>
          <cell r="F53" t="str">
            <v>õ</v>
          </cell>
          <cell r="G53" t="str">
            <v>õh</v>
          </cell>
          <cell r="H53" t="str">
            <v>oⁿ</v>
          </cell>
          <cell r="I53" t="str">
            <v>ohⁿ</v>
          </cell>
          <cell r="J53" t="str">
            <v>onn</v>
          </cell>
          <cell r="K53" t="str">
            <v>onnh</v>
          </cell>
          <cell r="L53" t="str">
            <v>no</v>
          </cell>
          <cell r="M53" t="str">
            <v>noh</v>
          </cell>
          <cell r="N53" t="str">
            <v>ㆧ</v>
          </cell>
          <cell r="O53" t="str">
            <v>ㆧㆷ</v>
          </cell>
          <cell r="P53" t="str">
            <v>ⁿo</v>
          </cell>
          <cell r="Q53" t="str">
            <v>ⁿŏh</v>
          </cell>
          <cell r="R53" t="str">
            <v>長泰音</v>
          </cell>
        </row>
        <row r="54">
          <cell r="B54">
            <v>50</v>
          </cell>
          <cell r="C54" t="str">
            <v>牛</v>
          </cell>
          <cell r="D54" t="str">
            <v>iunn</v>
          </cell>
          <cell r="E54" t="str">
            <v>iunnh</v>
          </cell>
          <cell r="F54" t="str">
            <v>ĩũ</v>
          </cell>
          <cell r="G54" t="str">
            <v>iũh</v>
          </cell>
          <cell r="H54" t="str">
            <v>iuⁿ</v>
          </cell>
          <cell r="I54" t="str">
            <v>iuhⁿ</v>
          </cell>
          <cell r="J54" t="str">
            <v>iunn</v>
          </cell>
          <cell r="K54" t="str">
            <v>iunnh</v>
          </cell>
          <cell r="L54" t="str">
            <v>niu</v>
          </cell>
          <cell r="M54" t="str">
            <v>niuh</v>
          </cell>
          <cell r="N54" t="str">
            <v>ㄧㆫ</v>
          </cell>
          <cell r="O54" t="str">
            <v>ㄧㆫㆷ</v>
          </cell>
          <cell r="P54" t="str">
            <v>ⁿew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">
          <cell r="R5" t="str">
            <v>ūn</v>
          </cell>
          <cell r="S5" t="str">
            <v>ún</v>
          </cell>
          <cell r="T5" t="str">
            <v>ǔn</v>
          </cell>
          <cell r="U5" t="str">
            <v>ǔt</v>
          </cell>
          <cell r="V5" t="str">
            <v>ùn</v>
          </cell>
          <cell r="W5" t="str">
            <v>ûn</v>
          </cell>
          <cell r="X5" t="str">
            <v>ūn</v>
          </cell>
          <cell r="Y5" t="str">
            <v>út</v>
          </cell>
        </row>
        <row r="6">
          <cell r="R6" t="str">
            <v>iān</v>
          </cell>
          <cell r="S6" t="str">
            <v>ián</v>
          </cell>
          <cell r="T6" t="str">
            <v>iǎn</v>
          </cell>
          <cell r="U6" t="str">
            <v>iǎt</v>
          </cell>
          <cell r="V6" t="str">
            <v>iàn</v>
          </cell>
          <cell r="W6" t="str">
            <v>iân</v>
          </cell>
          <cell r="X6" t="str">
            <v>iān</v>
          </cell>
          <cell r="Y6" t="str">
            <v>iát</v>
          </cell>
        </row>
        <row r="7">
          <cell r="R7" t="str">
            <v>īm</v>
          </cell>
          <cell r="S7" t="str">
            <v>ím</v>
          </cell>
          <cell r="T7" t="str">
            <v>ǐm</v>
          </cell>
          <cell r="U7" t="str">
            <v>ǐp</v>
          </cell>
          <cell r="V7" t="str">
            <v>ìm</v>
          </cell>
          <cell r="W7" t="str">
            <v>îm</v>
          </cell>
          <cell r="X7" t="str">
            <v>īm</v>
          </cell>
          <cell r="Y7" t="str">
            <v>íp</v>
          </cell>
        </row>
        <row r="8">
          <cell r="R8" t="str">
            <v>ūi</v>
          </cell>
          <cell r="S8" t="str">
            <v>úi</v>
          </cell>
          <cell r="T8" t="str">
            <v>ǔi</v>
          </cell>
          <cell r="U8" t="str">
            <v>ǔih</v>
          </cell>
          <cell r="V8" t="str">
            <v>ùi</v>
          </cell>
          <cell r="W8" t="str">
            <v>ûi</v>
          </cell>
          <cell r="X8" t="str">
            <v>ūi</v>
          </cell>
          <cell r="Y8" t="str">
            <v>úih</v>
          </cell>
        </row>
        <row r="9">
          <cell r="R9" t="str">
            <v>ē</v>
          </cell>
          <cell r="S9" t="str">
            <v>é</v>
          </cell>
          <cell r="T9" t="str">
            <v>ě</v>
          </cell>
          <cell r="U9" t="str">
            <v>ěh</v>
          </cell>
          <cell r="V9" t="str">
            <v>è</v>
          </cell>
          <cell r="W9" t="str">
            <v>ê</v>
          </cell>
          <cell r="X9" t="str">
            <v>ē</v>
          </cell>
          <cell r="Y9" t="str">
            <v>éh</v>
          </cell>
        </row>
        <row r="10">
          <cell r="R10" t="str">
            <v>ān</v>
          </cell>
          <cell r="S10" t="str">
            <v>án</v>
          </cell>
          <cell r="T10" t="str">
            <v>ǎn</v>
          </cell>
          <cell r="U10" t="str">
            <v>ǎt</v>
          </cell>
          <cell r="V10" t="str">
            <v>àn</v>
          </cell>
          <cell r="W10" t="str">
            <v>ân</v>
          </cell>
          <cell r="X10" t="str">
            <v>ān</v>
          </cell>
          <cell r="Y10" t="str">
            <v>át</v>
          </cell>
        </row>
        <row r="11">
          <cell r="R11" t="str">
            <v>ōng</v>
          </cell>
          <cell r="S11" t="str">
            <v>óng</v>
          </cell>
          <cell r="T11" t="str">
            <v>ǒng</v>
          </cell>
          <cell r="U11" t="str">
            <v>ǒk</v>
          </cell>
          <cell r="V11" t="str">
            <v>òng</v>
          </cell>
          <cell r="W11" t="str">
            <v>ông</v>
          </cell>
          <cell r="X11" t="str">
            <v>ōng</v>
          </cell>
          <cell r="Y11" t="str">
            <v>ók</v>
          </cell>
        </row>
        <row r="12">
          <cell r="R12" t="str">
            <v>uāi</v>
          </cell>
          <cell r="S12" t="str">
            <v>uái</v>
          </cell>
          <cell r="T12" t="str">
            <v>uǎi</v>
          </cell>
          <cell r="U12" t="str">
            <v>uǎih</v>
          </cell>
          <cell r="V12" t="str">
            <v>uài</v>
          </cell>
          <cell r="W12" t="str">
            <v>uâi</v>
          </cell>
          <cell r="X12" t="str">
            <v>uāi</v>
          </cell>
          <cell r="Y12" t="str">
            <v>uáih</v>
          </cell>
        </row>
        <row r="13">
          <cell r="R13" t="str">
            <v>īng</v>
          </cell>
          <cell r="S13" t="str">
            <v>íng</v>
          </cell>
          <cell r="T13" t="str">
            <v>ǐng</v>
          </cell>
          <cell r="U13" t="str">
            <v>ǐk</v>
          </cell>
          <cell r="V13" t="str">
            <v>ìng</v>
          </cell>
          <cell r="W13" t="str">
            <v>îng</v>
          </cell>
          <cell r="X13" t="str">
            <v>īng</v>
          </cell>
          <cell r="Y13" t="str">
            <v>ík</v>
          </cell>
        </row>
        <row r="14">
          <cell r="R14" t="str">
            <v>uān</v>
          </cell>
          <cell r="S14" t="str">
            <v>uán</v>
          </cell>
          <cell r="T14" t="str">
            <v>uǎn</v>
          </cell>
          <cell r="U14" t="str">
            <v>uǎt</v>
          </cell>
          <cell r="V14" t="str">
            <v>uàn</v>
          </cell>
          <cell r="W14" t="str">
            <v>uân</v>
          </cell>
          <cell r="X14" t="str">
            <v>uān</v>
          </cell>
          <cell r="Y14" t="str">
            <v>uát</v>
          </cell>
        </row>
        <row r="15">
          <cell r="R15" t="str">
            <v>ōo</v>
          </cell>
          <cell r="S15" t="str">
            <v>óo</v>
          </cell>
          <cell r="T15" t="str">
            <v>ǒo</v>
          </cell>
          <cell r="U15" t="str">
            <v>ǒoh</v>
          </cell>
          <cell r="V15" t="str">
            <v>òo</v>
          </cell>
          <cell r="W15" t="str">
            <v>ôo</v>
          </cell>
          <cell r="X15" t="str">
            <v>ōo</v>
          </cell>
          <cell r="Y15" t="str">
            <v>óoh</v>
          </cell>
        </row>
        <row r="16">
          <cell r="R16" t="str">
            <v>iāo</v>
          </cell>
          <cell r="S16" t="str">
            <v>iáo</v>
          </cell>
          <cell r="T16" t="str">
            <v>iǎo</v>
          </cell>
          <cell r="U16" t="str">
            <v>iǎoh</v>
          </cell>
          <cell r="V16" t="str">
            <v>iào</v>
          </cell>
          <cell r="W16" t="str">
            <v>iâo</v>
          </cell>
          <cell r="X16" t="str">
            <v>iāo</v>
          </cell>
          <cell r="Y16" t="str">
            <v>iáoh</v>
          </cell>
        </row>
        <row r="17">
          <cell r="R17" t="str">
            <v>ē</v>
          </cell>
          <cell r="S17" t="str">
            <v>é</v>
          </cell>
          <cell r="T17" t="str">
            <v>ě</v>
          </cell>
          <cell r="U17" t="str">
            <v>ěh</v>
          </cell>
          <cell r="V17" t="str">
            <v>è</v>
          </cell>
          <cell r="W17" t="str">
            <v>ê</v>
          </cell>
          <cell r="X17" t="str">
            <v>ē</v>
          </cell>
          <cell r="Y17" t="str">
            <v>éh</v>
          </cell>
        </row>
        <row r="18">
          <cell r="R18" t="str">
            <v>iōng</v>
          </cell>
          <cell r="S18" t="str">
            <v>ióng</v>
          </cell>
          <cell r="T18" t="str">
            <v>iǒng</v>
          </cell>
          <cell r="U18" t="str">
            <v>iǒk</v>
          </cell>
          <cell r="V18" t="str">
            <v>iòng</v>
          </cell>
          <cell r="W18" t="str">
            <v>iông</v>
          </cell>
          <cell r="X18" t="str">
            <v>iōng</v>
          </cell>
          <cell r="Y18" t="str">
            <v>iók</v>
          </cell>
        </row>
        <row r="19">
          <cell r="R19" t="str">
            <v>ō</v>
          </cell>
          <cell r="S19" t="str">
            <v>ó</v>
          </cell>
          <cell r="T19" t="str">
            <v>ǒ</v>
          </cell>
          <cell r="U19" t="str">
            <v>ǒh</v>
          </cell>
          <cell r="V19" t="str">
            <v>ò</v>
          </cell>
          <cell r="W19" t="str">
            <v>ô</v>
          </cell>
          <cell r="X19" t="str">
            <v>ō</v>
          </cell>
          <cell r="Y19" t="str">
            <v>óh</v>
          </cell>
        </row>
        <row r="20">
          <cell r="R20" t="str">
            <v>āi</v>
          </cell>
          <cell r="S20" t="str">
            <v>ái</v>
          </cell>
          <cell r="T20" t="str">
            <v>ǎi</v>
          </cell>
          <cell r="U20" t="str">
            <v>ǎih</v>
          </cell>
          <cell r="V20" t="str">
            <v>ài</v>
          </cell>
          <cell r="W20" t="str">
            <v>âi</v>
          </cell>
          <cell r="X20" t="str">
            <v>āi</v>
          </cell>
          <cell r="Y20" t="str">
            <v>áih</v>
          </cell>
        </row>
        <row r="21">
          <cell r="R21" t="str">
            <v>īn</v>
          </cell>
          <cell r="S21" t="str">
            <v>ín</v>
          </cell>
          <cell r="T21" t="str">
            <v>ǐn</v>
          </cell>
          <cell r="U21" t="str">
            <v>ǐt</v>
          </cell>
          <cell r="V21" t="str">
            <v>ìn</v>
          </cell>
          <cell r="W21" t="str">
            <v>în</v>
          </cell>
          <cell r="X21" t="str">
            <v>īn</v>
          </cell>
          <cell r="Y21" t="str">
            <v>ít</v>
          </cell>
        </row>
        <row r="22">
          <cell r="R22" t="str">
            <v>iāng</v>
          </cell>
          <cell r="S22" t="str">
            <v>iáng</v>
          </cell>
          <cell r="T22" t="str">
            <v>iǎng</v>
          </cell>
          <cell r="U22" t="str">
            <v>iǎk</v>
          </cell>
          <cell r="V22" t="str">
            <v>iàng</v>
          </cell>
          <cell r="W22" t="str">
            <v>iâng</v>
          </cell>
          <cell r="X22" t="str">
            <v>iāng</v>
          </cell>
          <cell r="Y22" t="str">
            <v>iák</v>
          </cell>
        </row>
        <row r="23">
          <cell r="R23" t="str">
            <v>ām</v>
          </cell>
          <cell r="S23" t="str">
            <v>ám</v>
          </cell>
          <cell r="T23" t="str">
            <v>ǎm</v>
          </cell>
          <cell r="U23" t="str">
            <v>ǎp</v>
          </cell>
          <cell r="V23" t="str">
            <v>àm</v>
          </cell>
          <cell r="W23" t="str">
            <v>âm</v>
          </cell>
          <cell r="X23" t="str">
            <v>ām</v>
          </cell>
          <cell r="Y23" t="str">
            <v>áp</v>
          </cell>
        </row>
        <row r="24">
          <cell r="R24" t="str">
            <v>ūa</v>
          </cell>
          <cell r="S24" t="str">
            <v>úa</v>
          </cell>
          <cell r="T24" t="str">
            <v>ǔa</v>
          </cell>
          <cell r="U24" t="str">
            <v>ǔah</v>
          </cell>
          <cell r="V24" t="str">
            <v>ùa</v>
          </cell>
          <cell r="W24" t="str">
            <v>ûa</v>
          </cell>
          <cell r="X24" t="str">
            <v>ūa</v>
          </cell>
          <cell r="Y24" t="str">
            <v>úah</v>
          </cell>
        </row>
        <row r="25">
          <cell r="R25" t="str">
            <v>āng</v>
          </cell>
          <cell r="S25" t="str">
            <v>áng</v>
          </cell>
          <cell r="T25" t="str">
            <v>ǎng</v>
          </cell>
          <cell r="U25" t="str">
            <v>ǎk</v>
          </cell>
          <cell r="V25" t="str">
            <v>àng</v>
          </cell>
          <cell r="W25" t="str">
            <v>âng</v>
          </cell>
          <cell r="X25" t="str">
            <v>āng</v>
          </cell>
          <cell r="Y25" t="str">
            <v>ák</v>
          </cell>
        </row>
        <row r="26">
          <cell r="R26" t="str">
            <v>iām</v>
          </cell>
          <cell r="S26" t="str">
            <v>iám</v>
          </cell>
          <cell r="T26" t="str">
            <v>iǎm</v>
          </cell>
          <cell r="U26" t="str">
            <v>iǎp</v>
          </cell>
          <cell r="V26" t="str">
            <v>iàm</v>
          </cell>
          <cell r="W26" t="str">
            <v>iâm</v>
          </cell>
          <cell r="X26" t="str">
            <v>iām</v>
          </cell>
          <cell r="Y26" t="str">
            <v>iáp</v>
          </cell>
        </row>
        <row r="27">
          <cell r="R27" t="str">
            <v>āo</v>
          </cell>
          <cell r="S27" t="str">
            <v>áo</v>
          </cell>
          <cell r="T27" t="str">
            <v>ǎo</v>
          </cell>
          <cell r="U27" t="str">
            <v>ǎoh</v>
          </cell>
          <cell r="V27" t="str">
            <v>ào</v>
          </cell>
          <cell r="W27" t="str">
            <v>âo</v>
          </cell>
          <cell r="X27" t="str">
            <v>āo</v>
          </cell>
          <cell r="Y27" t="str">
            <v>áoh</v>
          </cell>
        </row>
        <row r="28">
          <cell r="R28" t="str">
            <v>iā</v>
          </cell>
          <cell r="S28" t="str">
            <v>iá</v>
          </cell>
          <cell r="T28" t="str">
            <v>iǎ</v>
          </cell>
          <cell r="U28" t="str">
            <v>iǎh</v>
          </cell>
          <cell r="V28" t="str">
            <v>ià</v>
          </cell>
          <cell r="W28" t="str">
            <v>iâ</v>
          </cell>
          <cell r="X28" t="str">
            <v>iā</v>
          </cell>
          <cell r="Y28" t="str">
            <v>iáh</v>
          </cell>
        </row>
        <row r="29">
          <cell r="R29" t="str">
            <v>ūe</v>
          </cell>
          <cell r="S29" t="str">
            <v>úe</v>
          </cell>
          <cell r="T29" t="str">
            <v>ǔe</v>
          </cell>
          <cell r="U29" t="str">
            <v>ǔeh</v>
          </cell>
          <cell r="V29" t="str">
            <v>ùe</v>
          </cell>
          <cell r="W29" t="str">
            <v>ûe</v>
          </cell>
          <cell r="X29" t="str">
            <v>ūe</v>
          </cell>
          <cell r="Y29" t="str">
            <v>úeh</v>
          </cell>
        </row>
        <row r="30">
          <cell r="R30" t="str">
            <v>nā</v>
          </cell>
          <cell r="S30" t="str">
            <v>ná</v>
          </cell>
          <cell r="T30" t="str">
            <v>nǎ</v>
          </cell>
          <cell r="U30" t="str">
            <v>nǎh</v>
          </cell>
          <cell r="V30" t="str">
            <v>nà</v>
          </cell>
          <cell r="W30" t="str">
            <v>nâ</v>
          </cell>
          <cell r="X30" t="str">
            <v>nā</v>
          </cell>
          <cell r="Y30" t="str">
            <v>náh</v>
          </cell>
        </row>
        <row r="31">
          <cell r="R31" t="str">
            <v>ū</v>
          </cell>
          <cell r="S31" t="str">
            <v>ú</v>
          </cell>
          <cell r="T31" t="str">
            <v>ǔ</v>
          </cell>
          <cell r="U31" t="str">
            <v>ǔh</v>
          </cell>
          <cell r="V31" t="str">
            <v>ù</v>
          </cell>
          <cell r="W31" t="str">
            <v>û</v>
          </cell>
          <cell r="X31" t="str">
            <v>ū</v>
          </cell>
          <cell r="Y31" t="str">
            <v>úh</v>
          </cell>
        </row>
        <row r="32">
          <cell r="R32" t="str">
            <v>ā</v>
          </cell>
          <cell r="S32" t="str">
            <v>á</v>
          </cell>
          <cell r="T32" t="str">
            <v>ǎ</v>
          </cell>
          <cell r="U32" t="str">
            <v>ǎh</v>
          </cell>
          <cell r="V32" t="str">
            <v>à</v>
          </cell>
          <cell r="W32" t="str">
            <v>â</v>
          </cell>
          <cell r="X32" t="str">
            <v>ā</v>
          </cell>
          <cell r="Y32" t="str">
            <v>áh</v>
          </cell>
        </row>
        <row r="33">
          <cell r="R33" t="str">
            <v>ī</v>
          </cell>
          <cell r="S33" t="str">
            <v>í</v>
          </cell>
          <cell r="T33" t="str">
            <v>ǐ</v>
          </cell>
          <cell r="U33" t="str">
            <v>ǐh</v>
          </cell>
          <cell r="V33" t="str">
            <v>ì</v>
          </cell>
          <cell r="W33" t="str">
            <v>î</v>
          </cell>
          <cell r="X33" t="str">
            <v>ī</v>
          </cell>
          <cell r="Y33" t="str">
            <v>íh</v>
          </cell>
        </row>
        <row r="34">
          <cell r="R34" t="str">
            <v>iū</v>
          </cell>
          <cell r="S34" t="str">
            <v>iú</v>
          </cell>
          <cell r="T34" t="str">
            <v>iǔ</v>
          </cell>
          <cell r="U34" t="str">
            <v>iǔh</v>
          </cell>
          <cell r="V34" t="str">
            <v>iù</v>
          </cell>
          <cell r="W34" t="str">
            <v>iû</v>
          </cell>
          <cell r="X34" t="str">
            <v>iū</v>
          </cell>
          <cell r="Y34" t="str">
            <v>iúh</v>
          </cell>
        </row>
        <row r="35">
          <cell r="R35" t="str">
            <v>nē</v>
          </cell>
          <cell r="S35" t="str">
            <v>né</v>
          </cell>
          <cell r="T35" t="str">
            <v>ně</v>
          </cell>
          <cell r="U35" t="str">
            <v>něh</v>
          </cell>
          <cell r="V35" t="str">
            <v>nè</v>
          </cell>
          <cell r="W35" t="str">
            <v>nê</v>
          </cell>
          <cell r="X35" t="str">
            <v>nē</v>
          </cell>
          <cell r="Y35" t="str">
            <v>néh</v>
          </cell>
        </row>
        <row r="36">
          <cell r="R36" t="str">
            <v>nūi</v>
          </cell>
          <cell r="S36" t="str">
            <v>núi</v>
          </cell>
          <cell r="T36" t="str">
            <v>nǔi</v>
          </cell>
          <cell r="U36" t="str">
            <v>nǔih</v>
          </cell>
          <cell r="V36" t="str">
            <v>nùi</v>
          </cell>
          <cell r="W36" t="str">
            <v>nûi</v>
          </cell>
          <cell r="X36" t="str">
            <v>nūi</v>
          </cell>
          <cell r="Y36" t="str">
            <v>núih</v>
          </cell>
        </row>
        <row r="37">
          <cell r="R37" t="str">
            <v>iō</v>
          </cell>
          <cell r="S37" t="str">
            <v>ió</v>
          </cell>
          <cell r="T37" t="str">
            <v>iǒ</v>
          </cell>
          <cell r="U37" t="str">
            <v>iǒh</v>
          </cell>
          <cell r="V37" t="str">
            <v>iò</v>
          </cell>
          <cell r="W37" t="str">
            <v>iô</v>
          </cell>
          <cell r="X37" t="str">
            <v>iō</v>
          </cell>
          <cell r="Y37" t="str">
            <v>ióh</v>
          </cell>
        </row>
        <row r="38">
          <cell r="R38" t="str">
            <v>nī</v>
          </cell>
          <cell r="S38" t="str">
            <v>ní</v>
          </cell>
          <cell r="T38" t="str">
            <v>nǐ</v>
          </cell>
          <cell r="U38" t="str">
            <v>nǐh</v>
          </cell>
          <cell r="V38" t="str">
            <v>nì</v>
          </cell>
          <cell r="W38" t="str">
            <v>nî</v>
          </cell>
          <cell r="X38" t="str">
            <v>nī</v>
          </cell>
          <cell r="Y38" t="str">
            <v>níh</v>
          </cell>
        </row>
        <row r="39">
          <cell r="R39" t="str">
            <v>niōō</v>
          </cell>
          <cell r="S39" t="str">
            <v>nióó</v>
          </cell>
          <cell r="T39" t="str">
            <v>niǒǒ</v>
          </cell>
          <cell r="U39" t="str">
            <v>niǒǒh</v>
          </cell>
          <cell r="V39" t="str">
            <v>niòò</v>
          </cell>
          <cell r="W39" t="str">
            <v>niôô</v>
          </cell>
          <cell r="X39" t="str">
            <v>niōō</v>
          </cell>
          <cell r="Y39" t="str">
            <v>nióóh</v>
          </cell>
        </row>
        <row r="40">
          <cell r="R40" t="str">
            <v>niā</v>
          </cell>
          <cell r="S40" t="str">
            <v>niá</v>
          </cell>
          <cell r="T40" t="str">
            <v>niǎ</v>
          </cell>
          <cell r="U40" t="str">
            <v>niǎh</v>
          </cell>
          <cell r="V40" t="str">
            <v>nià</v>
          </cell>
          <cell r="W40" t="str">
            <v>niâ</v>
          </cell>
          <cell r="X40" t="str">
            <v>niā</v>
          </cell>
          <cell r="Y40" t="str">
            <v>niáh</v>
          </cell>
        </row>
        <row r="41">
          <cell r="R41" t="str">
            <v>nūa</v>
          </cell>
          <cell r="S41" t="str">
            <v>núa</v>
          </cell>
          <cell r="T41" t="str">
            <v>nǔa</v>
          </cell>
          <cell r="U41" t="str">
            <v>nǔah</v>
          </cell>
          <cell r="V41" t="str">
            <v>nùa</v>
          </cell>
          <cell r="W41" t="str">
            <v>nûa</v>
          </cell>
          <cell r="X41" t="str">
            <v>nūa</v>
          </cell>
          <cell r="Y41" t="str">
            <v>núah</v>
          </cell>
        </row>
        <row r="42">
          <cell r="R42" t="str">
            <v>n̄g</v>
          </cell>
          <cell r="S42" t="str">
            <v>ńg</v>
          </cell>
          <cell r="T42" t="str">
            <v>ňg</v>
          </cell>
          <cell r="U42" t="str">
            <v>ňh</v>
          </cell>
          <cell r="V42" t="str">
            <v>ǹg</v>
          </cell>
          <cell r="W42" t="str">
            <v>n̂g</v>
          </cell>
          <cell r="X42" t="str">
            <v>n̄g</v>
          </cell>
          <cell r="Y42" t="str">
            <v>ńgh</v>
          </cell>
        </row>
        <row r="43">
          <cell r="R43" t="str">
            <v>ē</v>
          </cell>
          <cell r="S43" t="str">
            <v>é</v>
          </cell>
          <cell r="T43" t="str">
            <v>ě</v>
          </cell>
          <cell r="U43" t="str">
            <v>ěh</v>
          </cell>
          <cell r="V43" t="str">
            <v>è</v>
          </cell>
          <cell r="W43" t="str">
            <v>ê</v>
          </cell>
          <cell r="X43" t="str">
            <v>ē</v>
          </cell>
          <cell r="Y43" t="str">
            <v>éh</v>
          </cell>
        </row>
        <row r="44">
          <cell r="R44" t="str">
            <v>nāi</v>
          </cell>
          <cell r="S44" t="str">
            <v>nái</v>
          </cell>
          <cell r="T44" t="str">
            <v>nǎi</v>
          </cell>
          <cell r="U44" t="str">
            <v>nǎih</v>
          </cell>
          <cell r="V44" t="str">
            <v>nài</v>
          </cell>
          <cell r="W44" t="str">
            <v>nâi</v>
          </cell>
          <cell r="X44" t="str">
            <v>nāi</v>
          </cell>
          <cell r="Y44" t="str">
            <v>náih</v>
          </cell>
        </row>
        <row r="45">
          <cell r="R45" t="str">
            <v>nōō</v>
          </cell>
          <cell r="S45" t="str">
            <v>nóó</v>
          </cell>
          <cell r="T45" t="str">
            <v>nǒǒ</v>
          </cell>
          <cell r="U45" t="str">
            <v>nǒǒh</v>
          </cell>
          <cell r="V45" t="str">
            <v>nòò</v>
          </cell>
          <cell r="W45" t="str">
            <v>nôô</v>
          </cell>
          <cell r="X45" t="str">
            <v>nōō</v>
          </cell>
          <cell r="Y45" t="str">
            <v>nóóh</v>
          </cell>
        </row>
        <row r="46">
          <cell r="R46" t="str">
            <v>m̄</v>
          </cell>
          <cell r="S46" t="str">
            <v>ḿ</v>
          </cell>
          <cell r="T46" t="str">
            <v>m̌</v>
          </cell>
          <cell r="U46" t="str">
            <v>m̌h</v>
          </cell>
          <cell r="V46" t="str">
            <v>m̀</v>
          </cell>
          <cell r="W46" t="str">
            <v>m̂</v>
          </cell>
          <cell r="X46" t="str">
            <v>m̄</v>
          </cell>
          <cell r="Y46" t="str">
            <v>ḿh</v>
          </cell>
        </row>
        <row r="47">
          <cell r="R47" t="str">
            <v>uāng</v>
          </cell>
          <cell r="S47" t="str">
            <v>uáng</v>
          </cell>
          <cell r="T47" t="str">
            <v>uǎng</v>
          </cell>
          <cell r="U47" t="str">
            <v>uǎk</v>
          </cell>
          <cell r="V47" t="str">
            <v>uàng</v>
          </cell>
          <cell r="W47" t="str">
            <v>uâng</v>
          </cell>
          <cell r="X47" t="str">
            <v>uāng</v>
          </cell>
          <cell r="Y47" t="str">
            <v>uák</v>
          </cell>
        </row>
        <row r="48">
          <cell r="R48" t="str">
            <v>nuāi</v>
          </cell>
          <cell r="S48" t="str">
            <v>nuái</v>
          </cell>
          <cell r="T48" t="str">
            <v>nuǎi</v>
          </cell>
          <cell r="U48" t="str">
            <v>nuǎih</v>
          </cell>
          <cell r="V48" t="str">
            <v>nuài</v>
          </cell>
          <cell r="W48" t="str">
            <v>nuâi</v>
          </cell>
          <cell r="X48" t="str">
            <v>nuāi</v>
          </cell>
          <cell r="Y48" t="str">
            <v>nuáih</v>
          </cell>
        </row>
        <row r="49">
          <cell r="R49" t="str">
            <v>nūe</v>
          </cell>
          <cell r="S49" t="str">
            <v>núe</v>
          </cell>
          <cell r="T49" t="str">
            <v>nǔe</v>
          </cell>
          <cell r="U49" t="str">
            <v>nǔeh</v>
          </cell>
          <cell r="V49" t="str">
            <v>nùe</v>
          </cell>
          <cell r="W49" t="str">
            <v>nûe</v>
          </cell>
          <cell r="X49" t="str">
            <v>nūe</v>
          </cell>
          <cell r="Y49" t="str">
            <v>núeh</v>
          </cell>
        </row>
        <row r="50">
          <cell r="R50" t="str">
            <v>niāo</v>
          </cell>
          <cell r="S50" t="str">
            <v>niáo</v>
          </cell>
          <cell r="T50" t="str">
            <v>niǎo</v>
          </cell>
          <cell r="U50" t="str">
            <v>niǎoh</v>
          </cell>
          <cell r="V50" t="str">
            <v>niào</v>
          </cell>
          <cell r="W50" t="str">
            <v>niâo</v>
          </cell>
          <cell r="X50" t="str">
            <v>niāo</v>
          </cell>
          <cell r="Y50" t="str">
            <v>niáoh</v>
          </cell>
        </row>
        <row r="51">
          <cell r="R51" t="str">
            <v>ōm</v>
          </cell>
          <cell r="S51" t="str">
            <v>óm</v>
          </cell>
          <cell r="T51" t="str">
            <v>ǒm</v>
          </cell>
          <cell r="U51" t="str">
            <v>ǒp</v>
          </cell>
          <cell r="V51" t="str">
            <v>òm</v>
          </cell>
          <cell r="W51" t="str">
            <v>ôm</v>
          </cell>
          <cell r="X51" t="str">
            <v>ōm</v>
          </cell>
          <cell r="Y51" t="str">
            <v>óp</v>
          </cell>
        </row>
        <row r="52">
          <cell r="R52" t="str">
            <v>nāo</v>
          </cell>
          <cell r="S52" t="str">
            <v>náo</v>
          </cell>
          <cell r="T52" t="str">
            <v>nǎo</v>
          </cell>
          <cell r="U52" t="str">
            <v>nǎoh</v>
          </cell>
          <cell r="V52" t="str">
            <v>nào</v>
          </cell>
          <cell r="W52" t="str">
            <v>nâo</v>
          </cell>
          <cell r="X52" t="str">
            <v>nāo</v>
          </cell>
          <cell r="Y52" t="str">
            <v>náoh</v>
          </cell>
        </row>
        <row r="53">
          <cell r="R53" t="str">
            <v>nō</v>
          </cell>
          <cell r="S53" t="str">
            <v>nó</v>
          </cell>
          <cell r="T53" t="str">
            <v>nǒ</v>
          </cell>
          <cell r="U53" t="str">
            <v>nǒh</v>
          </cell>
          <cell r="V53" t="str">
            <v>nò</v>
          </cell>
          <cell r="W53" t="str">
            <v>nô</v>
          </cell>
          <cell r="X53" t="str">
            <v>nō</v>
          </cell>
          <cell r="Y53" t="str">
            <v>nóh</v>
          </cell>
        </row>
        <row r="54">
          <cell r="R54" t="str">
            <v>niū</v>
          </cell>
          <cell r="S54" t="str">
            <v>niú</v>
          </cell>
          <cell r="T54" t="str">
            <v>niǔ</v>
          </cell>
          <cell r="U54" t="str">
            <v>niǔh</v>
          </cell>
          <cell r="V54" t="str">
            <v>niù</v>
          </cell>
          <cell r="W54" t="str">
            <v>niû</v>
          </cell>
          <cell r="X54" t="str">
            <v>niū</v>
          </cell>
          <cell r="Y54" t="str">
            <v>niúh</v>
          </cell>
        </row>
      </sheetData>
      <sheetData sheetId="30" refreshError="1"/>
      <sheetData sheetId="31" refreshError="1"/>
      <sheetData sheetId="32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at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a̍t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oai</v>
          </cell>
          <cell r="S12" t="str">
            <v>oái</v>
          </cell>
          <cell r="T12" t="str">
            <v>oài</v>
          </cell>
          <cell r="U12" t="str">
            <v>oaih</v>
          </cell>
          <cell r="V12" t="str">
            <v>oâi</v>
          </cell>
          <cell r="W12" t="str">
            <v>oài</v>
          </cell>
          <cell r="X12" t="str">
            <v>oāi</v>
          </cell>
          <cell r="Y12" t="str">
            <v>oa̍ih</v>
          </cell>
        </row>
        <row r="13">
          <cell r="R13" t="str">
            <v>eng</v>
          </cell>
          <cell r="S13" t="str">
            <v>éng</v>
          </cell>
          <cell r="T13" t="str">
            <v>èng</v>
          </cell>
          <cell r="U13" t="str">
            <v>ek</v>
          </cell>
          <cell r="V13" t="str">
            <v>êng</v>
          </cell>
          <cell r="W13" t="str">
            <v>èng</v>
          </cell>
          <cell r="X13" t="str">
            <v>ēng</v>
          </cell>
          <cell r="Y13" t="str">
            <v>e̍k</v>
          </cell>
        </row>
        <row r="14">
          <cell r="R14" t="str">
            <v>oan</v>
          </cell>
          <cell r="S14" t="str">
            <v>oán</v>
          </cell>
          <cell r="T14" t="str">
            <v>oàn</v>
          </cell>
          <cell r="U14" t="str">
            <v>oat</v>
          </cell>
          <cell r="V14" t="str">
            <v>oân</v>
          </cell>
          <cell r="W14" t="str">
            <v>oàn</v>
          </cell>
          <cell r="X14" t="str">
            <v>oān</v>
          </cell>
          <cell r="Y14" t="str">
            <v>oa̍t</v>
          </cell>
        </row>
        <row r="15">
          <cell r="R15" t="str">
            <v>o͘</v>
          </cell>
          <cell r="S15" t="str">
            <v>ó͘</v>
          </cell>
          <cell r="T15" t="str">
            <v>ò͘</v>
          </cell>
          <cell r="U15" t="str">
            <v>o͘h</v>
          </cell>
          <cell r="V15" t="str">
            <v>ô͘</v>
          </cell>
          <cell r="W15" t="str">
            <v xml:space="preserve"> ò͘</v>
          </cell>
          <cell r="X15" t="str">
            <v>ō͘</v>
          </cell>
          <cell r="Y15" t="str">
            <v>o̍͘h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ei</v>
          </cell>
          <cell r="S17" t="str">
            <v>éi</v>
          </cell>
          <cell r="T17" t="str">
            <v>èi</v>
          </cell>
          <cell r="U17" t="str">
            <v>eih</v>
          </cell>
          <cell r="V17" t="str">
            <v>êi</v>
          </cell>
          <cell r="W17" t="str">
            <v>èi</v>
          </cell>
          <cell r="X17" t="str">
            <v>ēi</v>
          </cell>
          <cell r="Y17" t="str">
            <v>e̍ih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oa</v>
          </cell>
          <cell r="S24" t="str">
            <v>óa</v>
          </cell>
          <cell r="T24" t="str">
            <v>òa</v>
          </cell>
          <cell r="U24" t="str">
            <v>oah</v>
          </cell>
          <cell r="V24" t="str">
            <v>ôa</v>
          </cell>
          <cell r="W24" t="str">
            <v>òa</v>
          </cell>
          <cell r="X24" t="str">
            <v>ōa</v>
          </cell>
          <cell r="Y24" t="str">
            <v>o̍ah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oe</v>
          </cell>
          <cell r="S29" t="str">
            <v>óe</v>
          </cell>
          <cell r="T29" t="str">
            <v>òe</v>
          </cell>
          <cell r="U29" t="str">
            <v>oeh</v>
          </cell>
          <cell r="V29" t="str">
            <v>ôe</v>
          </cell>
          <cell r="W29" t="str">
            <v>òe</v>
          </cell>
          <cell r="X29" t="str">
            <v>ōe</v>
          </cell>
          <cell r="Y29" t="str">
            <v>o̍eh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ahnn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a̍hnn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ehnn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e̍hnn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ihnn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i̍hnn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oann</v>
          </cell>
          <cell r="S41" t="str">
            <v>óann</v>
          </cell>
          <cell r="T41" t="str">
            <v>òann</v>
          </cell>
          <cell r="U41" t="str">
            <v>oannh</v>
          </cell>
          <cell r="V41" t="str">
            <v>ôann</v>
          </cell>
          <cell r="W41" t="str">
            <v>òann</v>
          </cell>
          <cell r="X41" t="str">
            <v>ōann</v>
          </cell>
          <cell r="Y41" t="str">
            <v>o̍annh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m̍hh</v>
          </cell>
        </row>
        <row r="47">
          <cell r="R47" t="str">
            <v>oang</v>
          </cell>
          <cell r="S47" t="str">
            <v>oáng</v>
          </cell>
          <cell r="T47" t="str">
            <v>oàng</v>
          </cell>
          <cell r="U47" t="str">
            <v>oak</v>
          </cell>
          <cell r="V47" t="str">
            <v>oâng</v>
          </cell>
          <cell r="W47" t="str">
            <v>oàng</v>
          </cell>
          <cell r="X47" t="str">
            <v>oāng</v>
          </cell>
          <cell r="Y47" t="str">
            <v>oa̍k</v>
          </cell>
        </row>
        <row r="48">
          <cell r="R48" t="str">
            <v>oainn</v>
          </cell>
          <cell r="S48" t="str">
            <v>oáinn</v>
          </cell>
          <cell r="T48" t="str">
            <v>oàinn</v>
          </cell>
          <cell r="U48" t="str">
            <v>oaihnn</v>
          </cell>
          <cell r="V48" t="str">
            <v>oâinn</v>
          </cell>
          <cell r="W48" t="str">
            <v>oàinn</v>
          </cell>
          <cell r="X48" t="str">
            <v>oāinn</v>
          </cell>
          <cell r="Y48" t="str">
            <v>oa̍ihnn</v>
          </cell>
        </row>
        <row r="49">
          <cell r="R49" t="str">
            <v>oenn</v>
          </cell>
          <cell r="S49" t="str">
            <v>óenn</v>
          </cell>
          <cell r="T49" t="str">
            <v>òenn</v>
          </cell>
          <cell r="U49" t="str">
            <v>oennh</v>
          </cell>
          <cell r="V49" t="str">
            <v>ôenn</v>
          </cell>
          <cell r="W49" t="str">
            <v>òenn</v>
          </cell>
          <cell r="X49" t="str">
            <v>ōenn</v>
          </cell>
          <cell r="Y49" t="str">
            <v>o̍ennh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iauhnn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ia̍uhnn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ohnn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o̍hnn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3" refreshError="1"/>
      <sheetData sheetId="34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ap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a̍p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uai</v>
          </cell>
          <cell r="S12" t="str">
            <v>uái</v>
          </cell>
          <cell r="T12" t="str">
            <v>uài</v>
          </cell>
          <cell r="U12" t="str">
            <v>uaih</v>
          </cell>
          <cell r="V12" t="str">
            <v>uâi</v>
          </cell>
          <cell r="W12" t="str">
            <v>uài</v>
          </cell>
          <cell r="X12" t="str">
            <v>uāi</v>
          </cell>
          <cell r="Y12" t="str">
            <v>ua̍ih</v>
          </cell>
        </row>
        <row r="13">
          <cell r="R13" t="str">
            <v>ing</v>
          </cell>
          <cell r="S13" t="str">
            <v>íng</v>
          </cell>
          <cell r="T13" t="str">
            <v>ìng</v>
          </cell>
          <cell r="U13" t="str">
            <v>ik</v>
          </cell>
          <cell r="V13" t="str">
            <v>îng</v>
          </cell>
          <cell r="W13" t="str">
            <v>ìng</v>
          </cell>
          <cell r="X13" t="str">
            <v>īng</v>
          </cell>
          <cell r="Y13" t="str">
            <v>i̍k</v>
          </cell>
        </row>
        <row r="14">
          <cell r="R14" t="str">
            <v>uan</v>
          </cell>
          <cell r="S14" t="str">
            <v>uán</v>
          </cell>
          <cell r="T14" t="str">
            <v>uàn</v>
          </cell>
          <cell r="U14" t="str">
            <v>uat</v>
          </cell>
          <cell r="V14" t="str">
            <v>uân</v>
          </cell>
          <cell r="W14" t="str">
            <v>uàn</v>
          </cell>
          <cell r="X14" t="str">
            <v>uān</v>
          </cell>
          <cell r="Y14" t="str">
            <v>ua̍t</v>
          </cell>
        </row>
        <row r="15">
          <cell r="R15" t="str">
            <v>oo</v>
          </cell>
          <cell r="S15" t="str">
            <v>óo</v>
          </cell>
          <cell r="T15" t="str">
            <v>òo</v>
          </cell>
          <cell r="U15" t="str">
            <v>ooh</v>
          </cell>
          <cell r="V15" t="str">
            <v>ôo</v>
          </cell>
          <cell r="W15" t="str">
            <v>0</v>
          </cell>
          <cell r="X15" t="str">
            <v>ōo</v>
          </cell>
          <cell r="Y15" t="str">
            <v>o̍oh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</v>
          </cell>
          <cell r="S17" t="str">
            <v>é</v>
          </cell>
          <cell r="T17" t="str">
            <v>è</v>
          </cell>
          <cell r="U17" t="str">
            <v>eh</v>
          </cell>
          <cell r="V17" t="str">
            <v>ê</v>
          </cell>
          <cell r="W17" t="str">
            <v>è</v>
          </cell>
          <cell r="X17" t="str">
            <v>ē</v>
          </cell>
          <cell r="Y17" t="str">
            <v>e̍h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ua</v>
          </cell>
          <cell r="S24" t="str">
            <v>úa</v>
          </cell>
          <cell r="T24" t="str">
            <v>ùa</v>
          </cell>
          <cell r="U24" t="str">
            <v>uah</v>
          </cell>
          <cell r="V24" t="str">
            <v>ûa</v>
          </cell>
          <cell r="W24" t="str">
            <v>ùa</v>
          </cell>
          <cell r="X24" t="str">
            <v>ūa</v>
          </cell>
          <cell r="Y24" t="str">
            <v>u̍ah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ue</v>
          </cell>
          <cell r="S29" t="str">
            <v>úe</v>
          </cell>
          <cell r="T29" t="str">
            <v>ùe</v>
          </cell>
          <cell r="U29" t="str">
            <v>ueh</v>
          </cell>
          <cell r="V29" t="str">
            <v>ûe</v>
          </cell>
          <cell r="W29" t="str">
            <v>ùe</v>
          </cell>
          <cell r="X29" t="str">
            <v>ūe</v>
          </cell>
          <cell r="Y29" t="str">
            <v>u̍eh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annh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a̍nnh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ennh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e̍nnh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innh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i̍nnh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uann</v>
          </cell>
          <cell r="S41" t="str">
            <v>úann</v>
          </cell>
          <cell r="T41" t="str">
            <v>ùann</v>
          </cell>
          <cell r="U41" t="str">
            <v>uannh</v>
          </cell>
          <cell r="V41" t="str">
            <v>ûann</v>
          </cell>
          <cell r="W41" t="str">
            <v>ùann</v>
          </cell>
          <cell r="X41" t="str">
            <v>ūann</v>
          </cell>
          <cell r="Y41" t="str">
            <v>u̍annh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n̂gh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</v>
          </cell>
        </row>
        <row r="47">
          <cell r="R47" t="str">
            <v>uang</v>
          </cell>
          <cell r="S47" t="str">
            <v>uáng</v>
          </cell>
          <cell r="T47" t="str">
            <v>uàng</v>
          </cell>
          <cell r="U47" t="str">
            <v>uak</v>
          </cell>
          <cell r="V47" t="str">
            <v>uâng</v>
          </cell>
          <cell r="W47" t="str">
            <v>uàng</v>
          </cell>
          <cell r="X47" t="str">
            <v>uāng</v>
          </cell>
          <cell r="Y47" t="str">
            <v>ua̍k</v>
          </cell>
        </row>
        <row r="48">
          <cell r="R48" t="str">
            <v>uainn</v>
          </cell>
          <cell r="S48" t="str">
            <v>uáinn</v>
          </cell>
          <cell r="T48" t="str">
            <v>uàinn</v>
          </cell>
          <cell r="U48" t="str">
            <v>uainnh</v>
          </cell>
          <cell r="V48" t="str">
            <v>uâinn</v>
          </cell>
          <cell r="W48" t="str">
            <v>uàinn</v>
          </cell>
          <cell r="X48" t="str">
            <v>uāinn</v>
          </cell>
          <cell r="Y48" t="str">
            <v>ua̍innh</v>
          </cell>
        </row>
        <row r="49">
          <cell r="R49" t="str">
            <v>uenn</v>
          </cell>
          <cell r="S49" t="str">
            <v>úenn</v>
          </cell>
          <cell r="T49" t="str">
            <v>ùenn</v>
          </cell>
          <cell r="U49" t="str">
            <v>uennh</v>
          </cell>
          <cell r="V49" t="str">
            <v>ûenn</v>
          </cell>
          <cell r="W49" t="str">
            <v>ùenn</v>
          </cell>
          <cell r="X49" t="str">
            <v>ūenn</v>
          </cell>
          <cell r="Y49" t="str">
            <v>u̍ennh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iaunnh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ia̍unnh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onnh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o̍nnh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漢字查音"/>
      <sheetName val="聲母輸入表"/>
      <sheetName val="韻母輸入表"/>
      <sheetName val="聲調輸入"/>
      <sheetName val="十五音韻母序"/>
      <sheetName val="台語彙音（增補彙音）"/>
      <sheetName val="韻母字典"/>
      <sheetName val="漢字查音 (多字)"/>
      <sheetName val="彙集雅俗通字典"/>
      <sheetName val="聲母對照表"/>
      <sheetName val="韻母對照表"/>
      <sheetName val="聲調表"/>
      <sheetName val="設定"/>
      <sheetName val="【聲母】十五音對照表"/>
      <sheetName val="【聲母】十五音聲母發音表"/>
      <sheetName val="【韻母】十五音對照表"/>
      <sheetName val="【韻母】韻腹排序對照表"/>
      <sheetName val="【韻母】《漳州閩拼》對照表"/>
      <sheetName val="閩拼-聲調"/>
      <sheetName val="元音舌位圖"/>
      <sheetName val="【韻母】元音及韻化輔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B4" t="str">
            <v>l</v>
          </cell>
        </row>
        <row r="5">
          <cell r="B5" t="str">
            <v>p</v>
          </cell>
        </row>
        <row r="6">
          <cell r="B6" t="str">
            <v>k</v>
          </cell>
        </row>
        <row r="7">
          <cell r="B7" t="str">
            <v>kh</v>
          </cell>
        </row>
        <row r="8">
          <cell r="B8" t="str">
            <v>t</v>
          </cell>
        </row>
        <row r="9">
          <cell r="B9" t="str">
            <v>ph</v>
          </cell>
        </row>
        <row r="10">
          <cell r="B10" t="str">
            <v>th</v>
          </cell>
        </row>
        <row r="11">
          <cell r="B11" t="str">
            <v>z</v>
          </cell>
        </row>
        <row r="12">
          <cell r="B12" t="str">
            <v>j</v>
          </cell>
        </row>
        <row r="13">
          <cell r="B13" t="str">
            <v>s</v>
          </cell>
        </row>
        <row r="14">
          <cell r="B14" t="str">
            <v>q</v>
          </cell>
        </row>
        <row r="15">
          <cell r="B15" t="str">
            <v>b</v>
          </cell>
        </row>
        <row r="16">
          <cell r="B16" t="str">
            <v>g</v>
          </cell>
        </row>
        <row r="17">
          <cell r="B17" t="str">
            <v>c</v>
          </cell>
        </row>
        <row r="18">
          <cell r="B18" t="str">
            <v>h</v>
          </cell>
        </row>
        <row r="19">
          <cell r="B19" t="str">
            <v>m</v>
          </cell>
        </row>
        <row r="20">
          <cell r="B20" t="str">
            <v>n</v>
          </cell>
        </row>
        <row r="21">
          <cell r="B21" t="str">
            <v>ng</v>
          </cell>
        </row>
      </sheetData>
      <sheetData sheetId="10">
        <row r="4">
          <cell r="B4" t="str">
            <v>un</v>
          </cell>
        </row>
        <row r="5">
          <cell r="B5" t="str">
            <v>ut</v>
          </cell>
        </row>
        <row r="6">
          <cell r="B6" t="str">
            <v>ian</v>
          </cell>
        </row>
        <row r="7">
          <cell r="B7" t="str">
            <v>iat</v>
          </cell>
        </row>
        <row r="8">
          <cell r="B8" t="str">
            <v>im</v>
          </cell>
        </row>
        <row r="9">
          <cell r="B9" t="str">
            <v>ip</v>
          </cell>
        </row>
        <row r="10">
          <cell r="B10" t="str">
            <v>ui</v>
          </cell>
        </row>
        <row r="11">
          <cell r="B11">
            <v>0</v>
          </cell>
        </row>
        <row r="12">
          <cell r="B12" t="str">
            <v>ee</v>
          </cell>
        </row>
        <row r="13">
          <cell r="B13" t="str">
            <v>eeh</v>
          </cell>
        </row>
        <row r="14">
          <cell r="B14" t="str">
            <v>an</v>
          </cell>
        </row>
        <row r="15">
          <cell r="B15" t="str">
            <v>at</v>
          </cell>
        </row>
        <row r="16">
          <cell r="B16" t="str">
            <v>ong</v>
          </cell>
        </row>
        <row r="17">
          <cell r="B17" t="str">
            <v>ok</v>
          </cell>
        </row>
        <row r="18">
          <cell r="B18" t="str">
            <v>uai</v>
          </cell>
        </row>
        <row r="19">
          <cell r="B19" t="str">
            <v>uaih</v>
          </cell>
        </row>
        <row r="20">
          <cell r="B20" t="str">
            <v>ing</v>
          </cell>
        </row>
        <row r="21">
          <cell r="B21" t="str">
            <v>ik</v>
          </cell>
        </row>
        <row r="22">
          <cell r="B22" t="str">
            <v>uan</v>
          </cell>
        </row>
        <row r="23">
          <cell r="B23" t="str">
            <v>uat</v>
          </cell>
        </row>
        <row r="24">
          <cell r="B24" t="str">
            <v>oo</v>
          </cell>
        </row>
        <row r="25">
          <cell r="B25">
            <v>0</v>
          </cell>
        </row>
        <row r="26">
          <cell r="B26" t="str">
            <v>iau</v>
          </cell>
        </row>
        <row r="27">
          <cell r="B27" t="str">
            <v>iauh</v>
          </cell>
        </row>
        <row r="28">
          <cell r="B28" t="str">
            <v>ei</v>
          </cell>
        </row>
        <row r="29">
          <cell r="B29">
            <v>0</v>
          </cell>
        </row>
        <row r="30">
          <cell r="B30" t="str">
            <v>iong</v>
          </cell>
        </row>
        <row r="31">
          <cell r="B31" t="str">
            <v>iok</v>
          </cell>
        </row>
        <row r="32">
          <cell r="B32" t="str">
            <v>o</v>
          </cell>
        </row>
        <row r="33">
          <cell r="B33" t="str">
            <v>oh</v>
          </cell>
        </row>
        <row r="34">
          <cell r="B34" t="str">
            <v>ai</v>
          </cell>
        </row>
        <row r="35">
          <cell r="B35">
            <v>0</v>
          </cell>
        </row>
        <row r="36">
          <cell r="B36" t="str">
            <v>in</v>
          </cell>
        </row>
        <row r="37">
          <cell r="B37" t="str">
            <v>it</v>
          </cell>
        </row>
        <row r="38">
          <cell r="B38" t="str">
            <v>iang</v>
          </cell>
        </row>
        <row r="39">
          <cell r="B39" t="str">
            <v>iak</v>
          </cell>
        </row>
        <row r="40">
          <cell r="B40" t="str">
            <v>am</v>
          </cell>
        </row>
        <row r="41">
          <cell r="B41" t="str">
            <v>ap</v>
          </cell>
        </row>
        <row r="42">
          <cell r="B42" t="str">
            <v>ua</v>
          </cell>
        </row>
        <row r="43">
          <cell r="B43" t="str">
            <v>uah</v>
          </cell>
        </row>
        <row r="44">
          <cell r="B44" t="str">
            <v>ang</v>
          </cell>
        </row>
        <row r="45">
          <cell r="B45" t="str">
            <v>ak</v>
          </cell>
        </row>
        <row r="46">
          <cell r="B46" t="str">
            <v>iam</v>
          </cell>
        </row>
        <row r="47">
          <cell r="B47" t="str">
            <v>iap</v>
          </cell>
        </row>
        <row r="48">
          <cell r="B48" t="str">
            <v>au</v>
          </cell>
        </row>
        <row r="49">
          <cell r="B49" t="str">
            <v>auh</v>
          </cell>
        </row>
        <row r="50">
          <cell r="B50" t="str">
            <v>ia</v>
          </cell>
        </row>
        <row r="51">
          <cell r="B51" t="str">
            <v>iah</v>
          </cell>
        </row>
        <row r="52">
          <cell r="B52" t="str">
            <v>ue</v>
          </cell>
        </row>
        <row r="53">
          <cell r="B53" t="str">
            <v>ueh</v>
          </cell>
        </row>
        <row r="54">
          <cell r="B54" t="str">
            <v>ann</v>
          </cell>
        </row>
        <row r="55">
          <cell r="B55" t="str">
            <v>ahnn</v>
          </cell>
        </row>
        <row r="56">
          <cell r="B56" t="str">
            <v>u</v>
          </cell>
        </row>
        <row r="57">
          <cell r="B57" t="str">
            <v>uh</v>
          </cell>
        </row>
        <row r="58">
          <cell r="B58" t="str">
            <v>a</v>
          </cell>
        </row>
        <row r="59">
          <cell r="B59" t="str">
            <v>ah</v>
          </cell>
        </row>
        <row r="60">
          <cell r="B60" t="str">
            <v>i</v>
          </cell>
        </row>
        <row r="61">
          <cell r="B61" t="str">
            <v>ih</v>
          </cell>
        </row>
        <row r="62">
          <cell r="B62" t="str">
            <v>iu</v>
          </cell>
        </row>
        <row r="63">
          <cell r="B63">
            <v>0</v>
          </cell>
        </row>
        <row r="64">
          <cell r="B64" t="str">
            <v>enn</v>
          </cell>
        </row>
        <row r="65">
          <cell r="B65" t="str">
            <v>ehnn</v>
          </cell>
        </row>
        <row r="66">
          <cell r="B66" t="str">
            <v>uinn</v>
          </cell>
        </row>
        <row r="67">
          <cell r="B67">
            <v>0</v>
          </cell>
        </row>
        <row r="68">
          <cell r="B68" t="str">
            <v>io</v>
          </cell>
        </row>
        <row r="69">
          <cell r="B69" t="str">
            <v>ioh</v>
          </cell>
        </row>
        <row r="70">
          <cell r="B70" t="str">
            <v>inn</v>
          </cell>
        </row>
        <row r="71">
          <cell r="B71" t="str">
            <v>ihnn</v>
          </cell>
        </row>
        <row r="72">
          <cell r="B72" t="str">
            <v>ionn</v>
          </cell>
        </row>
        <row r="73">
          <cell r="B73">
            <v>0</v>
          </cell>
        </row>
        <row r="74">
          <cell r="B74" t="str">
            <v>iann</v>
          </cell>
        </row>
        <row r="75">
          <cell r="B75">
            <v>0</v>
          </cell>
        </row>
        <row r="76">
          <cell r="B76" t="str">
            <v>uann</v>
          </cell>
        </row>
        <row r="77">
          <cell r="B77">
            <v>0</v>
          </cell>
        </row>
        <row r="78">
          <cell r="B78" t="str">
            <v>ng</v>
          </cell>
        </row>
        <row r="79">
          <cell r="B79">
            <v>0</v>
          </cell>
        </row>
        <row r="80">
          <cell r="B80" t="str">
            <v>e</v>
          </cell>
        </row>
        <row r="81">
          <cell r="B81" t="str">
            <v>eh</v>
          </cell>
        </row>
        <row r="82">
          <cell r="B82" t="str">
            <v>ainn</v>
          </cell>
        </row>
        <row r="83">
          <cell r="B83">
            <v>0</v>
          </cell>
        </row>
        <row r="84">
          <cell r="B84" t="str">
            <v>oonn</v>
          </cell>
        </row>
        <row r="85">
          <cell r="B85">
            <v>0</v>
          </cell>
        </row>
        <row r="86">
          <cell r="B86" t="str">
            <v>m</v>
          </cell>
        </row>
        <row r="87">
          <cell r="B87">
            <v>0</v>
          </cell>
        </row>
        <row r="88">
          <cell r="B88" t="str">
            <v>uang</v>
          </cell>
        </row>
        <row r="89">
          <cell r="B89" t="str">
            <v>uak</v>
          </cell>
        </row>
        <row r="90">
          <cell r="B90" t="str">
            <v>uainn</v>
          </cell>
        </row>
        <row r="91">
          <cell r="B91" t="str">
            <v>uaihnn</v>
          </cell>
        </row>
        <row r="92">
          <cell r="B92" t="str">
            <v>uenn</v>
          </cell>
        </row>
        <row r="93">
          <cell r="B93">
            <v>0</v>
          </cell>
        </row>
        <row r="94">
          <cell r="B94" t="str">
            <v>iaunn</v>
          </cell>
        </row>
        <row r="95">
          <cell r="B95" t="str">
            <v>iauhnn</v>
          </cell>
        </row>
        <row r="96">
          <cell r="B96" t="str">
            <v>om</v>
          </cell>
        </row>
        <row r="97">
          <cell r="B97" t="str">
            <v>op</v>
          </cell>
        </row>
        <row r="98">
          <cell r="B98" t="str">
            <v>aunn</v>
          </cell>
        </row>
        <row r="99">
          <cell r="B99">
            <v>0</v>
          </cell>
        </row>
        <row r="100">
          <cell r="B100" t="str">
            <v>onn</v>
          </cell>
        </row>
        <row r="101">
          <cell r="B101" t="str">
            <v>ohnn</v>
          </cell>
        </row>
        <row r="102">
          <cell r="B102" t="str">
            <v>iunn</v>
          </cell>
        </row>
        <row r="103">
          <cell r="B103">
            <v>0</v>
          </cell>
        </row>
      </sheetData>
      <sheetData sheetId="11" refreshError="1"/>
      <sheetData sheetId="12">
        <row r="3">
          <cell r="I3">
            <v>1</v>
          </cell>
          <cell r="J3" t="str">
            <v/>
          </cell>
        </row>
        <row r="4">
          <cell r="I4">
            <v>3</v>
          </cell>
          <cell r="J4" t="str">
            <v>ˋ</v>
          </cell>
        </row>
        <row r="5">
          <cell r="I5">
            <v>5</v>
          </cell>
          <cell r="J5" t="str">
            <v>˪</v>
          </cell>
        </row>
        <row r="6">
          <cell r="I6">
            <v>7</v>
          </cell>
          <cell r="J6" t="str">
            <v/>
          </cell>
        </row>
        <row r="7">
          <cell r="I7">
            <v>2</v>
          </cell>
          <cell r="J7" t="str">
            <v>ˊ</v>
          </cell>
        </row>
        <row r="8">
          <cell r="I8">
            <v>4</v>
          </cell>
          <cell r="J8" t="str">
            <v/>
          </cell>
        </row>
        <row r="9">
          <cell r="I9">
            <v>6</v>
          </cell>
          <cell r="J9" t="str">
            <v>˫</v>
          </cell>
        </row>
        <row r="10">
          <cell r="I10">
            <v>8</v>
          </cell>
          <cell r="J10" t="str">
            <v>˙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聲母與韻母清單【台語注音二式】 (2)"/>
      <sheetName val="聲母"/>
      <sheetName val="韻母"/>
      <sheetName val="聲母列表"/>
      <sheetName val="聲母列表 (2)"/>
      <sheetName val="韻母列表"/>
      <sheetName val="十五音聲母對照表"/>
      <sheetName val="台羅音節表"/>
      <sheetName val="十五音韻母對照表"/>
      <sheetName val="聲調對照表"/>
      <sheetName val="台語注音二式-音節表"/>
      <sheetName val="台語注音二式編碼表"/>
      <sheetName val="聲母與韻母清單【台語注音二式】"/>
      <sheetName val="方音符號-音節表"/>
      <sheetName val="廣韻聲母對照表"/>
      <sheetName val="廣韻韻母對照表"/>
      <sheetName val="廣韻韻母清單"/>
      <sheetName val="36字母表"/>
      <sheetName val="工作表7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F4" t="str">
            <v>l</v>
          </cell>
        </row>
        <row r="5">
          <cell r="F5" t="str">
            <v>p</v>
          </cell>
        </row>
        <row r="6">
          <cell r="F6" t="str">
            <v>k</v>
          </cell>
        </row>
        <row r="7">
          <cell r="F7" t="str">
            <v>kh</v>
          </cell>
        </row>
        <row r="8">
          <cell r="F8" t="str">
            <v>t</v>
          </cell>
        </row>
        <row r="9">
          <cell r="F9" t="str">
            <v>ph</v>
          </cell>
        </row>
        <row r="10">
          <cell r="F10" t="str">
            <v>th</v>
          </cell>
        </row>
        <row r="11">
          <cell r="F11" t="str">
            <v>z</v>
          </cell>
        </row>
        <row r="12">
          <cell r="F12" t="str">
            <v>j</v>
          </cell>
        </row>
        <row r="13">
          <cell r="F13" t="str">
            <v>s</v>
          </cell>
        </row>
        <row r="14">
          <cell r="F14" t="str">
            <v>Ø</v>
          </cell>
        </row>
        <row r="15">
          <cell r="F15" t="str">
            <v>b</v>
          </cell>
        </row>
        <row r="16">
          <cell r="F16" t="str">
            <v>g</v>
          </cell>
        </row>
        <row r="17">
          <cell r="F17" t="str">
            <v>c</v>
          </cell>
        </row>
        <row r="18">
          <cell r="F18" t="str">
            <v>h</v>
          </cell>
        </row>
        <row r="19">
          <cell r="F19" t="str">
            <v>m</v>
          </cell>
        </row>
        <row r="20">
          <cell r="F20" t="str">
            <v>n</v>
          </cell>
        </row>
        <row r="21">
          <cell r="F21" t="str">
            <v>ng</v>
          </cell>
        </row>
        <row r="22">
          <cell r="F22" t="str">
            <v>ji</v>
          </cell>
        </row>
        <row r="23">
          <cell r="F23" t="str">
            <v>zi</v>
          </cell>
        </row>
        <row r="24">
          <cell r="F24" t="str">
            <v>ci</v>
          </cell>
        </row>
        <row r="25">
          <cell r="F25" t="str">
            <v>si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v"/>
      <sheetName val="人工標音字庫"/>
      <sheetName val="標音字庫 ( before a210)"/>
      <sheetName val="標音字庫"/>
      <sheetName val="缺字表"/>
      <sheetName val="漢字注音"/>
      <sheetName val="漢字注音 (白話音)"/>
      <sheetName val="漢字注音 (2)"/>
      <sheetName val="人工標音字庫 (2)"/>
      <sheetName val="漢字注音 (範例)"/>
      <sheetName val="缺字表 (範例)"/>
      <sheetName val="標音字庫 (範例)"/>
    </sheetNames>
    <sheetDataSet>
      <sheetData sheetId="0">
        <row r="10">
          <cell r="C1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輸入工具"/>
      <sheetName val="輸入工具 (閩拼方案)"/>
      <sheetName val="輸入工具 (台語注音二式)"/>
      <sheetName val="輸入工具 (台語音標)"/>
      <sheetName val="輸入工具 (台羅拼音)"/>
      <sheetName val="輸入工具 (白話字)"/>
      <sheetName val="【聲】聲母對照表"/>
      <sheetName val="【聲】聲母排序表"/>
      <sheetName val="【韻】韻母對照表"/>
      <sheetName val="【調】韻母標調"/>
      <sheetName val="台語注音二式轉方音符號"/>
      <sheetName val="台語注音二式轉換"/>
      <sheetName val="IPA音節表"/>
      <sheetName val="【十五音】韻母對照表"/>
      <sheetName val="十五音韻母"/>
      <sheetName val="馬重奇韻母50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J1">
            <v>1</v>
          </cell>
          <cell r="AK1">
            <v>2</v>
          </cell>
          <cell r="AL1">
            <v>3</v>
          </cell>
          <cell r="AM1">
            <v>4</v>
          </cell>
          <cell r="AN1">
            <v>5</v>
          </cell>
          <cell r="AO1">
            <v>6</v>
          </cell>
          <cell r="AP1">
            <v>7</v>
          </cell>
          <cell r="AQ1">
            <v>8</v>
          </cell>
          <cell r="AR1">
            <v>9</v>
          </cell>
          <cell r="AS1">
            <v>9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聲母十五音發聲表"/>
      <sheetName val="聲母十五音發聲表（YX互換）"/>
      <sheetName val="十五音聲母 (教材)"/>
      <sheetName val="十五音韻母（教材）"/>
      <sheetName val="字母八音反切"/>
      <sheetName val="字母八音反切【上下標音】"/>
      <sheetName val="50字母清單"/>
      <sheetName val="15呼音字母清單"/>
      <sheetName val="呼十五音法"/>
      <sheetName val="十五音聲母發音表 (2)"/>
      <sheetName val="十五音音節表"/>
      <sheetName val="十五音音節表 (BPM)"/>
      <sheetName val="音節表【台羅拼音序】"/>
      <sheetName val="十五音聲母"/>
      <sheetName val="十五音聲母 (BPM)"/>
      <sheetName val="十五音韻母"/>
      <sheetName val="十五音韻母【台羅拼音】"/>
      <sheetName val="工作表2"/>
      <sheetName val="工作表1"/>
      <sheetName val="十五音音節表【BoPoMo序】"/>
      <sheetName val="十五音。八音反切"/>
      <sheetName val="拚音聲調表【溫韻】"/>
      <sheetName val="閩拚拚音聲調表【溫韻】"/>
      <sheetName val="注音聲調表【方音符號】"/>
      <sheetName val="Unicode"/>
      <sheetName val="W聲調表【溫韻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F6" t="str">
            <v>lun</v>
          </cell>
          <cell r="G6"/>
          <cell r="H6" t="str">
            <v>pun</v>
          </cell>
          <cell r="I6" t="str">
            <v>kun</v>
          </cell>
          <cell r="J6" t="str">
            <v>khun</v>
          </cell>
          <cell r="K6" t="str">
            <v>tun</v>
          </cell>
          <cell r="L6" t="str">
            <v>phun</v>
          </cell>
          <cell r="M6" t="str">
            <v>thun</v>
          </cell>
          <cell r="N6" t="str">
            <v>tsun</v>
          </cell>
          <cell r="O6" t="str">
            <v>jun</v>
          </cell>
          <cell r="P6" t="str">
            <v>sun</v>
          </cell>
          <cell r="Q6" t="str">
            <v>un</v>
          </cell>
          <cell r="R6" t="str">
            <v>bun</v>
          </cell>
          <cell r="S6"/>
          <cell r="T6" t="str">
            <v>gun</v>
          </cell>
          <cell r="U6"/>
          <cell r="V6" t="str">
            <v>tshun</v>
          </cell>
          <cell r="W6" t="str">
            <v>hun</v>
          </cell>
        </row>
        <row r="7">
          <cell r="F7" t="str">
            <v>lut</v>
          </cell>
          <cell r="G7"/>
          <cell r="H7" t="str">
            <v>put</v>
          </cell>
          <cell r="I7" t="str">
            <v>kut</v>
          </cell>
          <cell r="J7" t="str">
            <v>khut</v>
          </cell>
          <cell r="K7" t="str">
            <v>tut</v>
          </cell>
          <cell r="L7" t="str">
            <v>phut</v>
          </cell>
          <cell r="M7" t="str">
            <v>thut</v>
          </cell>
          <cell r="N7" t="str">
            <v>tsut</v>
          </cell>
          <cell r="O7"/>
          <cell r="P7" t="str">
            <v>sut</v>
          </cell>
          <cell r="Q7" t="str">
            <v>ut</v>
          </cell>
          <cell r="R7" t="str">
            <v>but</v>
          </cell>
          <cell r="S7"/>
          <cell r="T7"/>
          <cell r="U7"/>
          <cell r="V7" t="str">
            <v>tshut</v>
          </cell>
          <cell r="W7" t="str">
            <v>hut</v>
          </cell>
        </row>
        <row r="8">
          <cell r="F8" t="str">
            <v>lian</v>
          </cell>
          <cell r="G8"/>
          <cell r="H8" t="str">
            <v>pian</v>
          </cell>
          <cell r="I8" t="str">
            <v>kian</v>
          </cell>
          <cell r="J8" t="str">
            <v>khian</v>
          </cell>
          <cell r="K8" t="str">
            <v>tian</v>
          </cell>
          <cell r="L8" t="str">
            <v>phian</v>
          </cell>
          <cell r="M8" t="str">
            <v>thian</v>
          </cell>
          <cell r="N8" t="str">
            <v>tsian</v>
          </cell>
          <cell r="O8" t="str">
            <v>jian</v>
          </cell>
          <cell r="P8" t="str">
            <v>sian</v>
          </cell>
          <cell r="Q8" t="str">
            <v>ian</v>
          </cell>
          <cell r="R8" t="str">
            <v>bian</v>
          </cell>
          <cell r="S8"/>
          <cell r="T8" t="str">
            <v>gian</v>
          </cell>
          <cell r="U8"/>
          <cell r="V8" t="str">
            <v>tshian</v>
          </cell>
          <cell r="W8" t="str">
            <v>hian</v>
          </cell>
        </row>
        <row r="9">
          <cell r="F9" t="str">
            <v>liat</v>
          </cell>
          <cell r="G9"/>
          <cell r="H9" t="str">
            <v>piat</v>
          </cell>
          <cell r="I9" t="str">
            <v>kiat</v>
          </cell>
          <cell r="J9" t="str">
            <v>khiat</v>
          </cell>
          <cell r="K9" t="str">
            <v>tiat</v>
          </cell>
          <cell r="L9" t="str">
            <v>phiat</v>
          </cell>
          <cell r="M9" t="str">
            <v>thiat</v>
          </cell>
          <cell r="N9" t="str">
            <v>tsiat</v>
          </cell>
          <cell r="O9" t="str">
            <v>jiat</v>
          </cell>
          <cell r="P9" t="str">
            <v>siat</v>
          </cell>
          <cell r="Q9" t="str">
            <v>iat</v>
          </cell>
          <cell r="R9" t="str">
            <v>biat</v>
          </cell>
          <cell r="S9"/>
          <cell r="T9" t="str">
            <v>giat</v>
          </cell>
          <cell r="U9"/>
          <cell r="V9" t="str">
            <v>tshiat</v>
          </cell>
          <cell r="W9" t="str">
            <v>hiat</v>
          </cell>
        </row>
        <row r="10">
          <cell r="F10" t="str">
            <v>lim</v>
          </cell>
          <cell r="G10"/>
          <cell r="H10"/>
          <cell r="I10" t="str">
            <v>kim</v>
          </cell>
          <cell r="J10" t="str">
            <v>khim</v>
          </cell>
          <cell r="K10" t="str">
            <v>tim</v>
          </cell>
          <cell r="L10"/>
          <cell r="M10" t="str">
            <v>thim</v>
          </cell>
          <cell r="N10" t="str">
            <v>tsim</v>
          </cell>
          <cell r="O10" t="str">
            <v>jim</v>
          </cell>
          <cell r="P10" t="str">
            <v>sim</v>
          </cell>
          <cell r="Q10" t="str">
            <v>im</v>
          </cell>
          <cell r="R10"/>
          <cell r="S10"/>
          <cell r="T10" t="str">
            <v>gim</v>
          </cell>
          <cell r="U10"/>
          <cell r="V10" t="str">
            <v>tshim</v>
          </cell>
          <cell r="W10" t="str">
            <v>him</v>
          </cell>
        </row>
        <row r="11">
          <cell r="F11" t="str">
            <v>lip</v>
          </cell>
          <cell r="G11"/>
          <cell r="H11"/>
          <cell r="I11" t="str">
            <v>kip</v>
          </cell>
          <cell r="J11" t="str">
            <v>khip</v>
          </cell>
          <cell r="K11"/>
          <cell r="L11"/>
          <cell r="M11"/>
          <cell r="N11" t="str">
            <v>tsip</v>
          </cell>
          <cell r="O11" t="str">
            <v>jip</v>
          </cell>
          <cell r="P11" t="str">
            <v>sip</v>
          </cell>
          <cell r="Q11" t="str">
            <v>ip</v>
          </cell>
          <cell r="R11"/>
          <cell r="S11"/>
          <cell r="T11"/>
          <cell r="U11"/>
          <cell r="V11" t="str">
            <v>tship</v>
          </cell>
          <cell r="W11" t="str">
            <v>hip</v>
          </cell>
        </row>
        <row r="12">
          <cell r="F12" t="str">
            <v>lui</v>
          </cell>
          <cell r="G12"/>
          <cell r="H12" t="str">
            <v>pui</v>
          </cell>
          <cell r="I12" t="str">
            <v>kui</v>
          </cell>
          <cell r="J12" t="str">
            <v>khui</v>
          </cell>
          <cell r="K12" t="str">
            <v>tui</v>
          </cell>
          <cell r="L12" t="str">
            <v>phui</v>
          </cell>
          <cell r="M12" t="str">
            <v>thui</v>
          </cell>
          <cell r="N12" t="str">
            <v>tsui</v>
          </cell>
          <cell r="O12"/>
          <cell r="P12" t="str">
            <v>sui</v>
          </cell>
          <cell r="Q12" t="str">
            <v>ui</v>
          </cell>
          <cell r="R12" t="str">
            <v>bui</v>
          </cell>
          <cell r="S12" t="str">
            <v>mui</v>
          </cell>
          <cell r="T12" t="str">
            <v>gui</v>
          </cell>
          <cell r="U12"/>
          <cell r="V12" t="str">
            <v>tshui</v>
          </cell>
          <cell r="W12" t="str">
            <v>hui</v>
          </cell>
        </row>
        <row r="13">
          <cell r="F13" t="str">
            <v>lan</v>
          </cell>
          <cell r="G13"/>
          <cell r="H13" t="str">
            <v>pan</v>
          </cell>
          <cell r="I13" t="str">
            <v>kan</v>
          </cell>
          <cell r="J13" t="str">
            <v>khan</v>
          </cell>
          <cell r="K13" t="str">
            <v>tan</v>
          </cell>
          <cell r="L13" t="str">
            <v>phan</v>
          </cell>
          <cell r="M13" t="str">
            <v>than</v>
          </cell>
          <cell r="N13" t="str">
            <v>tsan</v>
          </cell>
          <cell r="O13"/>
          <cell r="P13" t="str">
            <v>san</v>
          </cell>
          <cell r="Q13" t="str">
            <v>an</v>
          </cell>
          <cell r="R13" t="str">
            <v>ban</v>
          </cell>
          <cell r="S13"/>
          <cell r="T13" t="str">
            <v>gan</v>
          </cell>
          <cell r="U13"/>
          <cell r="V13" t="str">
            <v>tshan</v>
          </cell>
          <cell r="W13" t="str">
            <v>han</v>
          </cell>
        </row>
        <row r="14">
          <cell r="F14" t="str">
            <v>lat</v>
          </cell>
          <cell r="G14"/>
          <cell r="H14" t="str">
            <v>pat</v>
          </cell>
          <cell r="I14" t="str">
            <v>kat</v>
          </cell>
          <cell r="J14" t="str">
            <v>khat</v>
          </cell>
          <cell r="K14" t="str">
            <v>tat</v>
          </cell>
          <cell r="L14"/>
          <cell r="M14" t="str">
            <v>that</v>
          </cell>
          <cell r="N14" t="str">
            <v>tsat</v>
          </cell>
          <cell r="O14"/>
          <cell r="P14" t="str">
            <v>sat</v>
          </cell>
          <cell r="Q14" t="str">
            <v>at</v>
          </cell>
          <cell r="R14" t="str">
            <v>bat</v>
          </cell>
          <cell r="S14"/>
          <cell r="T14"/>
          <cell r="U14"/>
          <cell r="V14" t="str">
            <v>tshat</v>
          </cell>
          <cell r="W14" t="str">
            <v>hat</v>
          </cell>
        </row>
        <row r="15">
          <cell r="F15" t="str">
            <v>long</v>
          </cell>
          <cell r="G15"/>
          <cell r="H15" t="str">
            <v>pong</v>
          </cell>
          <cell r="I15" t="str">
            <v>kong</v>
          </cell>
          <cell r="J15" t="str">
            <v>khong</v>
          </cell>
          <cell r="K15" t="str">
            <v>tong</v>
          </cell>
          <cell r="L15" t="str">
            <v>phong</v>
          </cell>
          <cell r="M15" t="str">
            <v>thong</v>
          </cell>
          <cell r="N15" t="str">
            <v>tsong</v>
          </cell>
          <cell r="O15"/>
          <cell r="P15" t="str">
            <v>song</v>
          </cell>
          <cell r="Q15" t="str">
            <v>ong</v>
          </cell>
          <cell r="R15" t="str">
            <v>bong</v>
          </cell>
          <cell r="S15"/>
          <cell r="T15" t="str">
            <v>gong</v>
          </cell>
          <cell r="U15"/>
          <cell r="V15" t="str">
            <v>tshong</v>
          </cell>
          <cell r="W15" t="str">
            <v>hong</v>
          </cell>
        </row>
        <row r="16">
          <cell r="F16" t="str">
            <v>lok</v>
          </cell>
          <cell r="G16"/>
          <cell r="H16" t="str">
            <v>pok</v>
          </cell>
          <cell r="I16" t="str">
            <v>kok</v>
          </cell>
          <cell r="J16" t="str">
            <v>khok</v>
          </cell>
          <cell r="K16" t="str">
            <v>tok</v>
          </cell>
          <cell r="L16" t="str">
            <v>phok</v>
          </cell>
          <cell r="M16" t="str">
            <v>thok</v>
          </cell>
          <cell r="N16" t="str">
            <v>tsok</v>
          </cell>
          <cell r="O16"/>
          <cell r="P16" t="str">
            <v>sok</v>
          </cell>
          <cell r="Q16" t="str">
            <v>ok</v>
          </cell>
          <cell r="R16" t="str">
            <v>bok</v>
          </cell>
          <cell r="S16"/>
          <cell r="T16" t="str">
            <v>gok</v>
          </cell>
          <cell r="U16"/>
          <cell r="V16" t="str">
            <v>tshok</v>
          </cell>
          <cell r="W16" t="str">
            <v>hok</v>
          </cell>
        </row>
        <row r="17">
          <cell r="F17"/>
          <cell r="G17"/>
          <cell r="H17"/>
          <cell r="I17" t="str">
            <v>kuai</v>
          </cell>
          <cell r="J17" t="str">
            <v>khuai</v>
          </cell>
          <cell r="K17"/>
          <cell r="L17"/>
          <cell r="M17"/>
          <cell r="N17"/>
          <cell r="O17"/>
          <cell r="P17" t="str">
            <v>suai</v>
          </cell>
          <cell r="Q17" t="str">
            <v>uai</v>
          </cell>
          <cell r="R17"/>
          <cell r="S17"/>
          <cell r="T17"/>
          <cell r="U17"/>
          <cell r="V17"/>
          <cell r="W17" t="str">
            <v>huai</v>
          </cell>
        </row>
        <row r="18">
          <cell r="F18" t="str">
            <v>ling</v>
          </cell>
          <cell r="G18"/>
          <cell r="H18" t="str">
            <v>ping</v>
          </cell>
          <cell r="I18" t="str">
            <v>king</v>
          </cell>
          <cell r="J18" t="str">
            <v>khing</v>
          </cell>
          <cell r="K18" t="str">
            <v>ting</v>
          </cell>
          <cell r="L18" t="str">
            <v>phing</v>
          </cell>
          <cell r="M18" t="str">
            <v>thing</v>
          </cell>
          <cell r="N18" t="str">
            <v>tsing</v>
          </cell>
          <cell r="O18"/>
          <cell r="P18" t="str">
            <v>sing</v>
          </cell>
          <cell r="Q18" t="str">
            <v>ing</v>
          </cell>
          <cell r="R18" t="str">
            <v>bing</v>
          </cell>
          <cell r="S18"/>
          <cell r="T18" t="str">
            <v>ging</v>
          </cell>
          <cell r="U18"/>
          <cell r="V18" t="str">
            <v>tshing</v>
          </cell>
          <cell r="W18" t="str">
            <v>hing</v>
          </cell>
        </row>
        <row r="19">
          <cell r="F19" t="str">
            <v>lik</v>
          </cell>
          <cell r="G19"/>
          <cell r="H19" t="str">
            <v>pik</v>
          </cell>
          <cell r="I19" t="str">
            <v>kik</v>
          </cell>
          <cell r="J19"/>
          <cell r="K19" t="str">
            <v>tik</v>
          </cell>
          <cell r="L19" t="str">
            <v>phik</v>
          </cell>
          <cell r="M19" t="str">
            <v>thik</v>
          </cell>
          <cell r="N19" t="str">
            <v>tsik</v>
          </cell>
          <cell r="O19"/>
          <cell r="P19" t="str">
            <v>sik</v>
          </cell>
          <cell r="Q19" t="str">
            <v>ik</v>
          </cell>
          <cell r="R19" t="str">
            <v>bik</v>
          </cell>
          <cell r="S19"/>
          <cell r="T19" t="str">
            <v>gik</v>
          </cell>
          <cell r="U19"/>
          <cell r="V19" t="str">
            <v>tshik</v>
          </cell>
          <cell r="W19" t="str">
            <v>hik</v>
          </cell>
        </row>
        <row r="20">
          <cell r="F20" t="str">
            <v>luan</v>
          </cell>
          <cell r="G20"/>
          <cell r="H20" t="str">
            <v>puan</v>
          </cell>
          <cell r="I20" t="str">
            <v>kuan</v>
          </cell>
          <cell r="J20" t="str">
            <v>khuan</v>
          </cell>
          <cell r="K20" t="str">
            <v>tuan</v>
          </cell>
          <cell r="L20" t="str">
            <v>phuan</v>
          </cell>
          <cell r="M20" t="str">
            <v>thuan</v>
          </cell>
          <cell r="N20" t="str">
            <v>tsuan</v>
          </cell>
          <cell r="O20"/>
          <cell r="P20" t="str">
            <v>suan</v>
          </cell>
          <cell r="Q20" t="str">
            <v>uan</v>
          </cell>
          <cell r="R20" t="str">
            <v>buan</v>
          </cell>
          <cell r="S20"/>
          <cell r="T20" t="str">
            <v>guan</v>
          </cell>
          <cell r="U20"/>
          <cell r="V20" t="str">
            <v>tshuan</v>
          </cell>
          <cell r="W20" t="str">
            <v>huan</v>
          </cell>
        </row>
        <row r="21">
          <cell r="F21" t="str">
            <v>luat</v>
          </cell>
          <cell r="G21"/>
          <cell r="H21" t="str">
            <v>puat</v>
          </cell>
          <cell r="I21" t="str">
            <v>kuat</v>
          </cell>
          <cell r="J21" t="str">
            <v>khuat</v>
          </cell>
          <cell r="K21" t="str">
            <v>tuat</v>
          </cell>
          <cell r="L21" t="str">
            <v>phuat</v>
          </cell>
          <cell r="M21" t="str">
            <v>thuat</v>
          </cell>
          <cell r="N21" t="str">
            <v>tsuat</v>
          </cell>
          <cell r="O21"/>
          <cell r="P21" t="str">
            <v>suat</v>
          </cell>
          <cell r="Q21" t="str">
            <v>uat</v>
          </cell>
          <cell r="R21" t="str">
            <v>buat</v>
          </cell>
          <cell r="S21"/>
          <cell r="T21" t="str">
            <v>guat</v>
          </cell>
          <cell r="U21"/>
          <cell r="V21"/>
          <cell r="W21" t="str">
            <v>huat</v>
          </cell>
        </row>
        <row r="22">
          <cell r="F22" t="str">
            <v>loo</v>
          </cell>
          <cell r="G22" t="str">
            <v>noo</v>
          </cell>
          <cell r="H22" t="str">
            <v>poo</v>
          </cell>
          <cell r="I22" t="str">
            <v>koo</v>
          </cell>
          <cell r="J22" t="str">
            <v>khoo</v>
          </cell>
          <cell r="K22" t="str">
            <v>too</v>
          </cell>
          <cell r="L22" t="str">
            <v>phoo</v>
          </cell>
          <cell r="M22" t="str">
            <v>thoo</v>
          </cell>
          <cell r="N22" t="str">
            <v>tsoo</v>
          </cell>
          <cell r="O22"/>
          <cell r="P22" t="str">
            <v>soo</v>
          </cell>
          <cell r="Q22" t="str">
            <v>oo</v>
          </cell>
          <cell r="R22" t="str">
            <v>boo</v>
          </cell>
          <cell r="S22" t="str">
            <v>moo</v>
          </cell>
          <cell r="T22" t="str">
            <v>goo</v>
          </cell>
          <cell r="U22" t="str">
            <v>ngoo</v>
          </cell>
          <cell r="V22" t="str">
            <v>tshoo</v>
          </cell>
          <cell r="W22" t="str">
            <v>hoo</v>
          </cell>
        </row>
        <row r="23"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 t="str">
            <v>mooh</v>
          </cell>
          <cell r="T23"/>
          <cell r="U23"/>
          <cell r="V23"/>
          <cell r="W23"/>
        </row>
        <row r="24">
          <cell r="F24" t="str">
            <v>liau</v>
          </cell>
          <cell r="G24" t="str">
            <v>niau</v>
          </cell>
          <cell r="H24" t="str">
            <v>piau</v>
          </cell>
          <cell r="I24" t="str">
            <v>kiau</v>
          </cell>
          <cell r="J24" t="str">
            <v>khiau</v>
          </cell>
          <cell r="K24" t="str">
            <v>tiau</v>
          </cell>
          <cell r="L24" t="str">
            <v>phiau</v>
          </cell>
          <cell r="M24" t="str">
            <v>thiau</v>
          </cell>
          <cell r="N24" t="str">
            <v>tsiau</v>
          </cell>
          <cell r="O24" t="str">
            <v>jiau</v>
          </cell>
          <cell r="P24" t="str">
            <v>siau</v>
          </cell>
          <cell r="Q24" t="str">
            <v>iau</v>
          </cell>
          <cell r="R24" t="str">
            <v>biau</v>
          </cell>
          <cell r="S24" t="str">
            <v>miau</v>
          </cell>
          <cell r="T24" t="str">
            <v>giau</v>
          </cell>
          <cell r="U24" t="str">
            <v>ngiau</v>
          </cell>
          <cell r="V24" t="str">
            <v>tshiau</v>
          </cell>
          <cell r="W24" t="str">
            <v>hiau</v>
          </cell>
        </row>
        <row r="25">
          <cell r="F25"/>
          <cell r="G25"/>
          <cell r="H25"/>
          <cell r="I25"/>
          <cell r="J25" t="str">
            <v>khiauh</v>
          </cell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 t="str">
            <v>ngiauh</v>
          </cell>
          <cell r="V25"/>
          <cell r="W25" t="str">
            <v>hiauh</v>
          </cell>
        </row>
        <row r="26">
          <cell r="F26" t="str">
            <v>le</v>
          </cell>
          <cell r="G26" t="str">
            <v>ne</v>
          </cell>
          <cell r="H26" t="str">
            <v>pe</v>
          </cell>
          <cell r="I26" t="str">
            <v>ke</v>
          </cell>
          <cell r="J26" t="str">
            <v>khe</v>
          </cell>
          <cell r="K26" t="str">
            <v>te</v>
          </cell>
          <cell r="L26" t="str">
            <v>phe</v>
          </cell>
          <cell r="M26" t="str">
            <v>the</v>
          </cell>
          <cell r="N26" t="str">
            <v>tse</v>
          </cell>
          <cell r="O26"/>
          <cell r="P26" t="str">
            <v>se</v>
          </cell>
          <cell r="Q26" t="str">
            <v>e</v>
          </cell>
          <cell r="R26" t="str">
            <v>be</v>
          </cell>
          <cell r="S26" t="str">
            <v>me</v>
          </cell>
          <cell r="T26" t="str">
            <v>ge</v>
          </cell>
          <cell r="U26" t="str">
            <v>nge</v>
          </cell>
          <cell r="V26" t="str">
            <v>tshe</v>
          </cell>
          <cell r="W26" t="str">
            <v>he</v>
          </cell>
        </row>
        <row r="27">
          <cell r="F27" t="str">
            <v>liong</v>
          </cell>
          <cell r="G27"/>
          <cell r="H27"/>
          <cell r="I27" t="str">
            <v>kiong</v>
          </cell>
          <cell r="J27" t="str">
            <v>khiong</v>
          </cell>
          <cell r="K27" t="str">
            <v>tiong</v>
          </cell>
          <cell r="L27"/>
          <cell r="M27" t="str">
            <v>thiong</v>
          </cell>
          <cell r="N27" t="str">
            <v>tsiong</v>
          </cell>
          <cell r="O27" t="str">
            <v>jiong</v>
          </cell>
          <cell r="P27" t="str">
            <v>siong</v>
          </cell>
          <cell r="Q27" t="str">
            <v>iong</v>
          </cell>
          <cell r="R27"/>
          <cell r="S27"/>
          <cell r="T27" t="str">
            <v>giong</v>
          </cell>
          <cell r="U27"/>
          <cell r="V27" t="str">
            <v>tshiong</v>
          </cell>
          <cell r="W27" t="str">
            <v>hiong</v>
          </cell>
        </row>
        <row r="28">
          <cell r="F28" t="str">
            <v>liok</v>
          </cell>
          <cell r="G28"/>
          <cell r="H28"/>
          <cell r="I28" t="str">
            <v>kiok</v>
          </cell>
          <cell r="J28" t="str">
            <v>khiok</v>
          </cell>
          <cell r="K28" t="str">
            <v>tiok</v>
          </cell>
          <cell r="L28"/>
          <cell r="M28" t="str">
            <v>thiok</v>
          </cell>
          <cell r="N28" t="str">
            <v>tsiok</v>
          </cell>
          <cell r="O28" t="str">
            <v>jiok</v>
          </cell>
          <cell r="P28" t="str">
            <v>siok</v>
          </cell>
          <cell r="Q28" t="str">
            <v>iok</v>
          </cell>
          <cell r="R28"/>
          <cell r="S28"/>
          <cell r="T28" t="str">
            <v>giok</v>
          </cell>
          <cell r="U28"/>
          <cell r="V28" t="str">
            <v>tshiok</v>
          </cell>
          <cell r="W28" t="str">
            <v>hiok</v>
          </cell>
        </row>
        <row r="29">
          <cell r="F29" t="str">
            <v>lo</v>
          </cell>
          <cell r="G29"/>
          <cell r="H29" t="str">
            <v>po</v>
          </cell>
          <cell r="I29" t="str">
            <v>ko</v>
          </cell>
          <cell r="J29" t="str">
            <v>kho</v>
          </cell>
          <cell r="K29" t="str">
            <v>to</v>
          </cell>
          <cell r="L29" t="str">
            <v>pho</v>
          </cell>
          <cell r="M29" t="str">
            <v>tho</v>
          </cell>
          <cell r="N29" t="str">
            <v>tso</v>
          </cell>
          <cell r="O29"/>
          <cell r="P29" t="str">
            <v>so</v>
          </cell>
          <cell r="Q29" t="str">
            <v>o</v>
          </cell>
          <cell r="R29" t="str">
            <v>bo</v>
          </cell>
          <cell r="S29"/>
          <cell r="T29" t="str">
            <v>go</v>
          </cell>
          <cell r="U29"/>
          <cell r="V29" t="str">
            <v>tsho</v>
          </cell>
          <cell r="W29" t="str">
            <v>ho</v>
          </cell>
        </row>
        <row r="30">
          <cell r="F30" t="str">
            <v>loh</v>
          </cell>
          <cell r="G30"/>
          <cell r="H30" t="str">
            <v>poh</v>
          </cell>
          <cell r="I30" t="str">
            <v>koh</v>
          </cell>
          <cell r="J30"/>
          <cell r="K30" t="str">
            <v>toh</v>
          </cell>
          <cell r="L30" t="str">
            <v>phoh</v>
          </cell>
          <cell r="M30" t="str">
            <v>thoh</v>
          </cell>
          <cell r="N30" t="str">
            <v>tsoh</v>
          </cell>
          <cell r="O30"/>
          <cell r="P30" t="str">
            <v>soh</v>
          </cell>
          <cell r="Q30" t="str">
            <v>oh</v>
          </cell>
          <cell r="R30"/>
          <cell r="S30"/>
          <cell r="T30"/>
          <cell r="U30"/>
          <cell r="V30" t="str">
            <v>tshoh</v>
          </cell>
          <cell r="W30" t="str">
            <v>hoh</v>
          </cell>
        </row>
        <row r="31">
          <cell r="F31" t="str">
            <v>lai</v>
          </cell>
          <cell r="G31" t="str">
            <v>nai</v>
          </cell>
          <cell r="H31" t="str">
            <v>pai</v>
          </cell>
          <cell r="I31" t="str">
            <v>kai</v>
          </cell>
          <cell r="J31" t="str">
            <v>khai</v>
          </cell>
          <cell r="K31" t="str">
            <v>tai</v>
          </cell>
          <cell r="L31" t="str">
            <v>phai</v>
          </cell>
          <cell r="M31" t="str">
            <v>thai</v>
          </cell>
          <cell r="N31" t="str">
            <v>tsai</v>
          </cell>
          <cell r="O31"/>
          <cell r="P31" t="str">
            <v>sai</v>
          </cell>
          <cell r="Q31" t="str">
            <v>ai</v>
          </cell>
          <cell r="R31" t="str">
            <v>bai</v>
          </cell>
          <cell r="S31" t="str">
            <v>mai</v>
          </cell>
          <cell r="T31" t="str">
            <v>gai</v>
          </cell>
          <cell r="U31" t="str">
            <v>ngai</v>
          </cell>
          <cell r="V31" t="str">
            <v>tshai</v>
          </cell>
          <cell r="W31" t="str">
            <v>hai</v>
          </cell>
        </row>
        <row r="32">
          <cell r="F32" t="str">
            <v>lin</v>
          </cell>
          <cell r="G32"/>
          <cell r="H32" t="str">
            <v>pin</v>
          </cell>
          <cell r="I32" t="str">
            <v>kin</v>
          </cell>
          <cell r="J32" t="str">
            <v>khin</v>
          </cell>
          <cell r="K32" t="str">
            <v>tin</v>
          </cell>
          <cell r="L32" t="str">
            <v>phin</v>
          </cell>
          <cell r="M32" t="str">
            <v>thin</v>
          </cell>
          <cell r="N32" t="str">
            <v>tsin</v>
          </cell>
          <cell r="O32" t="str">
            <v>jin</v>
          </cell>
          <cell r="P32" t="str">
            <v>sin</v>
          </cell>
          <cell r="Q32" t="str">
            <v>in</v>
          </cell>
          <cell r="R32" t="str">
            <v>bin</v>
          </cell>
          <cell r="S32"/>
          <cell r="T32" t="str">
            <v>gin</v>
          </cell>
          <cell r="U32"/>
          <cell r="V32" t="str">
            <v>tshin</v>
          </cell>
          <cell r="W32" t="str">
            <v>hin</v>
          </cell>
        </row>
        <row r="33">
          <cell r="F33"/>
          <cell r="G33"/>
          <cell r="H33" t="str">
            <v>pit</v>
          </cell>
          <cell r="I33" t="str">
            <v>kit</v>
          </cell>
          <cell r="J33" t="str">
            <v>khit</v>
          </cell>
          <cell r="K33" t="str">
            <v>tit</v>
          </cell>
          <cell r="L33" t="str">
            <v>phit</v>
          </cell>
          <cell r="M33"/>
          <cell r="N33" t="str">
            <v>tsit</v>
          </cell>
          <cell r="O33" t="str">
            <v>jit</v>
          </cell>
          <cell r="P33" t="str">
            <v>sit</v>
          </cell>
          <cell r="Q33" t="str">
            <v>it</v>
          </cell>
          <cell r="R33" t="str">
            <v>bit</v>
          </cell>
          <cell r="S33"/>
          <cell r="T33"/>
          <cell r="U33"/>
          <cell r="V33" t="str">
            <v>tshit</v>
          </cell>
          <cell r="W33" t="str">
            <v>hit</v>
          </cell>
        </row>
        <row r="34">
          <cell r="F34" t="str">
            <v>liang</v>
          </cell>
          <cell r="G34"/>
          <cell r="H34" t="str">
            <v>piang</v>
          </cell>
          <cell r="I34"/>
          <cell r="J34" t="str">
            <v>khiang</v>
          </cell>
          <cell r="K34"/>
          <cell r="L34" t="str">
            <v>phiang</v>
          </cell>
          <cell r="M34"/>
          <cell r="N34" t="str">
            <v>tsiang</v>
          </cell>
          <cell r="O34" t="str">
            <v>jiang</v>
          </cell>
          <cell r="P34" t="str">
            <v>siang</v>
          </cell>
          <cell r="Q34" t="str">
            <v>iang</v>
          </cell>
          <cell r="R34"/>
          <cell r="S34"/>
          <cell r="T34" t="str">
            <v>giang</v>
          </cell>
          <cell r="U34"/>
          <cell r="V34" t="str">
            <v>tshiang</v>
          </cell>
          <cell r="W34" t="str">
            <v>hiang</v>
          </cell>
        </row>
        <row r="35">
          <cell r="F35"/>
          <cell r="G35"/>
          <cell r="H35" t="str">
            <v>piak</v>
          </cell>
          <cell r="I35"/>
          <cell r="J35" t="str">
            <v>khiak</v>
          </cell>
          <cell r="K35" t="str">
            <v>tiak</v>
          </cell>
          <cell r="L35" t="str">
            <v>phiak</v>
          </cell>
          <cell r="M35"/>
          <cell r="N35"/>
          <cell r="O35"/>
          <cell r="P35" t="str">
            <v>siak</v>
          </cell>
          <cell r="Q35"/>
          <cell r="R35"/>
          <cell r="S35"/>
          <cell r="T35"/>
          <cell r="U35"/>
          <cell r="V35" t="str">
            <v>tshiak</v>
          </cell>
          <cell r="W35"/>
        </row>
        <row r="36">
          <cell r="F36" t="str">
            <v>lam</v>
          </cell>
          <cell r="G36"/>
          <cell r="H36"/>
          <cell r="I36" t="str">
            <v>kam</v>
          </cell>
          <cell r="J36" t="str">
            <v>kham</v>
          </cell>
          <cell r="K36" t="str">
            <v>tam</v>
          </cell>
          <cell r="L36"/>
          <cell r="M36" t="str">
            <v>tham</v>
          </cell>
          <cell r="N36" t="str">
            <v>tsam</v>
          </cell>
          <cell r="O36"/>
          <cell r="P36" t="str">
            <v>sam</v>
          </cell>
          <cell r="Q36" t="str">
            <v>am</v>
          </cell>
          <cell r="R36"/>
          <cell r="S36"/>
          <cell r="T36" t="str">
            <v>gam</v>
          </cell>
          <cell r="U36"/>
          <cell r="V36" t="str">
            <v>tsham</v>
          </cell>
          <cell r="W36" t="str">
            <v>ham</v>
          </cell>
        </row>
        <row r="37">
          <cell r="F37" t="str">
            <v>lap</v>
          </cell>
          <cell r="G37"/>
          <cell r="H37"/>
          <cell r="I37" t="str">
            <v>kap</v>
          </cell>
          <cell r="J37" t="str">
            <v>khap</v>
          </cell>
          <cell r="K37" t="str">
            <v>tap</v>
          </cell>
          <cell r="L37"/>
          <cell r="M37" t="str">
            <v>thap</v>
          </cell>
          <cell r="N37" t="str">
            <v>tsap</v>
          </cell>
          <cell r="O37"/>
          <cell r="P37" t="str">
            <v>sap</v>
          </cell>
          <cell r="Q37" t="str">
            <v>ap</v>
          </cell>
          <cell r="R37"/>
          <cell r="S37"/>
          <cell r="T37"/>
          <cell r="U37"/>
          <cell r="V37" t="str">
            <v>tshap</v>
          </cell>
          <cell r="W37" t="str">
            <v>hap</v>
          </cell>
        </row>
        <row r="38">
          <cell r="F38" t="str">
            <v>lua</v>
          </cell>
          <cell r="G38" t="str">
            <v>nua</v>
          </cell>
          <cell r="H38" t="str">
            <v>pua</v>
          </cell>
          <cell r="I38" t="str">
            <v>kua</v>
          </cell>
          <cell r="J38" t="str">
            <v>khua</v>
          </cell>
          <cell r="K38" t="str">
            <v>tua</v>
          </cell>
          <cell r="L38" t="str">
            <v>phua</v>
          </cell>
          <cell r="M38" t="str">
            <v>thua</v>
          </cell>
          <cell r="N38" t="str">
            <v>tsua</v>
          </cell>
          <cell r="O38"/>
          <cell r="P38" t="str">
            <v>sua</v>
          </cell>
          <cell r="Q38" t="str">
            <v>ua</v>
          </cell>
          <cell r="R38" t="str">
            <v>bua</v>
          </cell>
          <cell r="S38" t="str">
            <v>mua</v>
          </cell>
          <cell r="T38" t="str">
            <v>gua</v>
          </cell>
          <cell r="U38"/>
          <cell r="V38" t="str">
            <v>tshua</v>
          </cell>
          <cell r="W38" t="str">
            <v>hua</v>
          </cell>
        </row>
        <row r="39">
          <cell r="F39" t="str">
            <v>luah</v>
          </cell>
          <cell r="G39"/>
          <cell r="H39" t="str">
            <v>puah</v>
          </cell>
          <cell r="I39" t="str">
            <v>kuah</v>
          </cell>
          <cell r="J39" t="str">
            <v>khuah</v>
          </cell>
          <cell r="K39"/>
          <cell r="L39" t="str">
            <v>phuah</v>
          </cell>
          <cell r="M39" t="str">
            <v>thuah</v>
          </cell>
          <cell r="N39" t="str">
            <v>tsuah</v>
          </cell>
          <cell r="O39" t="str">
            <v>juah</v>
          </cell>
          <cell r="P39" t="str">
            <v>suah</v>
          </cell>
          <cell r="Q39" t="str">
            <v>uah</v>
          </cell>
          <cell r="R39" t="str">
            <v>buah</v>
          </cell>
          <cell r="S39"/>
          <cell r="T39"/>
          <cell r="U39"/>
          <cell r="V39" t="str">
            <v>tshuah</v>
          </cell>
          <cell r="W39" t="str">
            <v>huah</v>
          </cell>
        </row>
        <row r="40">
          <cell r="F40" t="str">
            <v>lang</v>
          </cell>
          <cell r="G40"/>
          <cell r="H40" t="str">
            <v>pang</v>
          </cell>
          <cell r="I40" t="str">
            <v>kang</v>
          </cell>
          <cell r="J40" t="str">
            <v>khang</v>
          </cell>
          <cell r="K40" t="str">
            <v>tang</v>
          </cell>
          <cell r="L40" t="str">
            <v>phang</v>
          </cell>
          <cell r="M40" t="str">
            <v>thang</v>
          </cell>
          <cell r="N40" t="str">
            <v>tsang</v>
          </cell>
          <cell r="O40"/>
          <cell r="P40" t="str">
            <v>sang</v>
          </cell>
          <cell r="Q40" t="str">
            <v>ang</v>
          </cell>
          <cell r="R40" t="str">
            <v>bang</v>
          </cell>
          <cell r="S40"/>
          <cell r="T40" t="str">
            <v>gang</v>
          </cell>
          <cell r="U40"/>
          <cell r="V40" t="str">
            <v>tshang</v>
          </cell>
          <cell r="W40" t="str">
            <v>hang</v>
          </cell>
        </row>
        <row r="41">
          <cell r="F41" t="str">
            <v>lak</v>
          </cell>
          <cell r="G41"/>
          <cell r="H41" t="str">
            <v>pak</v>
          </cell>
          <cell r="I41" t="str">
            <v>kak</v>
          </cell>
          <cell r="J41" t="str">
            <v>khak</v>
          </cell>
          <cell r="K41" t="str">
            <v>tak</v>
          </cell>
          <cell r="L41" t="str">
            <v>phak</v>
          </cell>
          <cell r="M41" t="str">
            <v>thak</v>
          </cell>
          <cell r="N41" t="str">
            <v>tsak</v>
          </cell>
          <cell r="O41"/>
          <cell r="P41" t="str">
            <v>sak</v>
          </cell>
          <cell r="Q41" t="str">
            <v>ak</v>
          </cell>
          <cell r="R41" t="str">
            <v>bak</v>
          </cell>
          <cell r="S41"/>
          <cell r="T41" t="str">
            <v>gak</v>
          </cell>
          <cell r="U41"/>
          <cell r="V41" t="str">
            <v>tshak</v>
          </cell>
          <cell r="W41" t="str">
            <v>hak</v>
          </cell>
        </row>
        <row r="42">
          <cell r="F42" t="str">
            <v>liam</v>
          </cell>
          <cell r="G42"/>
          <cell r="H42"/>
          <cell r="I42" t="str">
            <v>kiam</v>
          </cell>
          <cell r="J42" t="str">
            <v>khiam</v>
          </cell>
          <cell r="K42" t="str">
            <v>tiam</v>
          </cell>
          <cell r="L42"/>
          <cell r="M42" t="str">
            <v>thiam</v>
          </cell>
          <cell r="N42" t="str">
            <v>tsiam</v>
          </cell>
          <cell r="O42" t="str">
            <v>jiam</v>
          </cell>
          <cell r="P42" t="str">
            <v>siam</v>
          </cell>
          <cell r="Q42" t="str">
            <v>iam</v>
          </cell>
          <cell r="R42"/>
          <cell r="S42"/>
          <cell r="T42" t="str">
            <v>giam</v>
          </cell>
          <cell r="U42"/>
          <cell r="V42" t="str">
            <v>tshiam</v>
          </cell>
          <cell r="W42" t="str">
            <v>hiam</v>
          </cell>
        </row>
        <row r="43">
          <cell r="F43" t="str">
            <v>liap</v>
          </cell>
          <cell r="G43"/>
          <cell r="H43"/>
          <cell r="I43" t="str">
            <v>kiap</v>
          </cell>
          <cell r="J43" t="str">
            <v>khiap</v>
          </cell>
          <cell r="K43" t="str">
            <v>tiap</v>
          </cell>
          <cell r="L43"/>
          <cell r="M43" t="str">
            <v>thiap</v>
          </cell>
          <cell r="N43" t="str">
            <v>tsiap</v>
          </cell>
          <cell r="O43" t="str">
            <v>jiap</v>
          </cell>
          <cell r="P43" t="str">
            <v>siap</v>
          </cell>
          <cell r="Q43" t="str">
            <v>iap</v>
          </cell>
          <cell r="R43"/>
          <cell r="S43"/>
          <cell r="T43" t="str">
            <v>giap</v>
          </cell>
          <cell r="U43"/>
          <cell r="V43" t="str">
            <v>tshiap</v>
          </cell>
          <cell r="W43" t="str">
            <v>hiap</v>
          </cell>
        </row>
        <row r="44">
          <cell r="F44" t="str">
            <v>lau</v>
          </cell>
          <cell r="G44" t="str">
            <v>nau</v>
          </cell>
          <cell r="H44" t="str">
            <v>pau</v>
          </cell>
          <cell r="I44" t="str">
            <v>kau</v>
          </cell>
          <cell r="J44" t="str">
            <v>khau</v>
          </cell>
          <cell r="K44" t="str">
            <v>tau</v>
          </cell>
          <cell r="L44" t="str">
            <v>phau</v>
          </cell>
          <cell r="M44" t="str">
            <v>thau</v>
          </cell>
          <cell r="N44" t="str">
            <v>tsau</v>
          </cell>
          <cell r="O44"/>
          <cell r="P44" t="str">
            <v>sau</v>
          </cell>
          <cell r="Q44" t="str">
            <v>au</v>
          </cell>
          <cell r="R44" t="str">
            <v>bau</v>
          </cell>
          <cell r="S44" t="str">
            <v>mau</v>
          </cell>
          <cell r="T44" t="str">
            <v>gau</v>
          </cell>
          <cell r="U44" t="str">
            <v>ngau</v>
          </cell>
          <cell r="V44" t="str">
            <v>tshau</v>
          </cell>
          <cell r="W44" t="str">
            <v>hau</v>
          </cell>
        </row>
        <row r="45">
          <cell r="F45" t="str">
            <v>lauh</v>
          </cell>
          <cell r="G45" t="str">
            <v>nauh</v>
          </cell>
          <cell r="H45"/>
          <cell r="I45" t="str">
            <v>kauh</v>
          </cell>
          <cell r="J45"/>
          <cell r="K45" t="str">
            <v>tauh</v>
          </cell>
          <cell r="L45" t="str">
            <v>phauh</v>
          </cell>
          <cell r="M45"/>
          <cell r="N45"/>
          <cell r="O45"/>
          <cell r="P45"/>
          <cell r="Q45"/>
          <cell r="R45"/>
          <cell r="S45" t="str">
            <v>mauh</v>
          </cell>
          <cell r="T45"/>
          <cell r="U45"/>
          <cell r="V45" t="str">
            <v>tshauh</v>
          </cell>
          <cell r="W45"/>
        </row>
        <row r="46">
          <cell r="F46"/>
          <cell r="G46" t="str">
            <v>nia</v>
          </cell>
          <cell r="H46"/>
          <cell r="I46" t="str">
            <v>kia</v>
          </cell>
          <cell r="J46" t="str">
            <v>khia</v>
          </cell>
          <cell r="K46" t="str">
            <v>tia</v>
          </cell>
          <cell r="L46"/>
          <cell r="M46"/>
          <cell r="N46" t="str">
            <v>tsia</v>
          </cell>
          <cell r="O46" t="str">
            <v>jia</v>
          </cell>
          <cell r="P46" t="str">
            <v>sia</v>
          </cell>
          <cell r="Q46" t="str">
            <v>ia</v>
          </cell>
          <cell r="R46"/>
          <cell r="S46" t="str">
            <v>mia</v>
          </cell>
          <cell r="T46" t="str">
            <v>gia</v>
          </cell>
          <cell r="U46" t="str">
            <v>ngia</v>
          </cell>
          <cell r="V46" t="str">
            <v>tshia</v>
          </cell>
          <cell r="W46" t="str">
            <v>hia</v>
          </cell>
        </row>
        <row r="47">
          <cell r="F47" t="str">
            <v>liah</v>
          </cell>
          <cell r="G47"/>
          <cell r="H47" t="str">
            <v>piah</v>
          </cell>
          <cell r="I47" t="str">
            <v>kiah</v>
          </cell>
          <cell r="J47" t="str">
            <v>khiah</v>
          </cell>
          <cell r="K47" t="str">
            <v>tiah</v>
          </cell>
          <cell r="L47" t="str">
            <v>phiah</v>
          </cell>
          <cell r="M47" t="str">
            <v>thiah</v>
          </cell>
          <cell r="N47" t="str">
            <v>tsiah</v>
          </cell>
          <cell r="O47"/>
          <cell r="P47" t="str">
            <v>siah</v>
          </cell>
          <cell r="Q47" t="str">
            <v>iah</v>
          </cell>
          <cell r="R47"/>
          <cell r="S47"/>
          <cell r="T47" t="str">
            <v>giah</v>
          </cell>
          <cell r="U47"/>
          <cell r="V47" t="str">
            <v>tshiah</v>
          </cell>
          <cell r="W47" t="str">
            <v>hiah</v>
          </cell>
        </row>
        <row r="48">
          <cell r="F48" t="str">
            <v>lue</v>
          </cell>
          <cell r="G48"/>
          <cell r="H48" t="str">
            <v>pue</v>
          </cell>
          <cell r="I48" t="str">
            <v>kue</v>
          </cell>
          <cell r="J48" t="str">
            <v>khue</v>
          </cell>
          <cell r="K48" t="str">
            <v>tue</v>
          </cell>
          <cell r="L48" t="str">
            <v>phue</v>
          </cell>
          <cell r="M48"/>
          <cell r="N48" t="str">
            <v>tsue</v>
          </cell>
          <cell r="O48" t="str">
            <v>jue</v>
          </cell>
          <cell r="P48" t="str">
            <v>sue</v>
          </cell>
          <cell r="Q48" t="str">
            <v>ue</v>
          </cell>
          <cell r="R48" t="str">
            <v>bue</v>
          </cell>
          <cell r="S48"/>
          <cell r="T48" t="str">
            <v>gue</v>
          </cell>
          <cell r="U48"/>
          <cell r="V48" t="str">
            <v>tshue</v>
          </cell>
          <cell r="W48" t="str">
            <v>hue</v>
          </cell>
        </row>
        <row r="49">
          <cell r="F49"/>
          <cell r="G49"/>
          <cell r="H49" t="str">
            <v>pueh</v>
          </cell>
          <cell r="I49" t="str">
            <v>kueh</v>
          </cell>
          <cell r="J49" t="str">
            <v>khueh</v>
          </cell>
          <cell r="K49"/>
          <cell r="L49" t="str">
            <v>phueh</v>
          </cell>
          <cell r="M49"/>
          <cell r="N49"/>
          <cell r="O49"/>
          <cell r="P49" t="str">
            <v>sueh</v>
          </cell>
          <cell r="Q49" t="str">
            <v>ueh</v>
          </cell>
          <cell r="R49" t="str">
            <v>bueh</v>
          </cell>
          <cell r="S49"/>
          <cell r="T49" t="str">
            <v>gueh</v>
          </cell>
          <cell r="U49"/>
          <cell r="V49"/>
          <cell r="W49" t="str">
            <v>hueh</v>
          </cell>
        </row>
        <row r="50">
          <cell r="F50"/>
          <cell r="G50"/>
          <cell r="H50"/>
          <cell r="I50" t="str">
            <v>kann</v>
          </cell>
          <cell r="J50" t="str">
            <v>khann</v>
          </cell>
          <cell r="K50" t="str">
            <v>tann</v>
          </cell>
          <cell r="L50" t="str">
            <v>phann</v>
          </cell>
          <cell r="M50" t="str">
            <v>thann</v>
          </cell>
          <cell r="N50" t="str">
            <v>tsann</v>
          </cell>
          <cell r="O50"/>
          <cell r="P50" t="str">
            <v>sann</v>
          </cell>
          <cell r="Q50" t="str">
            <v>ann</v>
          </cell>
          <cell r="R50"/>
          <cell r="S50"/>
          <cell r="T50"/>
          <cell r="U50"/>
          <cell r="V50" t="str">
            <v>tshann</v>
          </cell>
          <cell r="W50" t="str">
            <v>hann</v>
          </cell>
        </row>
        <row r="51"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 t="str">
            <v>sannh</v>
          </cell>
          <cell r="Q51"/>
          <cell r="R51"/>
          <cell r="S51"/>
          <cell r="T51"/>
          <cell r="U51"/>
          <cell r="V51"/>
          <cell r="W51" t="str">
            <v>hannh</v>
          </cell>
        </row>
        <row r="52">
          <cell r="F52" t="str">
            <v>lu</v>
          </cell>
          <cell r="G52"/>
          <cell r="H52" t="str">
            <v>pu</v>
          </cell>
          <cell r="I52" t="str">
            <v>ku</v>
          </cell>
          <cell r="J52" t="str">
            <v>khu</v>
          </cell>
          <cell r="K52" t="str">
            <v>tu</v>
          </cell>
          <cell r="L52" t="str">
            <v>phu</v>
          </cell>
          <cell r="M52" t="str">
            <v>thu</v>
          </cell>
          <cell r="N52" t="str">
            <v>tsu</v>
          </cell>
          <cell r="O52" t="str">
            <v>ju</v>
          </cell>
          <cell r="P52" t="str">
            <v>su</v>
          </cell>
          <cell r="Q52" t="str">
            <v>u</v>
          </cell>
          <cell r="R52" t="str">
            <v>bu</v>
          </cell>
          <cell r="S52"/>
          <cell r="T52" t="str">
            <v>gu</v>
          </cell>
          <cell r="U52"/>
          <cell r="V52" t="str">
            <v>tshu</v>
          </cell>
          <cell r="W52" t="str">
            <v>hu</v>
          </cell>
        </row>
        <row r="53">
          <cell r="F53"/>
          <cell r="G53"/>
          <cell r="H53" t="str">
            <v>puh</v>
          </cell>
          <cell r="I53"/>
          <cell r="J53" t="str">
            <v>khuh</v>
          </cell>
          <cell r="K53" t="str">
            <v>tuh</v>
          </cell>
          <cell r="L53" t="str">
            <v>phuh</v>
          </cell>
          <cell r="M53" t="str">
            <v>thuh</v>
          </cell>
          <cell r="N53" t="str">
            <v>tsuh</v>
          </cell>
          <cell r="O53"/>
          <cell r="P53"/>
          <cell r="Q53" t="str">
            <v>uh</v>
          </cell>
          <cell r="R53"/>
          <cell r="S53"/>
          <cell r="T53"/>
          <cell r="U53"/>
          <cell r="V53" t="str">
            <v>tshuh</v>
          </cell>
          <cell r="W53"/>
        </row>
        <row r="54">
          <cell r="F54" t="str">
            <v>la</v>
          </cell>
          <cell r="G54" t="str">
            <v>na</v>
          </cell>
          <cell r="H54" t="str">
            <v>pa</v>
          </cell>
          <cell r="I54" t="str">
            <v>ka</v>
          </cell>
          <cell r="J54" t="str">
            <v>kha</v>
          </cell>
          <cell r="K54" t="str">
            <v>ta</v>
          </cell>
          <cell r="L54" t="str">
            <v>pha</v>
          </cell>
          <cell r="M54" t="str">
            <v>tha</v>
          </cell>
          <cell r="N54" t="str">
            <v>tsa</v>
          </cell>
          <cell r="O54"/>
          <cell r="P54" t="str">
            <v>sa</v>
          </cell>
          <cell r="Q54" t="str">
            <v>a</v>
          </cell>
          <cell r="R54" t="str">
            <v>ba</v>
          </cell>
          <cell r="S54" t="str">
            <v>ma</v>
          </cell>
          <cell r="T54" t="str">
            <v>ga</v>
          </cell>
          <cell r="U54" t="str">
            <v>nga</v>
          </cell>
          <cell r="V54" t="str">
            <v>tsha</v>
          </cell>
          <cell r="W54" t="str">
            <v>ha</v>
          </cell>
        </row>
        <row r="55">
          <cell r="F55" t="str">
            <v>lah</v>
          </cell>
          <cell r="G55" t="str">
            <v>nah</v>
          </cell>
          <cell r="H55" t="str">
            <v>pah</v>
          </cell>
          <cell r="I55" t="str">
            <v>kah</v>
          </cell>
          <cell r="J55" t="str">
            <v>khah</v>
          </cell>
          <cell r="K55" t="str">
            <v>tah</v>
          </cell>
          <cell r="L55" t="str">
            <v>phah</v>
          </cell>
          <cell r="M55" t="str">
            <v>thah</v>
          </cell>
          <cell r="N55" t="str">
            <v>tsah</v>
          </cell>
          <cell r="O55"/>
          <cell r="P55" t="str">
            <v>sah</v>
          </cell>
          <cell r="Q55" t="str">
            <v>ah</v>
          </cell>
          <cell r="R55" t="str">
            <v>bah</v>
          </cell>
          <cell r="S55"/>
          <cell r="T55"/>
          <cell r="U55"/>
          <cell r="V55" t="str">
            <v>tshah</v>
          </cell>
          <cell r="W55" t="str">
            <v>hah</v>
          </cell>
        </row>
        <row r="56">
          <cell r="F56" t="str">
            <v>li</v>
          </cell>
          <cell r="G56" t="str">
            <v>ni</v>
          </cell>
          <cell r="H56" t="str">
            <v>pi</v>
          </cell>
          <cell r="I56" t="str">
            <v>ki</v>
          </cell>
          <cell r="J56" t="str">
            <v>khi</v>
          </cell>
          <cell r="K56" t="str">
            <v>ti</v>
          </cell>
          <cell r="L56" t="str">
            <v>phi</v>
          </cell>
          <cell r="M56" t="str">
            <v>thi</v>
          </cell>
          <cell r="N56" t="str">
            <v>tsi</v>
          </cell>
          <cell r="O56" t="str">
            <v>ji</v>
          </cell>
          <cell r="P56" t="str">
            <v>si</v>
          </cell>
          <cell r="Q56" t="str">
            <v>i</v>
          </cell>
          <cell r="R56" t="str">
            <v>bi</v>
          </cell>
          <cell r="S56" t="str">
            <v>mi</v>
          </cell>
          <cell r="T56" t="str">
            <v>gi</v>
          </cell>
          <cell r="U56"/>
          <cell r="V56" t="str">
            <v>tshi</v>
          </cell>
          <cell r="W56" t="str">
            <v>hi</v>
          </cell>
        </row>
        <row r="57">
          <cell r="F57"/>
          <cell r="G57" t="str">
            <v>nih</v>
          </cell>
          <cell r="H57" t="str">
            <v>pih</v>
          </cell>
          <cell r="I57"/>
          <cell r="J57" t="str">
            <v>khih</v>
          </cell>
          <cell r="K57" t="str">
            <v>tih</v>
          </cell>
          <cell r="L57" t="str">
            <v>phih</v>
          </cell>
          <cell r="M57" t="str">
            <v>thih</v>
          </cell>
          <cell r="N57" t="str">
            <v>tsih</v>
          </cell>
          <cell r="O57"/>
          <cell r="P57" t="str">
            <v>sih</v>
          </cell>
          <cell r="Q57"/>
          <cell r="R57" t="str">
            <v>bih</v>
          </cell>
          <cell r="S57" t="str">
            <v>mih</v>
          </cell>
          <cell r="T57"/>
          <cell r="U57"/>
          <cell r="V57" t="str">
            <v>tshih</v>
          </cell>
          <cell r="W57"/>
        </row>
        <row r="58">
          <cell r="F58" t="str">
            <v>liu</v>
          </cell>
          <cell r="G58" t="str">
            <v>niu</v>
          </cell>
          <cell r="H58" t="str">
            <v>piu</v>
          </cell>
          <cell r="I58" t="str">
            <v>kiu</v>
          </cell>
          <cell r="J58" t="str">
            <v>khiu</v>
          </cell>
          <cell r="K58" t="str">
            <v>tiu</v>
          </cell>
          <cell r="L58"/>
          <cell r="M58" t="str">
            <v>thiu</v>
          </cell>
          <cell r="N58" t="str">
            <v>tsiu</v>
          </cell>
          <cell r="O58" t="str">
            <v>jiu</v>
          </cell>
          <cell r="P58" t="str">
            <v>siu</v>
          </cell>
          <cell r="Q58" t="str">
            <v>iu</v>
          </cell>
          <cell r="R58" t="str">
            <v>biu</v>
          </cell>
          <cell r="S58"/>
          <cell r="T58" t="str">
            <v>giu</v>
          </cell>
          <cell r="U58"/>
          <cell r="V58" t="str">
            <v>tshiu</v>
          </cell>
          <cell r="W58" t="str">
            <v>hiu</v>
          </cell>
        </row>
        <row r="59">
          <cell r="F59"/>
          <cell r="G59"/>
          <cell r="H59" t="str">
            <v>penn</v>
          </cell>
          <cell r="I59" t="str">
            <v>kenn</v>
          </cell>
          <cell r="J59" t="str">
            <v>khenn</v>
          </cell>
          <cell r="K59" t="str">
            <v>tenn</v>
          </cell>
          <cell r="L59" t="str">
            <v>phenn</v>
          </cell>
          <cell r="M59" t="str">
            <v>thenn</v>
          </cell>
          <cell r="N59" t="str">
            <v>tsenn</v>
          </cell>
          <cell r="O59"/>
          <cell r="P59" t="str">
            <v>senn</v>
          </cell>
          <cell r="Q59" t="str">
            <v>enn</v>
          </cell>
          <cell r="R59"/>
          <cell r="S59"/>
          <cell r="T59"/>
          <cell r="U59"/>
          <cell r="V59" t="str">
            <v>tshenn</v>
          </cell>
          <cell r="W59" t="str">
            <v>henn</v>
          </cell>
        </row>
        <row r="60">
          <cell r="F60"/>
          <cell r="G60"/>
          <cell r="H60"/>
          <cell r="I60"/>
          <cell r="J60" t="str">
            <v>khennh</v>
          </cell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 t="str">
            <v>hennh</v>
          </cell>
        </row>
        <row r="61">
          <cell r="F61" t="str">
            <v>lio</v>
          </cell>
          <cell r="G61"/>
          <cell r="H61" t="str">
            <v>pio</v>
          </cell>
          <cell r="I61" t="str">
            <v>kio</v>
          </cell>
          <cell r="J61" t="str">
            <v>khio</v>
          </cell>
          <cell r="K61" t="str">
            <v>tio</v>
          </cell>
          <cell r="L61" t="str">
            <v>phio</v>
          </cell>
          <cell r="M61" t="str">
            <v>thio</v>
          </cell>
          <cell r="N61" t="str">
            <v>tsio</v>
          </cell>
          <cell r="O61" t="str">
            <v>jio</v>
          </cell>
          <cell r="P61" t="str">
            <v>sio</v>
          </cell>
          <cell r="Q61" t="str">
            <v>io</v>
          </cell>
          <cell r="R61" t="str">
            <v>bio</v>
          </cell>
          <cell r="S61"/>
          <cell r="T61" t="str">
            <v>gio</v>
          </cell>
          <cell r="U61"/>
          <cell r="V61" t="str">
            <v>tshio</v>
          </cell>
          <cell r="W61" t="str">
            <v>hio</v>
          </cell>
        </row>
        <row r="62">
          <cell r="F62" t="str">
            <v>lioh</v>
          </cell>
          <cell r="G62"/>
          <cell r="H62"/>
          <cell r="I62" t="str">
            <v>kioh</v>
          </cell>
          <cell r="J62" t="str">
            <v>khioh</v>
          </cell>
          <cell r="K62" t="str">
            <v>tioh</v>
          </cell>
          <cell r="L62"/>
          <cell r="M62"/>
          <cell r="N62" t="str">
            <v>tsioh</v>
          </cell>
          <cell r="O62"/>
          <cell r="P62" t="str">
            <v>sioh</v>
          </cell>
          <cell r="Q62" t="str">
            <v>ioh</v>
          </cell>
          <cell r="R62"/>
          <cell r="S62"/>
          <cell r="T62" t="str">
            <v>gioh</v>
          </cell>
          <cell r="U62"/>
          <cell r="V62" t="str">
            <v>tshioh</v>
          </cell>
          <cell r="W62" t="str">
            <v>hioh</v>
          </cell>
        </row>
        <row r="63">
          <cell r="F63"/>
          <cell r="G63"/>
          <cell r="H63"/>
          <cell r="I63" t="str">
            <v>kinn</v>
          </cell>
          <cell r="J63" t="str">
            <v>khinn</v>
          </cell>
          <cell r="K63" t="str">
            <v>tinn</v>
          </cell>
          <cell r="L63"/>
          <cell r="M63" t="str">
            <v>thinn</v>
          </cell>
          <cell r="N63" t="str">
            <v>tsinn</v>
          </cell>
          <cell r="O63"/>
          <cell r="P63" t="str">
            <v>sinn</v>
          </cell>
          <cell r="Q63" t="str">
            <v>inn</v>
          </cell>
          <cell r="R63"/>
          <cell r="S63"/>
          <cell r="T63"/>
          <cell r="U63"/>
          <cell r="V63" t="str">
            <v>tshinn</v>
          </cell>
          <cell r="W63" t="str">
            <v>hinn</v>
          </cell>
        </row>
        <row r="64">
          <cell r="F64"/>
          <cell r="G64"/>
          <cell r="H64" t="str">
            <v>piann</v>
          </cell>
          <cell r="I64" t="str">
            <v>kiann</v>
          </cell>
          <cell r="J64"/>
          <cell r="K64" t="str">
            <v>tiann</v>
          </cell>
          <cell r="L64"/>
          <cell r="M64" t="str">
            <v>thiann</v>
          </cell>
          <cell r="N64" t="str">
            <v>tsiann</v>
          </cell>
          <cell r="O64"/>
          <cell r="P64" t="str">
            <v>siann</v>
          </cell>
          <cell r="Q64" t="str">
            <v>iann</v>
          </cell>
          <cell r="R64"/>
          <cell r="S64"/>
          <cell r="T64"/>
          <cell r="U64"/>
          <cell r="V64" t="str">
            <v>tshiann</v>
          </cell>
          <cell r="W64" t="str">
            <v>hiann</v>
          </cell>
        </row>
        <row r="65"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 t="str">
            <v>hiannh</v>
          </cell>
        </row>
        <row r="66">
          <cell r="F66"/>
          <cell r="G66"/>
          <cell r="H66" t="str">
            <v>puann</v>
          </cell>
          <cell r="I66" t="str">
            <v>kuann</v>
          </cell>
          <cell r="J66" t="str">
            <v>khuann</v>
          </cell>
          <cell r="K66" t="str">
            <v>tuann</v>
          </cell>
          <cell r="L66" t="str">
            <v>phuann</v>
          </cell>
          <cell r="M66" t="str">
            <v>thuann</v>
          </cell>
          <cell r="N66"/>
          <cell r="O66"/>
          <cell r="P66" t="str">
            <v>suann</v>
          </cell>
          <cell r="Q66" t="str">
            <v>uann</v>
          </cell>
          <cell r="R66"/>
          <cell r="S66"/>
          <cell r="T66"/>
          <cell r="U66"/>
          <cell r="V66" t="str">
            <v>tshuann</v>
          </cell>
          <cell r="W66" t="str">
            <v>huann</v>
          </cell>
        </row>
        <row r="67">
          <cell r="F67"/>
          <cell r="G67" t="str">
            <v>nng</v>
          </cell>
          <cell r="H67" t="str">
            <v>png</v>
          </cell>
          <cell r="I67" t="str">
            <v>kng</v>
          </cell>
          <cell r="J67" t="str">
            <v>khng</v>
          </cell>
          <cell r="K67" t="str">
            <v>tng</v>
          </cell>
          <cell r="L67"/>
          <cell r="M67" t="str">
            <v>thng</v>
          </cell>
          <cell r="N67" t="str">
            <v>tsng</v>
          </cell>
          <cell r="O67"/>
          <cell r="P67" t="str">
            <v>sng</v>
          </cell>
          <cell r="Q67" t="str">
            <v>ng</v>
          </cell>
          <cell r="R67"/>
          <cell r="S67" t="str">
            <v>mng</v>
          </cell>
          <cell r="T67"/>
          <cell r="U67"/>
          <cell r="V67" t="str">
            <v>tshng</v>
          </cell>
          <cell r="W67" t="str">
            <v>hng</v>
          </cell>
        </row>
        <row r="68">
          <cell r="F68"/>
          <cell r="G68"/>
          <cell r="H68"/>
          <cell r="I68"/>
          <cell r="J68"/>
          <cell r="K68"/>
          <cell r="L68" t="str">
            <v>phngh</v>
          </cell>
          <cell r="M68"/>
          <cell r="N68"/>
          <cell r="O68"/>
          <cell r="P68" t="str">
            <v>sngh</v>
          </cell>
          <cell r="Q68"/>
          <cell r="R68"/>
          <cell r="S68"/>
          <cell r="T68"/>
          <cell r="U68"/>
          <cell r="V68" t="str">
            <v>tshngh</v>
          </cell>
          <cell r="W68" t="str">
            <v>hngh</v>
          </cell>
        </row>
        <row r="69">
          <cell r="F69" t="str">
            <v>leh</v>
          </cell>
          <cell r="G69" t="str">
            <v>neh</v>
          </cell>
          <cell r="H69" t="str">
            <v>peh</v>
          </cell>
          <cell r="I69" t="str">
            <v>keh</v>
          </cell>
          <cell r="J69" t="str">
            <v>kheh</v>
          </cell>
          <cell r="K69" t="str">
            <v>teh</v>
          </cell>
          <cell r="L69"/>
          <cell r="M69" t="str">
            <v>theh</v>
          </cell>
          <cell r="N69" t="str">
            <v>tseh</v>
          </cell>
          <cell r="O69"/>
          <cell r="P69" t="str">
            <v>seh</v>
          </cell>
          <cell r="Q69" t="str">
            <v>eh</v>
          </cell>
          <cell r="R69" t="str">
            <v>beh</v>
          </cell>
          <cell r="S69" t="str">
            <v>meh</v>
          </cell>
          <cell r="T69"/>
          <cell r="U69" t="str">
            <v>ngeh</v>
          </cell>
          <cell r="V69" t="str">
            <v>tsheh</v>
          </cell>
          <cell r="W69" t="str">
            <v>heh</v>
          </cell>
        </row>
        <row r="70">
          <cell r="F70"/>
          <cell r="G70"/>
          <cell r="H70"/>
          <cell r="I70" t="str">
            <v>kainn</v>
          </cell>
          <cell r="J70" t="str">
            <v>khainn</v>
          </cell>
          <cell r="K70" t="str">
            <v>tainn</v>
          </cell>
          <cell r="L70" t="str">
            <v>phainn</v>
          </cell>
          <cell r="M70"/>
          <cell r="N70" t="str">
            <v>tsainn</v>
          </cell>
          <cell r="O70"/>
          <cell r="P70"/>
          <cell r="Q70" t="str">
            <v>ainn</v>
          </cell>
          <cell r="R70"/>
          <cell r="S70"/>
          <cell r="T70"/>
          <cell r="U70"/>
          <cell r="V70"/>
          <cell r="W70" t="str">
            <v>hainn</v>
          </cell>
        </row>
        <row r="71">
          <cell r="F71"/>
          <cell r="G71"/>
          <cell r="H71"/>
          <cell r="I71" t="str">
            <v>konn</v>
          </cell>
          <cell r="J71"/>
          <cell r="K71"/>
          <cell r="L71"/>
          <cell r="M71"/>
          <cell r="N71"/>
          <cell r="O71"/>
          <cell r="P71"/>
          <cell r="Q71" t="str">
            <v>onn</v>
          </cell>
          <cell r="R71"/>
          <cell r="S71"/>
          <cell r="T71"/>
          <cell r="U71"/>
          <cell r="V71"/>
          <cell r="W71" t="str">
            <v>honn</v>
          </cell>
        </row>
        <row r="72"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 t="str">
            <v>m</v>
          </cell>
          <cell r="R72"/>
          <cell r="S72"/>
          <cell r="T72"/>
          <cell r="U72"/>
          <cell r="V72"/>
          <cell r="W72" t="str">
            <v>hm</v>
          </cell>
        </row>
        <row r="73"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 t="str">
            <v>hmh</v>
          </cell>
        </row>
        <row r="74"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 t="str">
            <v>uang</v>
          </cell>
          <cell r="R74"/>
          <cell r="S74"/>
          <cell r="T74"/>
          <cell r="U74"/>
          <cell r="V74" t="str">
            <v>tshuang</v>
          </cell>
          <cell r="W74"/>
        </row>
        <row r="75">
          <cell r="F75"/>
          <cell r="G75"/>
          <cell r="H75"/>
          <cell r="I75" t="str">
            <v>kuainn</v>
          </cell>
          <cell r="J75"/>
          <cell r="K75"/>
          <cell r="L75"/>
          <cell r="M75"/>
          <cell r="N75" t="str">
            <v>tsuainn</v>
          </cell>
          <cell r="O75"/>
          <cell r="P75" t="str">
            <v>suainn</v>
          </cell>
          <cell r="Q75" t="str">
            <v>uainn</v>
          </cell>
          <cell r="R75"/>
          <cell r="S75"/>
          <cell r="T75"/>
          <cell r="U75"/>
          <cell r="V75"/>
          <cell r="W75" t="str">
            <v>huainn</v>
          </cell>
        </row>
        <row r="76"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 t="str">
            <v>iaunn</v>
          </cell>
          <cell r="R76"/>
          <cell r="S76"/>
          <cell r="T76"/>
          <cell r="U76"/>
          <cell r="V76"/>
          <cell r="W76"/>
        </row>
        <row r="77">
          <cell r="F77"/>
          <cell r="G77"/>
          <cell r="H77"/>
          <cell r="I77"/>
          <cell r="J77"/>
          <cell r="K77" t="str">
            <v>tom</v>
          </cell>
          <cell r="L77"/>
          <cell r="M77"/>
          <cell r="N77"/>
          <cell r="O77"/>
          <cell r="P77" t="str">
            <v>som</v>
          </cell>
          <cell r="Q77" t="str">
            <v>om</v>
          </cell>
          <cell r="R77"/>
          <cell r="S77"/>
          <cell r="T77"/>
          <cell r="U77"/>
          <cell r="V77"/>
          <cell r="W77"/>
        </row>
        <row r="78"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 t="str">
            <v>onnh</v>
          </cell>
          <cell r="R78"/>
          <cell r="S78"/>
          <cell r="T78"/>
          <cell r="U78"/>
          <cell r="V78"/>
          <cell r="W78" t="str">
            <v>honnh</v>
          </cell>
        </row>
        <row r="79">
          <cell r="F79"/>
          <cell r="G79"/>
          <cell r="H79"/>
          <cell r="I79" t="str">
            <v>kiunn</v>
          </cell>
          <cell r="J79" t="str">
            <v>khiunn</v>
          </cell>
          <cell r="K79" t="str">
            <v>tiunn</v>
          </cell>
          <cell r="L79"/>
          <cell r="M79"/>
          <cell r="N79" t="str">
            <v>tsiunn</v>
          </cell>
          <cell r="O79"/>
          <cell r="P79" t="str">
            <v>siunn</v>
          </cell>
          <cell r="Q79" t="str">
            <v>iunn</v>
          </cell>
          <cell r="R79"/>
          <cell r="S79"/>
          <cell r="T79"/>
          <cell r="U79"/>
          <cell r="V79" t="str">
            <v>tshiunn</v>
          </cell>
          <cell r="W79" t="str">
            <v>hiunn</v>
          </cell>
        </row>
        <row r="80"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 t="str">
            <v>iunnh</v>
          </cell>
          <cell r="R80"/>
          <cell r="S80"/>
          <cell r="T80"/>
          <cell r="U80"/>
          <cell r="V80"/>
          <cell r="W80" t="str">
            <v>hiunnh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C931C3-F5C2-4ABE-B051-B9B5988D9BBC}" name="聲母表" displayName="聲母表" ref="A1:K23" totalsRowShown="0" headerRowDxfId="68" dataDxfId="66" headerRowBorderDxfId="67" tableBorderDxfId="65" totalsRowBorderDxfId="64" headerRowCellStyle="一般 3" dataCellStyle="一般 3">
  <autoFilter ref="A1:K23" xr:uid="{A1C931C3-F5C2-4ABE-B051-B9B5988D9BBC}"/>
  <tableColumns count="11">
    <tableColumn id="1" xr3:uid="{04F78839-6CA4-4B8F-AB37-3ECF3FFDCAC7}" name="注音序" dataDxfId="63" dataCellStyle="一般 3"/>
    <tableColumn id="2" xr3:uid="{E9C212A4-38C1-445E-B88B-44E305EBB527}" name="國際音標" dataDxfId="62" dataCellStyle="一般 3">
      <calculatedColumnFormula array="1" xml:space="preserve"> INDEX(聲母對照表[國際音標], MATCH(TRUE, EXACT(【聲】聲母排序表!$D2, 聲母對照表[方音符號]),0))</calculatedColumnFormula>
    </tableColumn>
    <tableColumn id="3" xr3:uid="{E6F8C0DF-2273-4F9F-9AC3-F3E4E4171BD3}" name="十五音" dataDxfId="61" dataCellStyle="一般 3">
      <calculatedColumnFormula array="1" xml:space="preserve"> INDEX(聲母對照表[十五音], MATCH(TRUE, EXACT(【聲】聲母排序表!$D2, 聲母對照表[方音符號]),0))</calculatedColumnFormula>
    </tableColumn>
    <tableColumn id="4" xr3:uid="{ED23EBAB-CEB2-4E87-AA95-FA4BCFF7FD22}" name="方音符號" dataDxfId="60" dataCellStyle="一般 3"/>
    <tableColumn id="5" xr3:uid="{E8A372E8-5A20-4B35-B871-D02BC7625183}" name="台語注音" dataDxfId="59" dataCellStyle="一般 3">
      <calculatedColumnFormula array="1" xml:space="preserve"> INDEX(聲母對照表[台語注音], MATCH(TRUE, EXACT(【聲】聲母排序表!$D2, 聲母對照表[方音符號]),0))</calculatedColumnFormula>
    </tableColumn>
    <tableColumn id="6" xr3:uid="{9B219016-0440-474A-9C31-1C439720523A}" name="注音二式" dataDxfId="58" dataCellStyle="一般 3">
      <calculatedColumnFormula array="1" xml:space="preserve"> INDEX(聲母對照表[注音二式], MATCH(TRUE, EXACT(【聲】聲母排序表!$D2, 聲母對照表[方音符號]),0))</calculatedColumnFormula>
    </tableColumn>
    <tableColumn id="7" xr3:uid="{45AEFC1C-7E0B-47E3-92C5-2D6F53BF7DF2}" name="閩拼方案" dataDxfId="57" dataCellStyle="一般 3">
      <calculatedColumnFormula array="1" xml:space="preserve"> INDEX(聲母對照表[閩拼方案], MATCH(TRUE, EXACT(【聲】聲母排序表!$D2, 聲母對照表[方音符號]),0))</calculatedColumnFormula>
    </tableColumn>
    <tableColumn id="8" xr3:uid="{19CC6CC7-DB84-43CA-8E81-043DED71CF43}" name="台羅拼音" dataDxfId="56" dataCellStyle="一般 3">
      <calculatedColumnFormula array="1" xml:space="preserve"> INDEX(聲母對照表[台羅拼音], MATCH(TRUE, EXACT(【聲】聲母排序表!$D2, 聲母對照表[方音符號]),0))</calculatedColumnFormula>
    </tableColumn>
    <tableColumn id="9" xr3:uid="{9D50E194-2DA8-424B-B016-3C55141D298E}" name="台語音標" dataDxfId="55" dataCellStyle="一般 3">
      <calculatedColumnFormula array="1" xml:space="preserve"> INDEX(聲母對照表[台語音標], MATCH(TRUE, EXACT(【聲】聲母排序表!$D2, 聲母對照表[方音符號]),0))</calculatedColumnFormula>
    </tableColumn>
    <tableColumn id="10" xr3:uid="{98A6A04F-9F71-410C-93B4-47F023150058}" name="白話字" dataDxfId="54" dataCellStyle="一般 3">
      <calculatedColumnFormula array="1" xml:space="preserve"> INDEX(聲母對照表[白話字], MATCH(TRUE, EXACT(【聲】聲母排序表!$D2, 聲母對照表[方音符號]),0))</calculatedColumnFormula>
    </tableColumn>
    <tableColumn id="11" xr3:uid="{77617406-4B7C-4CF7-8747-481CEEA53A60}" name="備註" dataDxfId="53" dataCellStyle="一般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27AA5-8E5E-4381-961B-57535B4BF7BE}" name="聲母對照表" displayName="聲母對照表" ref="A1:P23" totalsRowShown="0" headerRowDxfId="52" tableBorderDxfId="51">
  <autoFilter ref="A1:P23" xr:uid="{50527B81-BE0C-4989-8113-79F20236AB33}"/>
  <sortState xmlns:xlrd2="http://schemas.microsoft.com/office/spreadsheetml/2017/richdata2" ref="A2:P23">
    <sortCondition ref="M2:M23"/>
  </sortState>
  <tableColumns count="16">
    <tableColumn id="1" xr3:uid="{A9FB622B-E50A-4722-8D4A-15B20791CA13}" name="識別號" dataDxfId="50"/>
    <tableColumn id="3" xr3:uid="{34660C46-EF9E-4276-9F4E-BD67FA690550}" name="國際音標" dataDxfId="49"/>
    <tableColumn id="12" xr3:uid="{BF9E9C28-BD42-4F06-B59F-EEEF3187C5EA}" name="漢字例" dataDxfId="48" dataCellStyle="一般 3"/>
    <tableColumn id="11" xr3:uid="{3C1F4994-8D17-46EB-BD77-EDC8E3BD70D9}" name="十五音" dataDxfId="47" dataCellStyle="一般 3"/>
    <tableColumn id="9" xr3:uid="{58597767-D7F0-4EC4-8869-1824E1417C70}" name="方音符號" dataDxfId="46" dataCellStyle="一般 3"/>
    <tableColumn id="10" xr3:uid="{A60A5ED9-B764-4B6E-938C-5ED9DBC1A519}" name="台語注音" dataDxfId="45" dataCellStyle="一般 3"/>
    <tableColumn id="6" xr3:uid="{4AA4B0C5-9424-4A8A-B9CC-6A869A19D4E7}" name="注音二式" dataDxfId="44" dataCellStyle="一般 3"/>
    <tableColumn id="7" xr3:uid="{3C34660A-6DBD-42EE-B5AF-CA9C18EB469E}" name="閩拼方案" dataDxfId="43" dataCellStyle="一般 3"/>
    <tableColumn id="4" xr3:uid="{0862C7B3-C5EB-47DB-A9CB-04818D2D966B}" name="台羅拼音" dataDxfId="42"/>
    <tableColumn id="5" xr3:uid="{A5F5885C-0E19-49E8-8657-09ED4530AC5E}" name="台語音標" dataDxfId="41"/>
    <tableColumn id="8" xr3:uid="{E54CD086-1259-459D-8D61-1B5DFE1DAA32}" name="白話字" dataDxfId="40"/>
    <tableColumn id="13" xr3:uid="{C0DE2861-6E04-4215-8287-CCF7400CA79C}" name="備註" dataDxfId="39"/>
    <tableColumn id="14" xr3:uid="{9E4B71E9-F8C8-4DAF-AE65-B449D21899FC}" name="注音符號序" dataDxfId="38"/>
    <tableColumn id="17" xr3:uid="{49846A51-C424-481B-8C19-D03EBC33D125}" name="十五音序" dataDxfId="37" dataCellStyle="一般 3"/>
    <tableColumn id="15" xr3:uid="{886731FB-999F-4D14-AE16-9B5A0F018EE3}" name="台羅字母序" dataDxfId="36"/>
    <tableColumn id="16" xr3:uid="{60EDC3D8-79BD-4AB2-B187-C7FAEDECAA67}" name="拼音字母序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38107C-99BC-47BD-ACF8-E4C51905A91C}" name="韻母表" displayName="韻母表" ref="A2:N88" totalsRowShown="0" headerRowDxfId="34" tableBorderDxfId="33" headerRowCellStyle="一般 4">
  <autoFilter ref="A2:N88" xr:uid="{C40E26AF-4D3B-4E1A-8080-AAAFDBD9F514}"/>
  <tableColumns count="14">
    <tableColumn id="1" xr3:uid="{774F66BA-0B55-4C0E-A997-FE36AEF624F3}" name="序號" dataDxfId="32" dataCellStyle="一般 4">
      <calculatedColumnFormula xml:space="preserve"> ROW() - 3</calculatedColumnFormula>
    </tableColumn>
    <tableColumn id="2" xr3:uid="{F4FF22C3-0811-42A4-9852-5CA2292D844F}" name="國際音標" dataDxfId="31" dataCellStyle="一般 4"/>
    <tableColumn id="14" xr3:uid="{B55FCDD2-A7BC-4D0F-B84E-9D6F6E1D4AF5}" name="漢字例" dataDxfId="30" dataCellStyle="一般 4"/>
    <tableColumn id="9" xr3:uid="{DF002E5B-E188-434E-A548-C0F2D87B85F1}" name="十五音" dataDxfId="29" dataCellStyle="一般 4">
      <calculatedColumnFormula xml:space="preserve"> LEFT(韻母表[[#This Row],[十五音識別碼]],1)</calculatedColumnFormula>
    </tableColumn>
    <tableColumn id="12" xr3:uid="{D3023278-D7AE-464D-A053-2C283E034297}" name="十五音識別碼" dataDxfId="28" dataCellStyle="一般 4"/>
    <tableColumn id="8" xr3:uid="{5212DA40-9F1D-4FDD-9277-8CB3F0DBBF31}" name="方音符號" dataDxfId="27" dataCellStyle="一般 4"/>
    <tableColumn id="13" xr3:uid="{6706EA47-F763-4FDE-83C3-B4B9876B94B5}" name="台語注音" dataDxfId="26" dataCellStyle="一般 4"/>
    <tableColumn id="5" xr3:uid="{6CCF83E2-6797-4BD8-9D53-DA04A746EE5C}" name="台語注音二式" dataDxfId="25" dataCellStyle="一般 4"/>
    <tableColumn id="6" xr3:uid="{E7277811-E5FE-465E-947B-780A220407B8}" name="閩拼方案" dataDxfId="24" dataCellStyle="一般 4"/>
    <tableColumn id="3" xr3:uid="{8C06DC81-87F7-4D82-A09D-9EDEEBEE387C}" name="台羅拼音" dataDxfId="23" dataCellStyle="一般 4"/>
    <tableColumn id="4" xr3:uid="{6DA6636B-E28E-4CE2-9966-4557DB532BC0}" name="台語音標" dataDxfId="22" dataCellStyle="一般 4"/>
    <tableColumn id="7" xr3:uid="{E2908751-615D-4FE4-B664-6768A4876A3C}" name="白話字" dataDxfId="21" dataCellStyle="一般 4"/>
    <tableColumn id="10" xr3:uid="{BA02DFBE-706B-47F0-9D47-8378C1549B99}" name="聲韻調類" dataDxfId="20" dataCellStyle="一般 4"/>
    <tableColumn id="11" xr3:uid="{345BDA26-EB23-47B1-98DC-1D4D6F742E0B}" name="字長" dataDxfId="19" dataCellStyle="一般 4">
      <calculatedColumnFormula xml:space="preserve"> LEN(K3)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73C41C-0EC5-4124-93FF-29D36401A43C}" name="音調對照表" displayName="音調對照表" ref="H3:Q11" totalsRowShown="0" headerRowDxfId="18" headerRowBorderDxfId="17" tableBorderDxfId="16" totalsRowBorderDxfId="15">
  <autoFilter ref="H3:Q11" xr:uid="{9C448E2C-CD3D-4ED2-BDC8-5AB53B6728E4}"/>
  <tableColumns count="10">
    <tableColumn id="1" xr3:uid="{914B3E48-AC2E-4789-8F1C-0EB49018E553}" name="傳統調號" dataDxfId="14"/>
    <tableColumn id="2" xr3:uid="{B9D78C8A-55D8-4633-8241-2EB389454984}" name="調名" dataDxfId="13"/>
    <tableColumn id="3" xr3:uid="{5E8D818C-223E-4F1E-8C81-8D9E32F6FCA3}" name="調值"/>
    <tableColumn id="4" xr3:uid="{46928072-BB86-4F9A-8F23-8DCAEBAFAE58}" name="調性" dataDxfId="12"/>
    <tableColumn id="5" xr3:uid="{88659F9F-2453-4D09-A2D5-ED28066BA1BC}" name="鍵盤按鍵" dataDxfId="11"/>
    <tableColumn id="6" xr3:uid="{D2252AFE-1FB4-4523-97F6-E51DE4C32ECC}" name="台羅調符編碼" dataDxfId="10"/>
    <tableColumn id="7" xr3:uid="{4901A8BE-B286-4203-BEB4-D3B0987ED26A}" name="台羅拼音" dataDxfId="9">
      <calculatedColumnFormula xml:space="preserve"> IFERROR( _xlfn.CONCAT("a", IF($M4="", "", _xlfn.UNICHAR(HEX2DEC(RIGHT($M4,4))))), "")</calculatedColumnFormula>
    </tableColumn>
    <tableColumn id="8" xr3:uid="{1F61D886-C1D3-4621-988D-FF9764AA3AAF}" name="閩拼調符編碼" dataDxfId="8"/>
    <tableColumn id="9" xr3:uid="{6432A4CE-9EB2-4910-80BB-034688931415}" name="閩拼方案" dataDxfId="7"/>
    <tableColumn id="10" xr3:uid="{C34C196F-577B-46DC-8B92-1A95AA5C7148}" name="閩拼調號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E01A5F-34EA-47BF-9802-2401587DAA7B}" name="上標對照表" displayName="上標對照表" ref="H13:I23" totalsRowShown="0" headerRowDxfId="5" headerRowBorderDxfId="4" tableBorderDxfId="3" totalsRowBorderDxfId="2">
  <autoFilter ref="H13:I23" xr:uid="{05BDFC42-94AA-4826-923D-BD9331E1250D}"/>
  <tableColumns count="2">
    <tableColumn id="1" xr3:uid="{0ADF89E8-E011-4A67-B36C-0D0C07D655A1}" name="調號" dataDxfId="1"/>
    <tableColumn id="2" xr3:uid="{66938267-59C8-4F23-AE70-1C69FF273471}" name="上標值" dataDxfId="0">
      <calculatedColumnFormula>IFERROR(_xlfn.UNICHAR(CHOOSE($H14+1,8304,185,178,179,8308,8309,8310,8311,8312,8313)),"")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3C1D-A5C7-4C15-ADA0-CC6A80746AD7}">
  <dimension ref="B1:P54"/>
  <sheetViews>
    <sheetView showGridLines="0" tabSelected="1" zoomScale="70" zoomScaleNormal="70" workbookViewId="0">
      <selection activeCell="D6" sqref="D6:D7"/>
    </sheetView>
  </sheetViews>
  <sheetFormatPr defaultRowHeight="44.25" outlineLevelCol="1"/>
  <cols>
    <col min="2" max="2" width="7" style="190" customWidth="1"/>
    <col min="3" max="3" width="11.875" style="190" customWidth="1" outlineLevel="1"/>
    <col min="4" max="4" width="18.5" style="190" customWidth="1" outlineLevel="1"/>
    <col min="5" max="12" width="11" style="191" customWidth="1"/>
    <col min="13" max="13" width="14.375" style="192" customWidth="1"/>
    <col min="14" max="14" width="174.25" style="246" customWidth="1"/>
    <col min="15" max="16" width="9" style="239"/>
  </cols>
  <sheetData>
    <row r="1" spans="2:14" ht="10.5" customHeight="1"/>
    <row r="2" spans="2:14" ht="38.25">
      <c r="B2" s="288" t="s">
        <v>1411</v>
      </c>
      <c r="C2" s="255"/>
      <c r="D2" s="280" t="s">
        <v>1412</v>
      </c>
      <c r="E2" s="277" t="s">
        <v>1426</v>
      </c>
      <c r="F2" s="278"/>
      <c r="G2" s="278"/>
      <c r="H2" s="278"/>
      <c r="I2" s="278"/>
      <c r="J2" s="278"/>
      <c r="K2" s="278"/>
      <c r="L2" s="279"/>
      <c r="N2" s="247" t="s">
        <v>1509</v>
      </c>
    </row>
    <row r="3" spans="2:14" ht="32.25" customHeight="1">
      <c r="B3" s="256"/>
      <c r="C3" s="257"/>
      <c r="D3" s="281"/>
      <c r="E3" s="265" t="s">
        <v>1427</v>
      </c>
      <c r="F3" s="266"/>
      <c r="G3" s="265" t="s">
        <v>1428</v>
      </c>
      <c r="H3" s="266"/>
      <c r="I3" s="265" t="s">
        <v>1429</v>
      </c>
      <c r="J3" s="266"/>
      <c r="K3" s="265" t="s">
        <v>1430</v>
      </c>
      <c r="L3" s="266"/>
      <c r="N3" s="248"/>
    </row>
    <row r="4" spans="2:14" ht="51">
      <c r="B4" s="285" t="s">
        <v>971</v>
      </c>
      <c r="C4" s="273" t="s">
        <v>1413</v>
      </c>
      <c r="D4" s="250" t="s">
        <v>1415</v>
      </c>
      <c r="E4" s="241" t="s">
        <v>1465</v>
      </c>
      <c r="F4" s="242" t="s">
        <v>1422</v>
      </c>
      <c r="G4" s="241" t="s">
        <v>1466</v>
      </c>
      <c r="H4" s="242" t="s">
        <v>1423</v>
      </c>
      <c r="I4" s="241" t="s">
        <v>1467</v>
      </c>
      <c r="J4" s="242" t="s">
        <v>1424</v>
      </c>
      <c r="K4" s="241" t="s">
        <v>1468</v>
      </c>
      <c r="L4" s="242" t="s">
        <v>1425</v>
      </c>
      <c r="N4" s="249" t="s">
        <v>1510</v>
      </c>
    </row>
    <row r="5" spans="2:14">
      <c r="B5" s="286"/>
      <c r="C5" s="275"/>
      <c r="D5" s="251"/>
      <c r="E5" s="243" t="s">
        <v>19</v>
      </c>
      <c r="F5" s="244" t="s">
        <v>980</v>
      </c>
      <c r="G5" s="243" t="s">
        <v>50</v>
      </c>
      <c r="H5" s="244" t="s">
        <v>981</v>
      </c>
      <c r="I5" s="243" t="s">
        <v>41</v>
      </c>
      <c r="J5" s="244" t="s">
        <v>982</v>
      </c>
      <c r="K5" s="243" t="s">
        <v>20</v>
      </c>
      <c r="L5" s="244" t="s">
        <v>963</v>
      </c>
      <c r="N5" s="249" t="s">
        <v>1511</v>
      </c>
    </row>
    <row r="6" spans="2:14" ht="51">
      <c r="B6" s="286"/>
      <c r="C6" s="273" t="s">
        <v>1414</v>
      </c>
      <c r="D6" s="250" t="s">
        <v>1416</v>
      </c>
      <c r="E6" s="240" t="s">
        <v>1454</v>
      </c>
      <c r="F6" s="194" t="s">
        <v>1450</v>
      </c>
      <c r="G6" s="240" t="s">
        <v>1455</v>
      </c>
      <c r="H6" s="194" t="s">
        <v>1451</v>
      </c>
      <c r="I6" s="240" t="s">
        <v>1456</v>
      </c>
      <c r="J6" s="194" t="s">
        <v>1452</v>
      </c>
      <c r="K6" s="240" t="s">
        <v>1457</v>
      </c>
      <c r="L6" s="194" t="s">
        <v>1453</v>
      </c>
      <c r="N6" s="249" t="s">
        <v>1512</v>
      </c>
    </row>
    <row r="7" spans="2:14">
      <c r="B7" s="287"/>
      <c r="C7" s="275"/>
      <c r="D7" s="251"/>
      <c r="E7" s="195"/>
      <c r="F7" s="196"/>
      <c r="G7" s="195"/>
      <c r="H7" s="196"/>
      <c r="I7" s="195"/>
      <c r="J7" s="196"/>
      <c r="K7" s="195"/>
      <c r="L7" s="196"/>
      <c r="N7" s="249" t="s">
        <v>1513</v>
      </c>
    </row>
    <row r="8" spans="2:14" ht="51">
      <c r="B8" s="285" t="s">
        <v>1419</v>
      </c>
      <c r="C8" s="273" t="s">
        <v>1420</v>
      </c>
      <c r="D8" s="250" t="s">
        <v>1417</v>
      </c>
      <c r="E8" s="241" t="s">
        <v>1471</v>
      </c>
      <c r="F8" s="242" t="s">
        <v>1431</v>
      </c>
      <c r="G8" s="241" t="s">
        <v>1470</v>
      </c>
      <c r="H8" s="242" t="s">
        <v>1432</v>
      </c>
      <c r="I8" s="240" t="s">
        <v>1473</v>
      </c>
      <c r="J8" s="194" t="s">
        <v>1472</v>
      </c>
      <c r="K8" s="241" t="s">
        <v>1469</v>
      </c>
      <c r="L8" s="242" t="s">
        <v>1433</v>
      </c>
      <c r="N8" s="247" t="s">
        <v>1514</v>
      </c>
    </row>
    <row r="9" spans="2:14">
      <c r="B9" s="286"/>
      <c r="C9" s="275"/>
      <c r="D9" s="251"/>
      <c r="E9" s="243" t="s">
        <v>43</v>
      </c>
      <c r="F9" s="244" t="s">
        <v>992</v>
      </c>
      <c r="G9" s="243" t="s">
        <v>58</v>
      </c>
      <c r="H9" s="244" t="s">
        <v>993</v>
      </c>
      <c r="I9" s="195"/>
      <c r="J9" s="196"/>
      <c r="K9" s="243" t="s">
        <v>22</v>
      </c>
      <c r="L9" s="244" t="s">
        <v>962</v>
      </c>
      <c r="N9" s="247" t="s">
        <v>1515</v>
      </c>
    </row>
    <row r="10" spans="2:14" ht="51">
      <c r="B10" s="286"/>
      <c r="C10" s="273" t="s">
        <v>1421</v>
      </c>
      <c r="D10" s="250" t="s">
        <v>1418</v>
      </c>
      <c r="E10" s="240" t="s">
        <v>1461</v>
      </c>
      <c r="F10" s="194" t="s">
        <v>1458</v>
      </c>
      <c r="G10" s="240" t="s">
        <v>1462</v>
      </c>
      <c r="H10" s="194" t="s">
        <v>1459</v>
      </c>
      <c r="I10" s="240" t="s">
        <v>1463</v>
      </c>
      <c r="J10" s="194" t="s">
        <v>1460</v>
      </c>
      <c r="K10" s="240" t="s">
        <v>1464</v>
      </c>
      <c r="L10" s="194" t="s">
        <v>1244</v>
      </c>
      <c r="N10" s="247" t="s">
        <v>1516</v>
      </c>
    </row>
    <row r="11" spans="2:14">
      <c r="B11" s="287"/>
      <c r="C11" s="275"/>
      <c r="D11" s="251"/>
      <c r="E11" s="195"/>
      <c r="F11" s="196"/>
      <c r="G11" s="195"/>
      <c r="H11" s="196"/>
      <c r="I11" s="195"/>
      <c r="J11" s="196"/>
      <c r="K11" s="195"/>
      <c r="L11" s="196"/>
      <c r="N11" s="249" t="s">
        <v>1517</v>
      </c>
    </row>
    <row r="12" spans="2:14" ht="51">
      <c r="B12" s="282" t="s">
        <v>1435</v>
      </c>
      <c r="C12" s="273" t="s">
        <v>1436</v>
      </c>
      <c r="D12" s="250" t="s">
        <v>1434</v>
      </c>
      <c r="E12" s="241" t="s">
        <v>1474</v>
      </c>
      <c r="F12" s="242" t="s">
        <v>1477</v>
      </c>
      <c r="G12" s="241" t="s">
        <v>1475</v>
      </c>
      <c r="H12" s="242" t="s">
        <v>1478</v>
      </c>
      <c r="I12" s="241" t="s">
        <v>1476</v>
      </c>
      <c r="J12" s="242" t="s">
        <v>1479</v>
      </c>
      <c r="K12" s="240"/>
      <c r="L12" s="194"/>
      <c r="N12" s="249" t="s">
        <v>1518</v>
      </c>
    </row>
    <row r="13" spans="2:14">
      <c r="B13" s="283"/>
      <c r="C13" s="274"/>
      <c r="D13" s="276"/>
      <c r="E13" s="243" t="s">
        <v>73</v>
      </c>
      <c r="F13" s="244" t="s">
        <v>1004</v>
      </c>
      <c r="G13" s="243" t="s">
        <v>84</v>
      </c>
      <c r="H13" s="244" t="s">
        <v>1005</v>
      </c>
      <c r="I13" s="243" t="s">
        <v>75</v>
      </c>
      <c r="J13" s="244" t="s">
        <v>1006</v>
      </c>
      <c r="K13" s="195"/>
      <c r="L13" s="196"/>
      <c r="N13" s="249" t="s">
        <v>1519</v>
      </c>
    </row>
    <row r="14" spans="2:14" ht="51">
      <c r="B14" s="283"/>
      <c r="C14" s="274"/>
      <c r="D14" s="276"/>
      <c r="E14" s="241" t="s">
        <v>1482</v>
      </c>
      <c r="F14" s="242" t="s">
        <v>1488</v>
      </c>
      <c r="G14" s="240"/>
      <c r="H14" s="194"/>
      <c r="I14" s="240" t="s">
        <v>1481</v>
      </c>
      <c r="J14" s="194" t="s">
        <v>1480</v>
      </c>
      <c r="K14" s="240"/>
      <c r="L14" s="194"/>
      <c r="N14" s="248"/>
    </row>
    <row r="15" spans="2:14">
      <c r="B15" s="283"/>
      <c r="C15" s="275"/>
      <c r="D15" s="251"/>
      <c r="E15" s="243" t="s">
        <v>1007</v>
      </c>
      <c r="F15" s="244" t="s">
        <v>1008</v>
      </c>
      <c r="G15" s="195"/>
      <c r="H15" s="196"/>
      <c r="I15" s="195"/>
      <c r="J15" s="196"/>
      <c r="K15" s="195"/>
      <c r="L15" s="196"/>
      <c r="N15" s="249" t="s">
        <v>1520</v>
      </c>
    </row>
    <row r="16" spans="2:14" ht="51">
      <c r="B16" s="283"/>
      <c r="C16" s="273" t="s">
        <v>1437</v>
      </c>
      <c r="D16" s="250" t="s">
        <v>1440</v>
      </c>
      <c r="E16" s="241" t="s">
        <v>1483</v>
      </c>
      <c r="F16" s="242" t="s">
        <v>1489</v>
      </c>
      <c r="G16" s="241" t="s">
        <v>1484</v>
      </c>
      <c r="H16" s="242" t="s">
        <v>1490</v>
      </c>
      <c r="I16" s="241" t="s">
        <v>1485</v>
      </c>
      <c r="J16" s="242" t="s">
        <v>1491</v>
      </c>
      <c r="K16" s="240"/>
      <c r="L16" s="194"/>
      <c r="N16" s="247" t="s">
        <v>1508</v>
      </c>
    </row>
    <row r="17" spans="2:16">
      <c r="B17" s="283"/>
      <c r="C17" s="274"/>
      <c r="D17" s="276"/>
      <c r="E17" s="243" t="s">
        <v>69</v>
      </c>
      <c r="F17" s="244" t="s">
        <v>1018</v>
      </c>
      <c r="G17" s="243" t="s">
        <v>82</v>
      </c>
      <c r="H17" s="244" t="s">
        <v>1019</v>
      </c>
      <c r="I17" s="243" t="s">
        <v>71</v>
      </c>
      <c r="J17" s="244" t="s">
        <v>1020</v>
      </c>
      <c r="K17" s="195"/>
      <c r="L17" s="196"/>
      <c r="N17" s="249" t="s">
        <v>1521</v>
      </c>
    </row>
    <row r="18" spans="2:16" ht="51">
      <c r="B18" s="283"/>
      <c r="C18" s="274"/>
      <c r="D18" s="276"/>
      <c r="E18" s="241" t="s">
        <v>1501</v>
      </c>
      <c r="F18" s="242" t="s">
        <v>1492</v>
      </c>
      <c r="G18" s="240"/>
      <c r="H18" s="194"/>
      <c r="I18" s="240" t="s">
        <v>1486</v>
      </c>
      <c r="J18" s="194" t="s">
        <v>1487</v>
      </c>
      <c r="K18" s="240"/>
      <c r="L18" s="194"/>
      <c r="N18" s="249" t="s">
        <v>1522</v>
      </c>
    </row>
    <row r="19" spans="2:16">
      <c r="B19" s="284"/>
      <c r="C19" s="275"/>
      <c r="D19" s="251"/>
      <c r="E19" s="243" t="s">
        <v>92</v>
      </c>
      <c r="F19" s="244" t="s">
        <v>1008</v>
      </c>
      <c r="G19" s="195"/>
      <c r="H19" s="196"/>
      <c r="I19" s="195"/>
      <c r="J19" s="196"/>
      <c r="K19" s="195"/>
      <c r="L19" s="196"/>
      <c r="N19" s="249" t="s">
        <v>1523</v>
      </c>
    </row>
    <row r="20" spans="2:16" ht="45.75" customHeight="1">
      <c r="B20" s="267" t="s">
        <v>1438</v>
      </c>
      <c r="C20" s="268"/>
      <c r="D20" s="250" t="s">
        <v>1439</v>
      </c>
      <c r="E20" s="241" t="s">
        <v>1500</v>
      </c>
      <c r="F20" s="242" t="s">
        <v>1493</v>
      </c>
      <c r="G20" s="241" t="s">
        <v>1499</v>
      </c>
      <c r="H20" s="242" t="s">
        <v>1494</v>
      </c>
      <c r="I20" s="241" t="s">
        <v>1498</v>
      </c>
      <c r="J20" s="242" t="s">
        <v>1495</v>
      </c>
      <c r="K20" s="241" t="s">
        <v>1497</v>
      </c>
      <c r="L20" s="242" t="s">
        <v>1496</v>
      </c>
      <c r="N20" s="249" t="s">
        <v>1524</v>
      </c>
    </row>
    <row r="21" spans="2:16">
      <c r="B21" s="269"/>
      <c r="C21" s="270"/>
      <c r="D21" s="251"/>
      <c r="E21" s="243" t="s">
        <v>45</v>
      </c>
      <c r="F21" s="244" t="s">
        <v>1030</v>
      </c>
      <c r="G21" s="243" t="s">
        <v>59</v>
      </c>
      <c r="H21" s="244" t="s">
        <v>1031</v>
      </c>
      <c r="I21" s="243" t="s">
        <v>47</v>
      </c>
      <c r="J21" s="244" t="s">
        <v>1032</v>
      </c>
      <c r="K21" s="243" t="s">
        <v>24</v>
      </c>
      <c r="L21" s="244" t="s">
        <v>964</v>
      </c>
      <c r="N21" s="249" t="s">
        <v>1525</v>
      </c>
    </row>
    <row r="22" spans="2:16" ht="45.75" customHeight="1">
      <c r="B22" s="267" t="s">
        <v>1033</v>
      </c>
      <c r="C22" s="268"/>
      <c r="D22" s="250" t="s">
        <v>1033</v>
      </c>
      <c r="E22" s="241" t="s">
        <v>1502</v>
      </c>
      <c r="F22" s="242" t="s">
        <v>1442</v>
      </c>
      <c r="G22" s="240"/>
      <c r="H22" s="194"/>
      <c r="I22" s="240"/>
      <c r="J22" s="194"/>
      <c r="K22" s="240"/>
      <c r="L22" s="194"/>
      <c r="N22" s="249" t="s">
        <v>1526</v>
      </c>
    </row>
    <row r="23" spans="2:16" s="192" customFormat="1">
      <c r="B23" s="271"/>
      <c r="C23" s="272"/>
      <c r="D23" s="251"/>
      <c r="E23" s="243" t="s">
        <v>1039</v>
      </c>
      <c r="F23" s="244" t="s">
        <v>1040</v>
      </c>
      <c r="G23" s="195"/>
      <c r="H23" s="196"/>
      <c r="I23" s="195"/>
      <c r="J23" s="196"/>
      <c r="K23" s="195"/>
      <c r="L23" s="196"/>
      <c r="N23" s="249" t="s">
        <v>1527</v>
      </c>
      <c r="O23" s="239"/>
      <c r="P23" s="239"/>
    </row>
    <row r="24" spans="2:16" ht="45.75" customHeight="1">
      <c r="B24" s="271"/>
      <c r="C24" s="272"/>
      <c r="D24" s="250" t="s">
        <v>1439</v>
      </c>
      <c r="E24" s="241" t="s">
        <v>1503</v>
      </c>
      <c r="F24" s="242" t="s">
        <v>1448</v>
      </c>
      <c r="G24" s="240"/>
      <c r="H24" s="194"/>
      <c r="I24" s="245" t="s">
        <v>1504</v>
      </c>
      <c r="J24" s="194" t="s">
        <v>1449</v>
      </c>
      <c r="K24" s="240"/>
      <c r="L24" s="194"/>
      <c r="N24" s="249" t="s">
        <v>1528</v>
      </c>
    </row>
    <row r="25" spans="2:16" s="192" customFormat="1">
      <c r="B25" s="271"/>
      <c r="C25" s="272"/>
      <c r="D25" s="251"/>
      <c r="E25" s="243" t="s">
        <v>86</v>
      </c>
      <c r="F25" s="244" t="s">
        <v>80</v>
      </c>
      <c r="G25" s="195"/>
      <c r="H25" s="196"/>
      <c r="I25" s="195"/>
      <c r="J25" s="196"/>
      <c r="K25" s="195"/>
      <c r="L25" s="196"/>
      <c r="N25" s="249" t="s">
        <v>1529</v>
      </c>
      <c r="O25" s="239"/>
      <c r="P25" s="239"/>
    </row>
    <row r="26" spans="2:16" ht="45.75" customHeight="1">
      <c r="B26" s="271"/>
      <c r="C26" s="272"/>
      <c r="D26" s="250" t="s">
        <v>1441</v>
      </c>
      <c r="E26" s="240"/>
      <c r="F26" s="194"/>
      <c r="G26" s="240"/>
      <c r="H26" s="194"/>
      <c r="I26" s="240"/>
      <c r="J26" s="194"/>
      <c r="K26" s="240" t="s">
        <v>1505</v>
      </c>
      <c r="L26" s="194" t="s">
        <v>1447</v>
      </c>
      <c r="N26" s="249" t="s">
        <v>1530</v>
      </c>
    </row>
    <row r="27" spans="2:16" s="192" customFormat="1">
      <c r="B27" s="269"/>
      <c r="C27" s="270"/>
      <c r="D27" s="251"/>
      <c r="E27" s="195"/>
      <c r="F27" s="196"/>
      <c r="G27" s="195"/>
      <c r="H27" s="196"/>
      <c r="I27" s="195"/>
      <c r="J27" s="196"/>
      <c r="K27" s="195"/>
      <c r="L27" s="196"/>
      <c r="N27" s="249" t="s">
        <v>1531</v>
      </c>
      <c r="O27" s="239"/>
      <c r="P27" s="239"/>
    </row>
    <row r="28" spans="2:16" ht="45.75" customHeight="1">
      <c r="B28" s="267" t="s">
        <v>1443</v>
      </c>
      <c r="C28" s="268"/>
      <c r="D28" s="250" t="s">
        <v>1417</v>
      </c>
      <c r="E28" s="240"/>
      <c r="F28" s="194"/>
      <c r="G28" s="240"/>
      <c r="H28" s="194"/>
      <c r="I28" s="240"/>
      <c r="J28" s="194"/>
      <c r="K28" s="241" t="s">
        <v>1506</v>
      </c>
      <c r="L28" s="242" t="s">
        <v>1446</v>
      </c>
      <c r="N28" s="249" t="s">
        <v>1532</v>
      </c>
    </row>
    <row r="29" spans="2:16">
      <c r="B29" s="269"/>
      <c r="C29" s="270"/>
      <c r="D29" s="251"/>
      <c r="E29" s="195"/>
      <c r="F29" s="196"/>
      <c r="G29" s="195"/>
      <c r="H29" s="196"/>
      <c r="I29" s="195"/>
      <c r="J29" s="196"/>
      <c r="K29" s="243" t="s">
        <v>60</v>
      </c>
      <c r="L29" s="244" t="s">
        <v>994</v>
      </c>
      <c r="N29" s="248"/>
    </row>
    <row r="30" spans="2:16" ht="51">
      <c r="B30" s="267" t="s">
        <v>1444</v>
      </c>
      <c r="C30" s="268"/>
      <c r="D30" s="250" t="s">
        <v>1440</v>
      </c>
      <c r="E30" s="240"/>
      <c r="F30" s="194"/>
      <c r="G30" s="240"/>
      <c r="H30" s="194"/>
      <c r="I30" s="240"/>
      <c r="J30" s="194"/>
      <c r="K30" s="240" t="s">
        <v>1507</v>
      </c>
      <c r="L30" s="194" t="s">
        <v>1445</v>
      </c>
      <c r="N30" s="249" t="s">
        <v>1533</v>
      </c>
    </row>
    <row r="31" spans="2:16">
      <c r="B31" s="269"/>
      <c r="C31" s="270"/>
      <c r="D31" s="251"/>
      <c r="E31" s="195"/>
      <c r="F31" s="196"/>
      <c r="G31" s="195"/>
      <c r="H31" s="196"/>
      <c r="I31" s="195"/>
      <c r="J31" s="196"/>
      <c r="K31" s="195"/>
      <c r="L31" s="196"/>
      <c r="N31" s="249" t="s">
        <v>1534</v>
      </c>
    </row>
    <row r="32" spans="2:16" ht="38.25">
      <c r="N32" s="249" t="s">
        <v>1535</v>
      </c>
    </row>
    <row r="33" spans="14:14" ht="38.25">
      <c r="N33" s="249" t="s">
        <v>1513</v>
      </c>
    </row>
    <row r="34" spans="14:14" ht="38.25">
      <c r="N34" s="247" t="s">
        <v>1536</v>
      </c>
    </row>
    <row r="35" spans="14:14" ht="38.25">
      <c r="N35" s="247" t="s">
        <v>1537</v>
      </c>
    </row>
    <row r="36" spans="14:14" ht="38.25">
      <c r="N36" s="248"/>
    </row>
    <row r="37" spans="14:14" ht="38.25">
      <c r="N37" s="249" t="s">
        <v>1538</v>
      </c>
    </row>
    <row r="38" spans="14:14" ht="38.25">
      <c r="N38" s="249" t="s">
        <v>1539</v>
      </c>
    </row>
    <row r="39" spans="14:14" ht="38.25">
      <c r="N39" s="249" t="s">
        <v>1540</v>
      </c>
    </row>
    <row r="40" spans="14:14" ht="38.25">
      <c r="N40" s="249" t="s">
        <v>1541</v>
      </c>
    </row>
    <row r="41" spans="14:14" ht="38.25">
      <c r="N41" s="249" t="s">
        <v>1542</v>
      </c>
    </row>
    <row r="42" spans="14:14" ht="38.25">
      <c r="N42" s="249" t="s">
        <v>1543</v>
      </c>
    </row>
    <row r="43" spans="14:14" ht="38.25">
      <c r="N43" s="249" t="s">
        <v>1544</v>
      </c>
    </row>
    <row r="44" spans="14:14" ht="38.25">
      <c r="N44" s="248"/>
    </row>
    <row r="45" spans="14:14" ht="38.25">
      <c r="N45" s="249" t="s">
        <v>1545</v>
      </c>
    </row>
    <row r="46" spans="14:14" ht="38.25">
      <c r="N46" s="249" t="s">
        <v>1546</v>
      </c>
    </row>
    <row r="47" spans="14:14" ht="38.25">
      <c r="N47" s="249" t="s">
        <v>1547</v>
      </c>
    </row>
    <row r="48" spans="14:14" ht="38.25">
      <c r="N48" s="249" t="s">
        <v>1548</v>
      </c>
    </row>
    <row r="49" spans="14:14" ht="38.25">
      <c r="N49" s="249" t="s">
        <v>1549</v>
      </c>
    </row>
    <row r="50" spans="14:14" ht="38.25">
      <c r="N50" s="249" t="s">
        <v>1550</v>
      </c>
    </row>
    <row r="51" spans="14:14" ht="38.25">
      <c r="N51" s="249" t="s">
        <v>1551</v>
      </c>
    </row>
    <row r="52" spans="14:14" ht="38.25">
      <c r="N52" s="249" t="s">
        <v>1552</v>
      </c>
    </row>
    <row r="53" spans="14:14" ht="38.25">
      <c r="N53" s="249" t="s">
        <v>1553</v>
      </c>
    </row>
    <row r="54" spans="14:14" ht="38.25">
      <c r="N54" s="249" t="s">
        <v>1554</v>
      </c>
    </row>
  </sheetData>
  <mergeCells count="32">
    <mergeCell ref="D8:D9"/>
    <mergeCell ref="B12:B19"/>
    <mergeCell ref="B8:B11"/>
    <mergeCell ref="B4:B7"/>
    <mergeCell ref="C4:C5"/>
    <mergeCell ref="C8:C9"/>
    <mergeCell ref="C10:C11"/>
    <mergeCell ref="C12:C15"/>
    <mergeCell ref="I3:J3"/>
    <mergeCell ref="K3:L3"/>
    <mergeCell ref="E2:L2"/>
    <mergeCell ref="D2:D3"/>
    <mergeCell ref="C6:C7"/>
    <mergeCell ref="D4:D5"/>
    <mergeCell ref="D6:D7"/>
    <mergeCell ref="B2:C3"/>
    <mergeCell ref="E3:F3"/>
    <mergeCell ref="G3:H3"/>
    <mergeCell ref="B30:C31"/>
    <mergeCell ref="D30:D31"/>
    <mergeCell ref="D10:D11"/>
    <mergeCell ref="D26:D27"/>
    <mergeCell ref="B22:C27"/>
    <mergeCell ref="B28:C29"/>
    <mergeCell ref="C16:C19"/>
    <mergeCell ref="D12:D15"/>
    <mergeCell ref="D16:D19"/>
    <mergeCell ref="B20:C21"/>
    <mergeCell ref="D24:D25"/>
    <mergeCell ref="D20:D21"/>
    <mergeCell ref="D22:D23"/>
    <mergeCell ref="D28:D2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AC5C-FB7F-4392-B1A8-AECD6F857F35}">
  <dimension ref="B1:S17"/>
  <sheetViews>
    <sheetView showGridLines="0" zoomScale="70" zoomScaleNormal="70" workbookViewId="0">
      <selection activeCell="C33" sqref="C33"/>
    </sheetView>
  </sheetViews>
  <sheetFormatPr defaultRowHeight="32.25" outlineLevelCol="1"/>
  <cols>
    <col min="2" max="2" width="20" style="190" customWidth="1"/>
    <col min="3" max="3" width="18.5" style="190" customWidth="1" outlineLevel="1"/>
    <col min="4" max="15" width="11" style="191" customWidth="1"/>
    <col min="16" max="18" width="9" style="192"/>
  </cols>
  <sheetData>
    <row r="1" spans="2:19" ht="10.5" customHeight="1"/>
    <row r="2" spans="2:19" ht="39">
      <c r="B2" s="254" t="s">
        <v>965</v>
      </c>
      <c r="C2" s="255"/>
      <c r="D2" s="258" t="s">
        <v>966</v>
      </c>
      <c r="E2" s="259"/>
      <c r="F2" s="259"/>
      <c r="G2" s="260"/>
      <c r="H2" s="261" t="s">
        <v>967</v>
      </c>
      <c r="I2" s="262"/>
      <c r="J2" s="261" t="s">
        <v>968</v>
      </c>
      <c r="K2" s="262"/>
      <c r="L2" s="261" t="s">
        <v>969</v>
      </c>
      <c r="M2" s="262"/>
      <c r="N2" s="261" t="s">
        <v>970</v>
      </c>
      <c r="O2" s="262"/>
    </row>
    <row r="3" spans="2:19" ht="32.25" customHeight="1">
      <c r="B3" s="256"/>
      <c r="C3" s="257"/>
      <c r="D3" s="265" t="s">
        <v>1046</v>
      </c>
      <c r="E3" s="266"/>
      <c r="F3" s="265" t="s">
        <v>1047</v>
      </c>
      <c r="G3" s="266"/>
      <c r="H3" s="263"/>
      <c r="I3" s="264"/>
      <c r="J3" s="263"/>
      <c r="K3" s="264"/>
      <c r="L3" s="263"/>
      <c r="M3" s="264"/>
      <c r="N3" s="263"/>
      <c r="O3" s="264"/>
    </row>
    <row r="4" spans="2:19" ht="45.75">
      <c r="B4" s="250" t="s">
        <v>971</v>
      </c>
      <c r="C4" s="252" t="s">
        <v>971</v>
      </c>
      <c r="D4" s="193" t="s">
        <v>972</v>
      </c>
      <c r="E4" s="194" t="s">
        <v>973</v>
      </c>
      <c r="F4" s="193" t="s">
        <v>974</v>
      </c>
      <c r="G4" s="194" t="s">
        <v>975</v>
      </c>
      <c r="H4" s="193" t="s">
        <v>976</v>
      </c>
      <c r="I4" s="194" t="s">
        <v>977</v>
      </c>
      <c r="J4" s="193" t="s">
        <v>978</v>
      </c>
      <c r="K4" s="194" t="s">
        <v>979</v>
      </c>
      <c r="L4" s="193"/>
      <c r="M4" s="194" t="s">
        <v>894</v>
      </c>
      <c r="N4" s="193"/>
      <c r="O4" s="194" t="s">
        <v>894</v>
      </c>
      <c r="S4" s="192"/>
    </row>
    <row r="5" spans="2:19" ht="44.25">
      <c r="B5" s="251"/>
      <c r="C5" s="253"/>
      <c r="D5" s="195" t="s">
        <v>19</v>
      </c>
      <c r="E5" s="196" t="s">
        <v>980</v>
      </c>
      <c r="F5" s="195" t="s">
        <v>50</v>
      </c>
      <c r="G5" s="196" t="s">
        <v>981</v>
      </c>
      <c r="H5" s="195" t="s">
        <v>41</v>
      </c>
      <c r="I5" s="196" t="s">
        <v>982</v>
      </c>
      <c r="J5" s="195" t="s">
        <v>20</v>
      </c>
      <c r="K5" s="196" t="s">
        <v>963</v>
      </c>
      <c r="L5" s="195"/>
      <c r="M5" s="196"/>
      <c r="N5" s="195"/>
      <c r="O5" s="196"/>
      <c r="S5" s="192"/>
    </row>
    <row r="6" spans="2:19" ht="45.75">
      <c r="B6" s="250" t="s">
        <v>2</v>
      </c>
      <c r="C6" s="252" t="s">
        <v>983</v>
      </c>
      <c r="D6" s="193" t="s">
        <v>984</v>
      </c>
      <c r="E6" s="194" t="s">
        <v>985</v>
      </c>
      <c r="F6" s="193" t="s">
        <v>986</v>
      </c>
      <c r="G6" s="194" t="s">
        <v>987</v>
      </c>
      <c r="H6" s="193"/>
      <c r="I6" s="194"/>
      <c r="J6" s="193" t="s">
        <v>988</v>
      </c>
      <c r="K6" s="194" t="s">
        <v>989</v>
      </c>
      <c r="L6" s="193"/>
      <c r="M6" s="194" t="s">
        <v>894</v>
      </c>
      <c r="N6" s="193" t="s">
        <v>990</v>
      </c>
      <c r="O6" s="194" t="s">
        <v>991</v>
      </c>
    </row>
    <row r="7" spans="2:19" ht="44.25">
      <c r="B7" s="251"/>
      <c r="C7" s="253"/>
      <c r="D7" s="195" t="s">
        <v>43</v>
      </c>
      <c r="E7" s="196" t="s">
        <v>992</v>
      </c>
      <c r="F7" s="195" t="s">
        <v>58</v>
      </c>
      <c r="G7" s="196" t="s">
        <v>993</v>
      </c>
      <c r="H7" s="195"/>
      <c r="I7" s="196"/>
      <c r="J7" s="195" t="s">
        <v>22</v>
      </c>
      <c r="K7" s="196" t="s">
        <v>962</v>
      </c>
      <c r="L7" s="195"/>
      <c r="M7" s="196"/>
      <c r="N7" s="195" t="s">
        <v>60</v>
      </c>
      <c r="O7" s="196" t="s">
        <v>994</v>
      </c>
    </row>
    <row r="8" spans="2:19" ht="45.75">
      <c r="B8" s="250" t="s">
        <v>1</v>
      </c>
      <c r="C8" s="252" t="s">
        <v>995</v>
      </c>
      <c r="D8" s="193" t="s">
        <v>996</v>
      </c>
      <c r="E8" s="194" t="s">
        <v>997</v>
      </c>
      <c r="F8" s="193" t="s">
        <v>998</v>
      </c>
      <c r="G8" s="194" t="s">
        <v>999</v>
      </c>
      <c r="H8" s="193" t="s">
        <v>1000</v>
      </c>
      <c r="I8" s="194" t="s">
        <v>1001</v>
      </c>
      <c r="J8" s="193"/>
      <c r="K8" s="194"/>
      <c r="L8" s="193" t="s">
        <v>1002</v>
      </c>
      <c r="M8" s="194" t="s">
        <v>1003</v>
      </c>
      <c r="N8" s="193"/>
      <c r="O8" s="194" t="s">
        <v>894</v>
      </c>
    </row>
    <row r="9" spans="2:19" ht="44.25">
      <c r="B9" s="251"/>
      <c r="C9" s="253"/>
      <c r="D9" s="195" t="s">
        <v>73</v>
      </c>
      <c r="E9" s="196" t="s">
        <v>1004</v>
      </c>
      <c r="F9" s="195" t="s">
        <v>84</v>
      </c>
      <c r="G9" s="196" t="s">
        <v>1005</v>
      </c>
      <c r="H9" s="195" t="s">
        <v>75</v>
      </c>
      <c r="I9" s="196" t="s">
        <v>1006</v>
      </c>
      <c r="J9" s="195"/>
      <c r="K9" s="196"/>
      <c r="L9" s="195" t="s">
        <v>1007</v>
      </c>
      <c r="M9" s="196" t="s">
        <v>1008</v>
      </c>
      <c r="N9" s="195"/>
      <c r="O9" s="196"/>
    </row>
    <row r="10" spans="2:19" ht="45.75">
      <c r="B10" s="250" t="s">
        <v>1009</v>
      </c>
      <c r="C10" s="252" t="s">
        <v>1009</v>
      </c>
      <c r="D10" s="193" t="s">
        <v>1010</v>
      </c>
      <c r="E10" s="194" t="s">
        <v>1011</v>
      </c>
      <c r="F10" s="193" t="s">
        <v>1012</v>
      </c>
      <c r="G10" s="194" t="s">
        <v>1013</v>
      </c>
      <c r="H10" s="193" t="s">
        <v>1014</v>
      </c>
      <c r="I10" s="194" t="s">
        <v>1015</v>
      </c>
      <c r="J10" s="193"/>
      <c r="K10" s="194"/>
      <c r="L10" s="193" t="s">
        <v>1016</v>
      </c>
      <c r="M10" s="194" t="s">
        <v>1017</v>
      </c>
      <c r="N10" s="193"/>
      <c r="O10" s="194" t="s">
        <v>894</v>
      </c>
    </row>
    <row r="11" spans="2:19" ht="44.25">
      <c r="B11" s="251"/>
      <c r="C11" s="253"/>
      <c r="D11" s="195" t="s">
        <v>69</v>
      </c>
      <c r="E11" s="196" t="s">
        <v>1018</v>
      </c>
      <c r="F11" s="195" t="s">
        <v>82</v>
      </c>
      <c r="G11" s="196" t="s">
        <v>1019</v>
      </c>
      <c r="H11" s="195" t="s">
        <v>71</v>
      </c>
      <c r="I11" s="196" t="s">
        <v>1020</v>
      </c>
      <c r="J11" s="195"/>
      <c r="K11" s="196"/>
      <c r="L11" s="195" t="s">
        <v>92</v>
      </c>
      <c r="M11" s="196" t="s">
        <v>1008</v>
      </c>
      <c r="N11" s="195"/>
      <c r="O11" s="196"/>
    </row>
    <row r="12" spans="2:19" ht="45.75">
      <c r="B12" s="250" t="s">
        <v>1021</v>
      </c>
      <c r="C12" s="252" t="s">
        <v>1021</v>
      </c>
      <c r="D12" s="193" t="s">
        <v>1022</v>
      </c>
      <c r="E12" s="194" t="s">
        <v>1023</v>
      </c>
      <c r="F12" s="193" t="s">
        <v>1024</v>
      </c>
      <c r="G12" s="194" t="s">
        <v>1025</v>
      </c>
      <c r="H12" s="193" t="s">
        <v>1026</v>
      </c>
      <c r="I12" s="194" t="s">
        <v>1027</v>
      </c>
      <c r="J12" s="193" t="s">
        <v>1028</v>
      </c>
      <c r="K12" s="194" t="s">
        <v>1029</v>
      </c>
      <c r="L12" s="193" t="s">
        <v>894</v>
      </c>
      <c r="M12" s="194"/>
      <c r="N12" s="193"/>
      <c r="O12" s="194" t="s">
        <v>894</v>
      </c>
    </row>
    <row r="13" spans="2:19" ht="44.25">
      <c r="B13" s="251"/>
      <c r="C13" s="253"/>
      <c r="D13" s="195" t="s">
        <v>45</v>
      </c>
      <c r="E13" s="196" t="s">
        <v>1030</v>
      </c>
      <c r="F13" s="195" t="s">
        <v>59</v>
      </c>
      <c r="G13" s="196" t="s">
        <v>1031</v>
      </c>
      <c r="H13" s="195" t="s">
        <v>47</v>
      </c>
      <c r="I13" s="196" t="s">
        <v>1032</v>
      </c>
      <c r="J13" s="195" t="s">
        <v>24</v>
      </c>
      <c r="K13" s="196" t="s">
        <v>964</v>
      </c>
      <c r="L13" s="195"/>
      <c r="M13" s="196"/>
      <c r="N13" s="195"/>
      <c r="O13" s="196"/>
    </row>
    <row r="14" spans="2:19" ht="45.75">
      <c r="B14" s="250" t="s">
        <v>1033</v>
      </c>
      <c r="C14" s="252" t="s">
        <v>1033</v>
      </c>
      <c r="D14" s="193"/>
      <c r="E14" s="194"/>
      <c r="F14" s="193"/>
      <c r="G14" s="194"/>
      <c r="H14" s="193"/>
      <c r="I14" s="194"/>
      <c r="J14" s="193"/>
      <c r="K14" s="194"/>
      <c r="L14" s="193" t="s">
        <v>1034</v>
      </c>
      <c r="M14" s="194" t="s">
        <v>1035</v>
      </c>
      <c r="N14" s="193"/>
      <c r="O14" s="194" t="s">
        <v>894</v>
      </c>
    </row>
    <row r="15" spans="2:19" ht="44.25">
      <c r="B15" s="251"/>
      <c r="C15" s="253"/>
      <c r="D15" s="195"/>
      <c r="E15" s="196"/>
      <c r="F15" s="195"/>
      <c r="G15" s="196"/>
      <c r="H15" s="195"/>
      <c r="I15" s="196"/>
      <c r="J15" s="195"/>
      <c r="K15" s="196"/>
      <c r="L15" s="195" t="s">
        <v>86</v>
      </c>
      <c r="M15" s="196" t="s">
        <v>1036</v>
      </c>
      <c r="N15" s="195"/>
      <c r="O15" s="196"/>
    </row>
    <row r="16" spans="2:19" ht="45.75">
      <c r="B16" s="250" t="s">
        <v>1037</v>
      </c>
      <c r="C16" s="252" t="s">
        <v>1038</v>
      </c>
      <c r="D16" s="197" t="s">
        <v>874</v>
      </c>
      <c r="E16" s="194" t="s">
        <v>1039</v>
      </c>
      <c r="F16" s="193"/>
      <c r="G16" s="194"/>
      <c r="H16" s="193"/>
      <c r="I16" s="194"/>
      <c r="J16" s="193"/>
      <c r="K16" s="194"/>
      <c r="L16" s="193"/>
      <c r="M16" s="194"/>
      <c r="N16" s="193"/>
      <c r="O16" s="194" t="s">
        <v>894</v>
      </c>
    </row>
    <row r="17" spans="2:15" ht="44.25">
      <c r="B17" s="251"/>
      <c r="C17" s="253"/>
      <c r="D17" s="198"/>
      <c r="E17" s="196" t="s">
        <v>1040</v>
      </c>
      <c r="F17" s="195"/>
      <c r="G17" s="196"/>
      <c r="H17" s="195"/>
      <c r="I17" s="196"/>
      <c r="J17" s="195"/>
      <c r="K17" s="196"/>
      <c r="L17" s="195"/>
      <c r="M17" s="196"/>
      <c r="N17" s="195"/>
      <c r="O17" s="196" t="s">
        <v>894</v>
      </c>
    </row>
  </sheetData>
  <mergeCells count="22">
    <mergeCell ref="N2:O3"/>
    <mergeCell ref="D3:E3"/>
    <mergeCell ref="F3:G3"/>
    <mergeCell ref="B2:C3"/>
    <mergeCell ref="D2:G2"/>
    <mergeCell ref="H2:I3"/>
    <mergeCell ref="J2:K3"/>
    <mergeCell ref="L2:M3"/>
    <mergeCell ref="B4:B5"/>
    <mergeCell ref="C4:C5"/>
    <mergeCell ref="B6:B7"/>
    <mergeCell ref="C6:C7"/>
    <mergeCell ref="B8:B9"/>
    <mergeCell ref="C8:C9"/>
    <mergeCell ref="B16:B17"/>
    <mergeCell ref="C16:C17"/>
    <mergeCell ref="B10:B11"/>
    <mergeCell ref="C10:C11"/>
    <mergeCell ref="B12:B13"/>
    <mergeCell ref="C12:C13"/>
    <mergeCell ref="B14:B15"/>
    <mergeCell ref="C14:C1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47DD-FD70-4BD8-9108-87DEAFC4BA41}">
  <dimension ref="B2:V53"/>
  <sheetViews>
    <sheetView zoomScale="70" zoomScaleNormal="70" workbookViewId="0">
      <selection activeCell="F15" sqref="F15"/>
    </sheetView>
  </sheetViews>
  <sheetFormatPr defaultRowHeight="23.25"/>
  <cols>
    <col min="1" max="1" width="2" style="202" customWidth="1"/>
    <col min="2" max="22" width="13" style="202" customWidth="1"/>
    <col min="23" max="16384" width="9" style="202"/>
  </cols>
  <sheetData>
    <row r="2" spans="2:22" ht="30">
      <c r="B2" s="293" t="s">
        <v>1048</v>
      </c>
      <c r="C2" s="293" t="s">
        <v>1049</v>
      </c>
      <c r="D2" s="293"/>
      <c r="E2" s="293"/>
      <c r="F2" s="293"/>
      <c r="G2" s="199" t="s">
        <v>1050</v>
      </c>
      <c r="H2" s="200"/>
      <c r="I2" s="200"/>
      <c r="J2" s="200"/>
      <c r="K2" s="200"/>
      <c r="L2" s="201"/>
      <c r="M2" s="199" t="s">
        <v>1051</v>
      </c>
      <c r="N2" s="200"/>
      <c r="O2" s="200"/>
      <c r="P2" s="200"/>
      <c r="Q2" s="200"/>
      <c r="R2" s="200"/>
      <c r="S2" s="200"/>
      <c r="T2" s="200"/>
      <c r="U2" s="200"/>
      <c r="V2" s="201"/>
    </row>
    <row r="3" spans="2:22">
      <c r="B3" s="293"/>
      <c r="C3" s="293"/>
      <c r="D3" s="293"/>
      <c r="E3" s="293"/>
      <c r="F3" s="293"/>
      <c r="G3" s="291" t="s">
        <v>14</v>
      </c>
      <c r="H3" s="292"/>
      <c r="I3" s="291" t="s">
        <v>16</v>
      </c>
      <c r="J3" s="292"/>
      <c r="K3" s="291" t="s">
        <v>156</v>
      </c>
      <c r="L3" s="292"/>
      <c r="M3" s="291" t="s">
        <v>1052</v>
      </c>
      <c r="N3" s="292"/>
      <c r="O3" s="291" t="s">
        <v>1053</v>
      </c>
      <c r="P3" s="292"/>
      <c r="Q3" s="291" t="s">
        <v>1054</v>
      </c>
      <c r="R3" s="292"/>
      <c r="S3" s="203" t="s">
        <v>874</v>
      </c>
      <c r="T3" s="204"/>
      <c r="U3" s="204"/>
      <c r="V3" s="205"/>
    </row>
    <row r="4" spans="2:22" ht="25.5">
      <c r="B4" s="289" t="s">
        <v>224</v>
      </c>
      <c r="C4" s="206" t="s">
        <v>1055</v>
      </c>
      <c r="D4" s="207" t="s">
        <v>1055</v>
      </c>
      <c r="E4" s="206" t="s">
        <v>932</v>
      </c>
      <c r="F4" s="207" t="s">
        <v>1056</v>
      </c>
      <c r="G4" s="206" t="s">
        <v>1057</v>
      </c>
      <c r="H4" s="207" t="s">
        <v>1057</v>
      </c>
      <c r="I4" s="206" t="s">
        <v>1058</v>
      </c>
      <c r="J4" s="207" t="s">
        <v>1058</v>
      </c>
      <c r="K4" s="206" t="s">
        <v>1059</v>
      </c>
      <c r="L4" s="207" t="s">
        <v>1060</v>
      </c>
      <c r="M4" s="206" t="s">
        <v>1061</v>
      </c>
      <c r="N4" s="207" t="s">
        <v>1062</v>
      </c>
      <c r="O4" s="206" t="s">
        <v>1063</v>
      </c>
      <c r="P4" s="207" t="s">
        <v>1064</v>
      </c>
      <c r="Q4" s="206" t="s">
        <v>1065</v>
      </c>
      <c r="R4" s="207" t="s">
        <v>1066</v>
      </c>
      <c r="S4" s="206" t="s">
        <v>935</v>
      </c>
      <c r="T4" s="207" t="s">
        <v>1067</v>
      </c>
      <c r="U4" s="206" t="s">
        <v>933</v>
      </c>
      <c r="V4" s="207" t="s">
        <v>1068</v>
      </c>
    </row>
    <row r="5" spans="2:22" ht="44.25">
      <c r="B5" s="290"/>
      <c r="C5" s="195" t="s">
        <v>1069</v>
      </c>
      <c r="D5" s="196" t="s">
        <v>1070</v>
      </c>
      <c r="E5" s="195" t="s">
        <v>1071</v>
      </c>
      <c r="F5" s="196" t="s">
        <v>1072</v>
      </c>
      <c r="G5" s="195" t="s">
        <v>1073</v>
      </c>
      <c r="H5" s="196" t="s">
        <v>1074</v>
      </c>
      <c r="I5" s="195" t="s">
        <v>1075</v>
      </c>
      <c r="J5" s="196" t="s">
        <v>1076</v>
      </c>
      <c r="K5" s="195" t="s">
        <v>1077</v>
      </c>
      <c r="L5" s="196" t="s">
        <v>1078</v>
      </c>
      <c r="M5" s="195" t="s">
        <v>1079</v>
      </c>
      <c r="N5" s="196" t="s">
        <v>1080</v>
      </c>
      <c r="O5" s="195" t="s">
        <v>1081</v>
      </c>
      <c r="P5" s="196" t="s">
        <v>1082</v>
      </c>
      <c r="Q5" s="195" t="s">
        <v>1083</v>
      </c>
      <c r="R5" s="196" t="s">
        <v>1084</v>
      </c>
      <c r="S5" s="195" t="s">
        <v>1085</v>
      </c>
      <c r="T5" s="196" t="s">
        <v>1086</v>
      </c>
      <c r="U5" s="195" t="s">
        <v>1087</v>
      </c>
      <c r="V5" s="196" t="s">
        <v>1088</v>
      </c>
    </row>
    <row r="6" spans="2:22" ht="25.5">
      <c r="B6" s="289" t="s">
        <v>916</v>
      </c>
      <c r="C6" s="206" t="s">
        <v>1089</v>
      </c>
      <c r="D6" s="207" t="s">
        <v>1089</v>
      </c>
      <c r="E6" s="206" t="s">
        <v>1090</v>
      </c>
      <c r="F6" s="207" t="s">
        <v>1091</v>
      </c>
      <c r="G6" s="206"/>
      <c r="H6" s="207"/>
      <c r="I6" s="206"/>
      <c r="J6" s="207"/>
      <c r="K6" s="206"/>
      <c r="L6" s="207"/>
      <c r="M6" s="206"/>
      <c r="N6" s="207"/>
      <c r="O6" s="206"/>
      <c r="P6" s="207"/>
      <c r="Q6" s="206"/>
      <c r="R6" s="207"/>
      <c r="S6" s="206" t="s">
        <v>1092</v>
      </c>
      <c r="T6" s="207" t="s">
        <v>1093</v>
      </c>
      <c r="U6" s="206" t="s">
        <v>1094</v>
      </c>
      <c r="V6" s="207" t="s">
        <v>1095</v>
      </c>
    </row>
    <row r="7" spans="2:22" ht="44.25">
      <c r="B7" s="290"/>
      <c r="C7" s="195" t="s">
        <v>1096</v>
      </c>
      <c r="D7" s="196" t="s">
        <v>1097</v>
      </c>
      <c r="E7" s="195" t="s">
        <v>1098</v>
      </c>
      <c r="F7" s="196" t="s">
        <v>1099</v>
      </c>
      <c r="G7" s="195"/>
      <c r="H7" s="208"/>
      <c r="I7" s="195"/>
      <c r="J7" s="208"/>
      <c r="K7" s="195"/>
      <c r="L7" s="208"/>
      <c r="M7" s="195"/>
      <c r="N7" s="208"/>
      <c r="O7" s="195"/>
      <c r="P7" s="208"/>
      <c r="Q7" s="195"/>
      <c r="R7" s="208"/>
      <c r="S7" s="195" t="s">
        <v>1100</v>
      </c>
      <c r="T7" s="208" t="s">
        <v>1101</v>
      </c>
      <c r="U7" s="195" t="s">
        <v>1102</v>
      </c>
      <c r="V7" s="209" t="s">
        <v>1103</v>
      </c>
    </row>
    <row r="8" spans="2:22" ht="25.5">
      <c r="B8" s="289" t="s">
        <v>926</v>
      </c>
      <c r="C8" s="206" t="s">
        <v>1104</v>
      </c>
      <c r="D8" s="207" t="s">
        <v>1105</v>
      </c>
      <c r="E8" s="206"/>
      <c r="F8" s="207"/>
      <c r="G8" s="206"/>
      <c r="H8" s="207"/>
      <c r="I8" s="206"/>
      <c r="J8" s="207"/>
      <c r="K8" s="206"/>
      <c r="L8" s="207"/>
      <c r="M8" s="206"/>
      <c r="N8" s="207"/>
      <c r="O8" s="206"/>
      <c r="P8" s="207"/>
      <c r="Q8" s="206"/>
      <c r="R8" s="207"/>
      <c r="S8" s="206" t="s">
        <v>1106</v>
      </c>
      <c r="T8" s="207" t="s">
        <v>1107</v>
      </c>
      <c r="U8" s="206" t="s">
        <v>1108</v>
      </c>
      <c r="V8" s="207" t="s">
        <v>1109</v>
      </c>
    </row>
    <row r="9" spans="2:22" ht="44.25">
      <c r="B9" s="290"/>
      <c r="C9" s="195" t="s">
        <v>1110</v>
      </c>
      <c r="D9" s="196" t="s">
        <v>1111</v>
      </c>
      <c r="E9" s="195"/>
      <c r="F9" s="208"/>
      <c r="G9" s="195"/>
      <c r="H9" s="208"/>
      <c r="I9" s="195"/>
      <c r="J9" s="208"/>
      <c r="K9" s="195"/>
      <c r="L9" s="208"/>
      <c r="M9" s="195"/>
      <c r="N9" s="208"/>
      <c r="O9" s="195"/>
      <c r="P9" s="208"/>
      <c r="Q9" s="195"/>
      <c r="R9" s="208"/>
      <c r="S9" s="195" t="s">
        <v>1112</v>
      </c>
      <c r="T9" s="210" t="s">
        <v>1113</v>
      </c>
      <c r="U9" s="211" t="s">
        <v>1114</v>
      </c>
      <c r="V9" s="212" t="s">
        <v>1115</v>
      </c>
    </row>
    <row r="10" spans="2:22" ht="25.5">
      <c r="B10" s="289" t="s">
        <v>899</v>
      </c>
      <c r="C10" s="213" t="s">
        <v>1116</v>
      </c>
      <c r="D10" s="214" t="s">
        <v>1117</v>
      </c>
      <c r="E10" s="206"/>
      <c r="F10" s="207"/>
      <c r="G10" s="206"/>
      <c r="H10" s="207"/>
      <c r="I10" s="206"/>
      <c r="J10" s="207"/>
      <c r="K10" s="206" t="s">
        <v>1118</v>
      </c>
      <c r="L10" s="207" t="s">
        <v>1119</v>
      </c>
      <c r="M10" s="206"/>
      <c r="N10" s="207"/>
      <c r="O10" s="206"/>
      <c r="P10" s="207"/>
      <c r="Q10" s="206" t="s">
        <v>369</v>
      </c>
      <c r="R10" s="207" t="s">
        <v>1120</v>
      </c>
      <c r="S10" s="213" t="s">
        <v>1121</v>
      </c>
      <c r="T10" s="214" t="s">
        <v>1122</v>
      </c>
      <c r="U10" s="206"/>
      <c r="V10" s="207"/>
    </row>
    <row r="11" spans="2:22" ht="50.25">
      <c r="B11" s="290"/>
      <c r="C11" s="215" t="s">
        <v>1123</v>
      </c>
      <c r="D11" s="216" t="s">
        <v>1124</v>
      </c>
      <c r="E11" s="195"/>
      <c r="F11" s="208"/>
      <c r="G11" s="195"/>
      <c r="H11" s="208"/>
      <c r="I11" s="195"/>
      <c r="J11" s="208"/>
      <c r="K11" s="195" t="s">
        <v>1125</v>
      </c>
      <c r="L11" s="196" t="s">
        <v>1126</v>
      </c>
      <c r="M11" s="195"/>
      <c r="N11" s="208"/>
      <c r="O11" s="195"/>
      <c r="P11" s="208"/>
      <c r="Q11" s="195" t="s">
        <v>1127</v>
      </c>
      <c r="R11" s="196" t="s">
        <v>1128</v>
      </c>
      <c r="S11" s="217" t="s">
        <v>1129</v>
      </c>
      <c r="T11" s="218" t="s">
        <v>1130</v>
      </c>
      <c r="U11" s="211"/>
      <c r="V11" s="212"/>
    </row>
    <row r="12" spans="2:22" ht="25.5">
      <c r="B12" s="289" t="s">
        <v>289</v>
      </c>
      <c r="C12" s="206" t="s">
        <v>248</v>
      </c>
      <c r="D12" s="207" t="s">
        <v>248</v>
      </c>
      <c r="E12" s="213" t="s">
        <v>1131</v>
      </c>
      <c r="F12" s="214" t="s">
        <v>1132</v>
      </c>
      <c r="G12" s="206"/>
      <c r="H12" s="207"/>
      <c r="I12" s="206"/>
      <c r="J12" s="207"/>
      <c r="K12" s="206"/>
      <c r="L12" s="207"/>
      <c r="M12" s="206"/>
      <c r="N12" s="207"/>
      <c r="O12" s="206"/>
      <c r="P12" s="207"/>
      <c r="Q12" s="206"/>
      <c r="R12" s="207"/>
      <c r="S12" s="206" t="s">
        <v>948</v>
      </c>
      <c r="T12" s="207" t="s">
        <v>1133</v>
      </c>
      <c r="U12" s="206" t="s">
        <v>939</v>
      </c>
      <c r="V12" s="207" t="s">
        <v>1134</v>
      </c>
    </row>
    <row r="13" spans="2:22" ht="44.25">
      <c r="B13" s="290"/>
      <c r="C13" s="195" t="s">
        <v>1135</v>
      </c>
      <c r="D13" s="196" t="s">
        <v>1136</v>
      </c>
      <c r="E13" s="215" t="s">
        <v>1137</v>
      </c>
      <c r="F13" s="219" t="s">
        <v>1138</v>
      </c>
      <c r="G13" s="211"/>
      <c r="H13" s="212"/>
      <c r="I13" s="211"/>
      <c r="J13" s="212"/>
      <c r="K13" s="211"/>
      <c r="L13" s="212"/>
      <c r="M13" s="211"/>
      <c r="N13" s="212"/>
      <c r="O13" s="211"/>
      <c r="P13" s="212"/>
      <c r="Q13" s="211"/>
      <c r="R13" s="212"/>
      <c r="S13" s="195" t="s">
        <v>1139</v>
      </c>
      <c r="T13" s="196" t="s">
        <v>1140</v>
      </c>
      <c r="U13" s="195" t="s">
        <v>1141</v>
      </c>
      <c r="V13" s="220" t="s">
        <v>1142</v>
      </c>
    </row>
    <row r="14" spans="2:22" ht="25.5">
      <c r="B14" s="289" t="s">
        <v>314</v>
      </c>
      <c r="C14" s="206" t="s">
        <v>1143</v>
      </c>
      <c r="D14" s="207" t="s">
        <v>1143</v>
      </c>
      <c r="E14" s="206" t="s">
        <v>1144</v>
      </c>
      <c r="F14" s="207" t="s">
        <v>1145</v>
      </c>
      <c r="G14" s="206" t="s">
        <v>1146</v>
      </c>
      <c r="H14" s="207" t="s">
        <v>1146</v>
      </c>
      <c r="I14" s="206" t="s">
        <v>1147</v>
      </c>
      <c r="J14" s="207" t="s">
        <v>1147</v>
      </c>
      <c r="K14" s="206" t="s">
        <v>1148</v>
      </c>
      <c r="L14" s="207" t="s">
        <v>1149</v>
      </c>
      <c r="M14" s="206" t="s">
        <v>1150</v>
      </c>
      <c r="N14" s="207" t="s">
        <v>1151</v>
      </c>
      <c r="O14" s="206" t="s">
        <v>1152</v>
      </c>
      <c r="P14" s="207" t="s">
        <v>1153</v>
      </c>
      <c r="Q14" s="206" t="s">
        <v>1154</v>
      </c>
      <c r="R14" s="207" t="s">
        <v>1155</v>
      </c>
      <c r="S14" s="206" t="s">
        <v>936</v>
      </c>
      <c r="T14" s="207" t="s">
        <v>1156</v>
      </c>
      <c r="U14" s="206" t="s">
        <v>1157</v>
      </c>
      <c r="V14" s="207" t="s">
        <v>1158</v>
      </c>
    </row>
    <row r="15" spans="2:22" ht="50.25">
      <c r="B15" s="290"/>
      <c r="C15" s="195" t="s">
        <v>1159</v>
      </c>
      <c r="D15" s="196" t="s">
        <v>1160</v>
      </c>
      <c r="E15" s="195" t="s">
        <v>1161</v>
      </c>
      <c r="F15" s="208" t="s">
        <v>1162</v>
      </c>
      <c r="G15" s="195" t="s">
        <v>1163</v>
      </c>
      <c r="H15" s="196" t="s">
        <v>1164</v>
      </c>
      <c r="I15" s="195" t="s">
        <v>1165</v>
      </c>
      <c r="J15" s="196" t="s">
        <v>1166</v>
      </c>
      <c r="K15" s="195" t="s">
        <v>1167</v>
      </c>
      <c r="L15" s="196" t="s">
        <v>1126</v>
      </c>
      <c r="M15" s="195" t="s">
        <v>1168</v>
      </c>
      <c r="N15" s="196" t="s">
        <v>1169</v>
      </c>
      <c r="O15" s="195" t="s">
        <v>1170</v>
      </c>
      <c r="P15" s="196" t="s">
        <v>1171</v>
      </c>
      <c r="Q15" s="195" t="s">
        <v>1172</v>
      </c>
      <c r="R15" s="221" t="s">
        <v>1128</v>
      </c>
      <c r="S15" s="195" t="s">
        <v>1173</v>
      </c>
      <c r="T15" s="196" t="s">
        <v>1174</v>
      </c>
      <c r="U15" s="195" t="s">
        <v>1175</v>
      </c>
      <c r="V15" s="196" t="s">
        <v>1176</v>
      </c>
    </row>
    <row r="16" spans="2:22" ht="25.5">
      <c r="B16" s="289" t="s">
        <v>928</v>
      </c>
      <c r="C16" s="206" t="s">
        <v>1177</v>
      </c>
      <c r="D16" s="207" t="s">
        <v>1177</v>
      </c>
      <c r="E16" s="206" t="s">
        <v>1178</v>
      </c>
      <c r="F16" s="207" t="s">
        <v>1179</v>
      </c>
      <c r="G16" s="206" t="s">
        <v>1180</v>
      </c>
      <c r="H16" s="207" t="s">
        <v>1180</v>
      </c>
      <c r="I16" s="206" t="s">
        <v>1181</v>
      </c>
      <c r="J16" s="207" t="s">
        <v>1181</v>
      </c>
      <c r="K16" s="206" t="s">
        <v>1182</v>
      </c>
      <c r="L16" s="207" t="s">
        <v>1183</v>
      </c>
      <c r="M16" s="206" t="s">
        <v>1184</v>
      </c>
      <c r="N16" s="207" t="s">
        <v>1185</v>
      </c>
      <c r="O16" s="206" t="s">
        <v>1186</v>
      </c>
      <c r="P16" s="207" t="s">
        <v>1187</v>
      </c>
      <c r="Q16" s="206" t="s">
        <v>1188</v>
      </c>
      <c r="R16" s="207" t="s">
        <v>1189</v>
      </c>
      <c r="S16" s="206" t="s">
        <v>1190</v>
      </c>
      <c r="T16" s="207" t="s">
        <v>1191</v>
      </c>
      <c r="U16" s="206" t="s">
        <v>1192</v>
      </c>
      <c r="V16" s="207" t="s">
        <v>1193</v>
      </c>
    </row>
    <row r="17" spans="2:22" ht="44.25">
      <c r="B17" s="290"/>
      <c r="C17" s="195" t="s">
        <v>1194</v>
      </c>
      <c r="D17" s="196" t="s">
        <v>1195</v>
      </c>
      <c r="E17" s="195" t="s">
        <v>1196</v>
      </c>
      <c r="F17" s="208" t="s">
        <v>1197</v>
      </c>
      <c r="G17" s="195" t="s">
        <v>1198</v>
      </c>
      <c r="H17" s="196" t="s">
        <v>1199</v>
      </c>
      <c r="I17" s="195" t="s">
        <v>1200</v>
      </c>
      <c r="J17" s="196" t="s">
        <v>1201</v>
      </c>
      <c r="K17" s="195" t="s">
        <v>1202</v>
      </c>
      <c r="L17" s="196" t="s">
        <v>1203</v>
      </c>
      <c r="M17" s="195" t="s">
        <v>1204</v>
      </c>
      <c r="N17" s="208" t="s">
        <v>1205</v>
      </c>
      <c r="O17" s="195" t="s">
        <v>1206</v>
      </c>
      <c r="P17" s="196" t="s">
        <v>1207</v>
      </c>
      <c r="Q17" s="195" t="s">
        <v>1208</v>
      </c>
      <c r="R17" s="209" t="s">
        <v>1209</v>
      </c>
      <c r="S17" s="195" t="s">
        <v>1210</v>
      </c>
      <c r="T17" s="196" t="s">
        <v>1211</v>
      </c>
      <c r="U17" s="195" t="s">
        <v>1212</v>
      </c>
      <c r="V17" s="222" t="s">
        <v>1213</v>
      </c>
    </row>
    <row r="18" spans="2:22" ht="25.5">
      <c r="B18" s="289" t="s">
        <v>911</v>
      </c>
      <c r="C18" s="206" t="s">
        <v>1214</v>
      </c>
      <c r="D18" s="207" t="s">
        <v>1215</v>
      </c>
      <c r="E18" s="206" t="s">
        <v>1216</v>
      </c>
      <c r="F18" s="207" t="s">
        <v>1217</v>
      </c>
      <c r="G18" s="206"/>
      <c r="H18" s="207"/>
      <c r="I18" s="206"/>
      <c r="J18" s="207"/>
      <c r="K18" s="206"/>
      <c r="L18" s="207"/>
      <c r="M18" s="206"/>
      <c r="N18" s="207"/>
      <c r="O18" s="206"/>
      <c r="P18" s="207"/>
      <c r="Q18" s="206"/>
      <c r="R18" s="207"/>
      <c r="S18" s="206" t="s">
        <v>1218</v>
      </c>
      <c r="T18" s="207" t="s">
        <v>1219</v>
      </c>
      <c r="U18" s="206"/>
      <c r="V18" s="207"/>
    </row>
    <row r="19" spans="2:22" ht="44.25">
      <c r="B19" s="290"/>
      <c r="C19" s="195" t="s">
        <v>1220</v>
      </c>
      <c r="D19" s="196" t="s">
        <v>1221</v>
      </c>
      <c r="E19" s="195" t="s">
        <v>1222</v>
      </c>
      <c r="F19" s="196" t="s">
        <v>1223</v>
      </c>
      <c r="G19" s="195"/>
      <c r="H19" s="208"/>
      <c r="I19" s="195"/>
      <c r="J19" s="208"/>
      <c r="K19" s="195"/>
      <c r="L19" s="208"/>
      <c r="M19" s="195"/>
      <c r="N19" s="208"/>
      <c r="O19" s="195"/>
      <c r="P19" s="208"/>
      <c r="Q19" s="195"/>
      <c r="R19" s="208"/>
      <c r="S19" s="195" t="s">
        <v>1224</v>
      </c>
      <c r="T19" s="210" t="s">
        <v>1225</v>
      </c>
      <c r="U19" s="211"/>
      <c r="V19" s="212"/>
    </row>
    <row r="20" spans="2:22" ht="25.5">
      <c r="B20" s="289" t="s">
        <v>390</v>
      </c>
      <c r="C20" s="206" t="s">
        <v>1226</v>
      </c>
      <c r="D20" s="207" t="s">
        <v>1226</v>
      </c>
      <c r="E20" s="206"/>
      <c r="F20" s="207"/>
      <c r="G20" s="206"/>
      <c r="H20" s="207"/>
      <c r="I20" s="206"/>
      <c r="J20" s="207"/>
      <c r="K20" s="206"/>
      <c r="L20" s="207"/>
      <c r="M20" s="206"/>
      <c r="N20" s="207"/>
      <c r="O20" s="206"/>
      <c r="P20" s="207"/>
      <c r="Q20" s="206"/>
      <c r="R20" s="207"/>
      <c r="S20" s="206" t="s">
        <v>1227</v>
      </c>
      <c r="T20" s="207" t="s">
        <v>1228</v>
      </c>
      <c r="U20" s="206"/>
      <c r="V20" s="207"/>
    </row>
    <row r="21" spans="2:22" ht="44.25">
      <c r="B21" s="290"/>
      <c r="C21" s="195" t="s">
        <v>1229</v>
      </c>
      <c r="D21" s="196" t="s">
        <v>1230</v>
      </c>
      <c r="E21" s="195"/>
      <c r="F21" s="208"/>
      <c r="G21" s="195"/>
      <c r="H21" s="208"/>
      <c r="I21" s="195"/>
      <c r="J21" s="208"/>
      <c r="K21" s="195"/>
      <c r="L21" s="208"/>
      <c r="M21" s="195"/>
      <c r="N21" s="208"/>
      <c r="O21" s="195"/>
      <c r="P21" s="208"/>
      <c r="Q21" s="195"/>
      <c r="R21" s="208"/>
      <c r="S21" s="195" t="s">
        <v>1231</v>
      </c>
      <c r="T21" s="209" t="s">
        <v>1232</v>
      </c>
      <c r="U21" s="211"/>
      <c r="V21" s="212"/>
    </row>
    <row r="22" spans="2:22" ht="25.5">
      <c r="B22" s="289" t="s">
        <v>1233</v>
      </c>
      <c r="C22" s="206" t="s">
        <v>1234</v>
      </c>
      <c r="D22" s="207" t="s">
        <v>1235</v>
      </c>
      <c r="E22" s="213" t="s">
        <v>1236</v>
      </c>
      <c r="F22" s="223" t="s">
        <v>1237</v>
      </c>
      <c r="G22" s="206"/>
      <c r="H22" s="207"/>
      <c r="I22" s="206"/>
      <c r="J22" s="207"/>
      <c r="K22" s="224" t="s">
        <v>1238</v>
      </c>
      <c r="L22" s="207" t="s">
        <v>1239</v>
      </c>
      <c r="M22" s="206"/>
      <c r="N22" s="207"/>
      <c r="O22" s="206"/>
      <c r="P22" s="207"/>
      <c r="Q22" s="206" t="s">
        <v>1240</v>
      </c>
      <c r="R22" s="225" t="s">
        <v>1241</v>
      </c>
      <c r="S22" s="226" t="s">
        <v>1242</v>
      </c>
      <c r="T22" s="207"/>
      <c r="U22" s="206"/>
      <c r="V22" s="207"/>
    </row>
    <row r="23" spans="2:22" ht="44.25">
      <c r="B23" s="290"/>
      <c r="C23" s="195" t="s">
        <v>1243</v>
      </c>
      <c r="D23" s="196" t="s">
        <v>1244</v>
      </c>
      <c r="E23" s="215" t="s">
        <v>1245</v>
      </c>
      <c r="F23" s="227" t="s">
        <v>1246</v>
      </c>
      <c r="G23" s="195"/>
      <c r="H23" s="208"/>
      <c r="I23" s="195"/>
      <c r="J23" s="208"/>
      <c r="K23" s="195" t="s">
        <v>1247</v>
      </c>
      <c r="L23" s="196" t="s">
        <v>1248</v>
      </c>
      <c r="M23" s="195"/>
      <c r="N23" s="208"/>
      <c r="O23" s="195"/>
      <c r="P23" s="208"/>
      <c r="Q23" s="195" t="s">
        <v>1249</v>
      </c>
      <c r="R23" s="196" t="s">
        <v>1250</v>
      </c>
      <c r="S23" s="195"/>
      <c r="T23" s="210"/>
      <c r="U23" s="211"/>
      <c r="V23" s="212"/>
    </row>
    <row r="24" spans="2:22" ht="25.5">
      <c r="B24" s="289" t="s">
        <v>419</v>
      </c>
      <c r="C24" s="206" t="s">
        <v>1251</v>
      </c>
      <c r="D24" s="207" t="s">
        <v>1251</v>
      </c>
      <c r="E24" s="206" t="s">
        <v>1252</v>
      </c>
      <c r="F24" s="207" t="s">
        <v>1253</v>
      </c>
      <c r="G24" s="206"/>
      <c r="H24" s="207"/>
      <c r="I24" s="206"/>
      <c r="J24" s="207"/>
      <c r="K24" s="206"/>
      <c r="L24" s="207"/>
      <c r="M24" s="206"/>
      <c r="N24" s="207"/>
      <c r="O24" s="206"/>
      <c r="P24" s="207"/>
      <c r="Q24" s="206"/>
      <c r="R24" s="207"/>
      <c r="S24" s="206" t="s">
        <v>1254</v>
      </c>
      <c r="T24" s="207" t="s">
        <v>1255</v>
      </c>
      <c r="U24" s="206" t="s">
        <v>1256</v>
      </c>
      <c r="V24" s="207" t="s">
        <v>1257</v>
      </c>
    </row>
    <row r="25" spans="2:22" ht="44.25">
      <c r="B25" s="290"/>
      <c r="C25" s="195" t="s">
        <v>1258</v>
      </c>
      <c r="D25" s="196" t="s">
        <v>1259</v>
      </c>
      <c r="E25" s="195" t="s">
        <v>1260</v>
      </c>
      <c r="F25" s="196" t="s">
        <v>1246</v>
      </c>
      <c r="G25" s="195"/>
      <c r="H25" s="208"/>
      <c r="I25" s="195"/>
      <c r="J25" s="208"/>
      <c r="K25" s="195"/>
      <c r="L25" s="208"/>
      <c r="M25" s="195"/>
      <c r="N25" s="208"/>
      <c r="O25" s="195"/>
      <c r="P25" s="208"/>
      <c r="Q25" s="195"/>
      <c r="R25" s="208"/>
      <c r="S25" s="195" t="s">
        <v>1261</v>
      </c>
      <c r="T25" s="209" t="s">
        <v>1262</v>
      </c>
      <c r="U25" s="195" t="s">
        <v>1263</v>
      </c>
      <c r="V25" s="208" t="s">
        <v>1264</v>
      </c>
    </row>
    <row r="26" spans="2:22" ht="25.5">
      <c r="B26" s="289" t="s">
        <v>877</v>
      </c>
      <c r="C26" s="228" t="s">
        <v>1265</v>
      </c>
      <c r="D26" s="229" t="s">
        <v>1266</v>
      </c>
      <c r="E26" s="206"/>
      <c r="F26" s="207"/>
      <c r="G26" s="206"/>
      <c r="H26" s="207"/>
      <c r="I26" s="206"/>
      <c r="J26" s="207"/>
      <c r="K26" s="206"/>
      <c r="L26" s="207"/>
      <c r="M26" s="206"/>
      <c r="N26" s="207"/>
      <c r="O26" s="206"/>
      <c r="P26" s="207"/>
      <c r="Q26" s="206"/>
      <c r="R26" s="207"/>
      <c r="S26" s="228" t="s">
        <v>1267</v>
      </c>
      <c r="T26" s="229" t="s">
        <v>1268</v>
      </c>
      <c r="U26" s="206"/>
      <c r="V26" s="207"/>
    </row>
    <row r="27" spans="2:22" ht="50.25">
      <c r="B27" s="290"/>
      <c r="C27" s="230" t="s">
        <v>1269</v>
      </c>
      <c r="D27" s="231" t="s">
        <v>1270</v>
      </c>
      <c r="E27" s="195"/>
      <c r="F27" s="208"/>
      <c r="G27" s="195"/>
      <c r="H27" s="208"/>
      <c r="I27" s="195"/>
      <c r="J27" s="208"/>
      <c r="K27" s="195"/>
      <c r="L27" s="208"/>
      <c r="M27" s="195"/>
      <c r="N27" s="208"/>
      <c r="O27" s="195"/>
      <c r="P27" s="208"/>
      <c r="Q27" s="195"/>
      <c r="R27" s="208"/>
      <c r="S27" s="230" t="s">
        <v>1271</v>
      </c>
      <c r="T27" s="232" t="s">
        <v>1272</v>
      </c>
      <c r="U27" s="211"/>
      <c r="V27" s="212"/>
    </row>
    <row r="28" spans="2:22" ht="25.5">
      <c r="B28" s="289" t="s">
        <v>445</v>
      </c>
      <c r="C28" s="206" t="s">
        <v>1273</v>
      </c>
      <c r="D28" s="207" t="s">
        <v>1274</v>
      </c>
      <c r="E28" s="206"/>
      <c r="F28" s="207"/>
      <c r="G28" s="206"/>
      <c r="H28" s="207"/>
      <c r="I28" s="206"/>
      <c r="J28" s="207"/>
      <c r="K28" s="206"/>
      <c r="L28" s="207"/>
      <c r="M28" s="206"/>
      <c r="N28" s="207"/>
      <c r="O28" s="206"/>
      <c r="P28" s="207"/>
      <c r="Q28" s="206"/>
      <c r="R28" s="207"/>
      <c r="S28" s="206" t="s">
        <v>1267</v>
      </c>
      <c r="T28" s="207" t="s">
        <v>1275</v>
      </c>
      <c r="U28" s="206"/>
      <c r="V28" s="207"/>
    </row>
    <row r="29" spans="2:22" ht="44.25">
      <c r="B29" s="290"/>
      <c r="C29" s="195" t="s">
        <v>1269</v>
      </c>
      <c r="D29" s="196" t="s">
        <v>1276</v>
      </c>
      <c r="E29" s="195"/>
      <c r="F29" s="208"/>
      <c r="G29" s="195"/>
      <c r="H29" s="208"/>
      <c r="I29" s="195"/>
      <c r="J29" s="208"/>
      <c r="K29" s="195"/>
      <c r="L29" s="208"/>
      <c r="M29" s="195"/>
      <c r="N29" s="208"/>
      <c r="O29" s="195"/>
      <c r="P29" s="208"/>
      <c r="Q29" s="195"/>
      <c r="R29" s="208"/>
      <c r="S29" s="195" t="s">
        <v>1277</v>
      </c>
      <c r="T29" s="209" t="s">
        <v>1278</v>
      </c>
      <c r="U29" s="211"/>
      <c r="V29" s="212"/>
    </row>
    <row r="30" spans="2:22" ht="25.5">
      <c r="B30" s="289" t="s">
        <v>1279</v>
      </c>
      <c r="C30" s="206" t="s">
        <v>1280</v>
      </c>
      <c r="D30" s="207" t="s">
        <v>1281</v>
      </c>
      <c r="E30" s="206" t="s">
        <v>957</v>
      </c>
      <c r="F30" s="225" t="s">
        <v>1282</v>
      </c>
      <c r="G30" s="206" t="s">
        <v>956</v>
      </c>
      <c r="H30" s="225" t="s">
        <v>1283</v>
      </c>
      <c r="I30" s="206"/>
      <c r="J30" s="207"/>
      <c r="K30" s="206" t="s">
        <v>904</v>
      </c>
      <c r="L30" s="207" t="s">
        <v>1284</v>
      </c>
      <c r="M30" s="206" t="s">
        <v>1285</v>
      </c>
      <c r="N30" s="225" t="s">
        <v>1286</v>
      </c>
      <c r="O30" s="206"/>
      <c r="P30" s="207"/>
      <c r="Q30" s="206" t="s">
        <v>1287</v>
      </c>
      <c r="R30" s="225" t="s">
        <v>1288</v>
      </c>
      <c r="S30" s="206" t="s">
        <v>1289</v>
      </c>
      <c r="T30" s="207" t="s">
        <v>1290</v>
      </c>
      <c r="U30" s="206" t="s">
        <v>959</v>
      </c>
      <c r="V30" s="225" t="s">
        <v>1291</v>
      </c>
    </row>
    <row r="31" spans="2:22" ht="44.25">
      <c r="B31" s="290"/>
      <c r="C31" s="195" t="s">
        <v>1292</v>
      </c>
      <c r="D31" s="196" t="s">
        <v>1293</v>
      </c>
      <c r="E31" s="195" t="s">
        <v>1294</v>
      </c>
      <c r="F31" s="208" t="s">
        <v>1115</v>
      </c>
      <c r="G31" s="195" t="s">
        <v>1295</v>
      </c>
      <c r="H31" s="209" t="s">
        <v>1296</v>
      </c>
      <c r="I31" s="195"/>
      <c r="J31" s="208"/>
      <c r="K31" s="195" t="s">
        <v>1297</v>
      </c>
      <c r="L31" s="196" t="s">
        <v>1298</v>
      </c>
      <c r="M31" s="195" t="s">
        <v>1299</v>
      </c>
      <c r="N31" s="196" t="s">
        <v>1300</v>
      </c>
      <c r="O31" s="195"/>
      <c r="P31" s="208"/>
      <c r="Q31" s="195" t="s">
        <v>1301</v>
      </c>
      <c r="R31" s="196" t="s">
        <v>1302</v>
      </c>
      <c r="S31" s="195" t="s">
        <v>1303</v>
      </c>
      <c r="T31" s="208" t="s">
        <v>1304</v>
      </c>
      <c r="U31" s="211" t="s">
        <v>1305</v>
      </c>
      <c r="V31" s="196" t="s">
        <v>1306</v>
      </c>
    </row>
    <row r="32" spans="2:22" ht="25.5">
      <c r="B32" s="289" t="s">
        <v>1307</v>
      </c>
      <c r="C32" s="228" t="s">
        <v>1307</v>
      </c>
      <c r="D32" s="229" t="s">
        <v>1308</v>
      </c>
      <c r="E32" s="206"/>
      <c r="F32" s="207"/>
      <c r="G32" s="228" t="s">
        <v>1309</v>
      </c>
      <c r="H32" s="229" t="s">
        <v>1310</v>
      </c>
      <c r="I32" s="228" t="s">
        <v>1307</v>
      </c>
      <c r="J32" s="229" t="s">
        <v>1311</v>
      </c>
      <c r="K32" s="228" t="s">
        <v>1312</v>
      </c>
      <c r="L32" s="229" t="s">
        <v>1313</v>
      </c>
      <c r="M32" s="228" t="s">
        <v>1314</v>
      </c>
      <c r="N32" s="229" t="s">
        <v>1315</v>
      </c>
      <c r="O32" s="228" t="s">
        <v>1316</v>
      </c>
      <c r="P32" s="229" t="s">
        <v>1317</v>
      </c>
      <c r="Q32" s="228" t="s">
        <v>1318</v>
      </c>
      <c r="R32" s="229" t="s">
        <v>1319</v>
      </c>
      <c r="S32" s="226" t="s">
        <v>1320</v>
      </c>
      <c r="T32" s="207"/>
      <c r="U32" s="206"/>
      <c r="V32" s="207"/>
    </row>
    <row r="33" spans="2:22" ht="50.25">
      <c r="B33" s="290"/>
      <c r="C33" s="230" t="s">
        <v>1321</v>
      </c>
      <c r="D33" s="231" t="s">
        <v>1322</v>
      </c>
      <c r="E33" s="195"/>
      <c r="F33" s="208"/>
      <c r="G33" s="230" t="s">
        <v>1323</v>
      </c>
      <c r="H33" s="232" t="s">
        <v>1324</v>
      </c>
      <c r="I33" s="233" t="s">
        <v>1321</v>
      </c>
      <c r="J33" s="232" t="s">
        <v>1325</v>
      </c>
      <c r="K33" s="230" t="s">
        <v>1326</v>
      </c>
      <c r="L33" s="232" t="s">
        <v>1327</v>
      </c>
      <c r="M33" s="234" t="s">
        <v>1328</v>
      </c>
      <c r="N33" s="232" t="s">
        <v>1329</v>
      </c>
      <c r="O33" s="234" t="s">
        <v>1330</v>
      </c>
      <c r="P33" s="232" t="s">
        <v>1331</v>
      </c>
      <c r="Q33" s="234" t="s">
        <v>1332</v>
      </c>
      <c r="R33" s="232" t="s">
        <v>1333</v>
      </c>
      <c r="S33" s="195"/>
      <c r="T33" s="210"/>
      <c r="U33" s="211"/>
      <c r="V33" s="212"/>
    </row>
    <row r="34" spans="2:22" ht="25.5">
      <c r="B34" s="289" t="s">
        <v>487</v>
      </c>
      <c r="C34" s="206" t="s">
        <v>1334</v>
      </c>
      <c r="D34" s="207" t="s">
        <v>1334</v>
      </c>
      <c r="E34" s="206"/>
      <c r="F34" s="207"/>
      <c r="G34" s="206"/>
      <c r="H34" s="207"/>
      <c r="I34" s="206" t="s">
        <v>1335</v>
      </c>
      <c r="J34" s="207" t="s">
        <v>1335</v>
      </c>
      <c r="K34" s="206"/>
      <c r="L34" s="207"/>
      <c r="M34" s="206"/>
      <c r="N34" s="207"/>
      <c r="O34" s="206" t="s">
        <v>1336</v>
      </c>
      <c r="P34" s="207" t="s">
        <v>1337</v>
      </c>
      <c r="Q34" s="206"/>
      <c r="R34" s="207"/>
      <c r="S34" s="206" t="s">
        <v>934</v>
      </c>
      <c r="T34" s="207" t="s">
        <v>1338</v>
      </c>
      <c r="U34" s="206"/>
      <c r="V34" s="207"/>
    </row>
    <row r="35" spans="2:22" ht="44.25">
      <c r="B35" s="290"/>
      <c r="C35" s="195" t="s">
        <v>1339</v>
      </c>
      <c r="D35" s="196" t="s">
        <v>1340</v>
      </c>
      <c r="E35" s="195"/>
      <c r="F35" s="208"/>
      <c r="G35" s="195"/>
      <c r="H35" s="208"/>
      <c r="I35" s="195" t="s">
        <v>1341</v>
      </c>
      <c r="J35" s="196" t="s">
        <v>1342</v>
      </c>
      <c r="K35" s="195"/>
      <c r="L35" s="208"/>
      <c r="M35" s="195"/>
      <c r="N35" s="208"/>
      <c r="O35" s="195" t="s">
        <v>1343</v>
      </c>
      <c r="P35" s="196" t="s">
        <v>1344</v>
      </c>
      <c r="Q35" s="195"/>
      <c r="R35" s="208"/>
      <c r="S35" s="195" t="s">
        <v>1345</v>
      </c>
      <c r="T35" s="196" t="s">
        <v>1346</v>
      </c>
      <c r="U35" s="211"/>
      <c r="V35" s="212"/>
    </row>
    <row r="36" spans="2:22" ht="25.5">
      <c r="B36" s="289" t="s">
        <v>491</v>
      </c>
      <c r="C36" s="206" t="s">
        <v>1347</v>
      </c>
      <c r="D36" s="207" t="s">
        <v>1347</v>
      </c>
      <c r="E36" s="206" t="s">
        <v>946</v>
      </c>
      <c r="F36" s="207" t="s">
        <v>1348</v>
      </c>
      <c r="G36" s="206"/>
      <c r="H36" s="207"/>
      <c r="I36" s="206" t="s">
        <v>1349</v>
      </c>
      <c r="J36" s="207" t="s">
        <v>1349</v>
      </c>
      <c r="K36" s="206" t="s">
        <v>1350</v>
      </c>
      <c r="L36" s="207" t="s">
        <v>1350</v>
      </c>
      <c r="M36" s="206"/>
      <c r="N36" s="207"/>
      <c r="O36" s="206" t="s">
        <v>1351</v>
      </c>
      <c r="P36" s="207" t="s">
        <v>1352</v>
      </c>
      <c r="Q36" s="206"/>
      <c r="R36" s="207"/>
      <c r="S36" s="206" t="s">
        <v>921</v>
      </c>
      <c r="T36" s="207" t="s">
        <v>1353</v>
      </c>
      <c r="U36" s="206"/>
      <c r="V36" s="207"/>
    </row>
    <row r="37" spans="2:22" ht="44.25">
      <c r="B37" s="290"/>
      <c r="C37" s="195" t="s">
        <v>1354</v>
      </c>
      <c r="D37" s="196" t="s">
        <v>1355</v>
      </c>
      <c r="E37" s="195" t="s">
        <v>1356</v>
      </c>
      <c r="F37" s="208" t="s">
        <v>1357</v>
      </c>
      <c r="G37" s="195"/>
      <c r="H37" s="208"/>
      <c r="I37" s="195" t="s">
        <v>1358</v>
      </c>
      <c r="J37" s="196" t="s">
        <v>1359</v>
      </c>
      <c r="K37" s="195" t="s">
        <v>1360</v>
      </c>
      <c r="L37" s="196" t="s">
        <v>1361</v>
      </c>
      <c r="M37" s="195"/>
      <c r="N37" s="208"/>
      <c r="O37" s="195" t="s">
        <v>1362</v>
      </c>
      <c r="P37" s="196" t="s">
        <v>1363</v>
      </c>
      <c r="Q37" s="195"/>
      <c r="R37" s="208"/>
      <c r="S37" s="195" t="s">
        <v>1364</v>
      </c>
      <c r="T37" s="196" t="s">
        <v>1365</v>
      </c>
      <c r="U37" s="211"/>
      <c r="V37" s="212"/>
    </row>
    <row r="38" spans="2:22" ht="25.5">
      <c r="B38" s="289" t="s">
        <v>501</v>
      </c>
      <c r="C38" s="206" t="s">
        <v>1366</v>
      </c>
      <c r="D38" s="207" t="s">
        <v>1366</v>
      </c>
      <c r="E38" s="206" t="s">
        <v>954</v>
      </c>
      <c r="F38" s="207" t="s">
        <v>1367</v>
      </c>
      <c r="G38" s="206"/>
      <c r="H38" s="207"/>
      <c r="I38" s="206"/>
      <c r="J38" s="207"/>
      <c r="K38" s="206"/>
      <c r="L38" s="207"/>
      <c r="M38" s="206"/>
      <c r="N38" s="207"/>
      <c r="O38" s="206"/>
      <c r="P38" s="207"/>
      <c r="Q38" s="206"/>
      <c r="R38" s="207"/>
      <c r="S38" s="206"/>
      <c r="T38" s="207"/>
      <c r="U38" s="206"/>
      <c r="V38" s="207"/>
    </row>
    <row r="39" spans="2:22" ht="44.25">
      <c r="B39" s="290"/>
      <c r="C39" s="195" t="s">
        <v>1368</v>
      </c>
      <c r="D39" s="196" t="s">
        <v>1369</v>
      </c>
      <c r="E39" s="195" t="s">
        <v>1370</v>
      </c>
      <c r="F39" s="196" t="s">
        <v>1371</v>
      </c>
      <c r="G39" s="195"/>
      <c r="H39" s="208"/>
      <c r="I39" s="195"/>
      <c r="J39" s="208"/>
      <c r="K39" s="195"/>
      <c r="L39" s="208"/>
      <c r="M39" s="195"/>
      <c r="N39" s="208"/>
      <c r="O39" s="195"/>
      <c r="P39" s="208"/>
      <c r="Q39" s="195"/>
      <c r="R39" s="208"/>
      <c r="S39" s="195"/>
      <c r="T39" s="210"/>
      <c r="U39" s="211"/>
      <c r="V39" s="212"/>
    </row>
    <row r="40" spans="2:22" ht="25.5">
      <c r="B40" s="289" t="s">
        <v>1372</v>
      </c>
      <c r="C40" s="213" t="s">
        <v>1373</v>
      </c>
      <c r="D40" s="214" t="s">
        <v>1374</v>
      </c>
      <c r="E40" s="206"/>
      <c r="F40" s="207"/>
      <c r="G40" s="206"/>
      <c r="H40" s="207"/>
      <c r="I40" s="206"/>
      <c r="J40" s="207"/>
      <c r="K40" s="206"/>
      <c r="L40" s="207"/>
      <c r="M40" s="206"/>
      <c r="N40" s="207"/>
      <c r="O40" s="206"/>
      <c r="P40" s="207"/>
      <c r="Q40" s="206"/>
      <c r="R40" s="207"/>
      <c r="S40" s="226" t="s">
        <v>1375</v>
      </c>
      <c r="T40" s="207"/>
      <c r="U40" s="206"/>
      <c r="V40" s="207"/>
    </row>
    <row r="41" spans="2:22" ht="44.25">
      <c r="B41" s="290"/>
      <c r="C41" s="215" t="s">
        <v>1376</v>
      </c>
      <c r="D41" s="227" t="s">
        <v>1377</v>
      </c>
      <c r="E41" s="195"/>
      <c r="F41" s="208"/>
      <c r="G41" s="195"/>
      <c r="H41" s="208"/>
      <c r="I41" s="195"/>
      <c r="J41" s="208"/>
      <c r="K41" s="195"/>
      <c r="L41" s="208"/>
      <c r="M41" s="195"/>
      <c r="N41" s="208"/>
      <c r="O41" s="195"/>
      <c r="P41" s="208"/>
      <c r="Q41" s="195"/>
      <c r="R41" s="208"/>
      <c r="S41" s="195"/>
      <c r="T41" s="210"/>
      <c r="U41" s="211"/>
      <c r="V41" s="212"/>
    </row>
    <row r="42" spans="2:22" ht="25.5">
      <c r="B42" s="289" t="s">
        <v>541</v>
      </c>
      <c r="C42" s="206" t="s">
        <v>1378</v>
      </c>
      <c r="D42" s="207" t="s">
        <v>1378</v>
      </c>
      <c r="E42" s="206"/>
      <c r="F42" s="207"/>
      <c r="G42" s="206"/>
      <c r="H42" s="207"/>
      <c r="I42" s="206"/>
      <c r="J42" s="207"/>
      <c r="K42" s="206"/>
      <c r="L42" s="207"/>
      <c r="M42" s="206"/>
      <c r="N42" s="207"/>
      <c r="O42" s="206"/>
      <c r="P42" s="207"/>
      <c r="Q42" s="206"/>
      <c r="R42" s="207"/>
      <c r="S42" s="206" t="s">
        <v>1379</v>
      </c>
      <c r="T42" s="207" t="s">
        <v>1380</v>
      </c>
      <c r="U42" s="206"/>
      <c r="V42" s="207"/>
    </row>
    <row r="43" spans="2:22" ht="44.25">
      <c r="B43" s="290"/>
      <c r="C43" s="195" t="s">
        <v>1381</v>
      </c>
      <c r="D43" s="196" t="s">
        <v>1377</v>
      </c>
      <c r="E43" s="195"/>
      <c r="F43" s="208"/>
      <c r="G43" s="195"/>
      <c r="H43" s="208"/>
      <c r="I43" s="195"/>
      <c r="J43" s="208"/>
      <c r="K43" s="195"/>
      <c r="L43" s="208"/>
      <c r="M43" s="195"/>
      <c r="N43" s="208"/>
      <c r="O43" s="195"/>
      <c r="P43" s="208"/>
      <c r="Q43" s="195"/>
      <c r="R43" s="208"/>
      <c r="S43" s="195" t="s">
        <v>1382</v>
      </c>
      <c r="T43" s="196" t="s">
        <v>1383</v>
      </c>
      <c r="U43" s="211"/>
      <c r="V43" s="212"/>
    </row>
    <row r="44" spans="2:22" ht="25.5">
      <c r="B44" s="289" t="s">
        <v>555</v>
      </c>
      <c r="C44" s="206" t="s">
        <v>1384</v>
      </c>
      <c r="D44" s="207" t="s">
        <v>1384</v>
      </c>
      <c r="E44" s="206"/>
      <c r="F44" s="207"/>
      <c r="G44" s="206"/>
      <c r="H44" s="207"/>
      <c r="I44" s="206"/>
      <c r="J44" s="207"/>
      <c r="K44" s="206"/>
      <c r="L44" s="207"/>
      <c r="M44" s="206"/>
      <c r="N44" s="207"/>
      <c r="O44" s="206"/>
      <c r="P44" s="207"/>
      <c r="Q44" s="206"/>
      <c r="R44" s="207"/>
      <c r="S44" s="206"/>
      <c r="T44" s="207"/>
      <c r="U44" s="206"/>
      <c r="V44" s="207"/>
    </row>
    <row r="45" spans="2:22" ht="44.25">
      <c r="B45" s="290"/>
      <c r="C45" s="195" t="s">
        <v>1385</v>
      </c>
      <c r="D45" s="196" t="s">
        <v>1386</v>
      </c>
      <c r="E45" s="195"/>
      <c r="F45" s="208"/>
      <c r="G45" s="195"/>
      <c r="H45" s="208"/>
      <c r="I45" s="195"/>
      <c r="J45" s="208"/>
      <c r="K45" s="195"/>
      <c r="L45" s="208"/>
      <c r="M45" s="195"/>
      <c r="N45" s="208"/>
      <c r="O45" s="195"/>
      <c r="P45" s="208"/>
      <c r="Q45" s="195"/>
      <c r="R45" s="208"/>
      <c r="S45" s="195"/>
      <c r="T45" s="210"/>
      <c r="U45" s="211"/>
      <c r="V45" s="212"/>
    </row>
    <row r="46" spans="2:22" ht="25.5">
      <c r="B46" s="289" t="s">
        <v>1387</v>
      </c>
      <c r="C46" s="206"/>
      <c r="D46" s="207"/>
      <c r="E46" s="228" t="s">
        <v>1388</v>
      </c>
      <c r="F46" s="229" t="s">
        <v>1389</v>
      </c>
      <c r="G46" s="206"/>
      <c r="H46" s="207"/>
      <c r="I46" s="206"/>
      <c r="J46" s="207"/>
      <c r="K46" s="206"/>
      <c r="L46" s="207"/>
      <c r="M46" s="206"/>
      <c r="N46" s="207"/>
      <c r="O46" s="206"/>
      <c r="P46" s="207"/>
      <c r="Q46" s="206"/>
      <c r="R46" s="207"/>
      <c r="S46" s="206"/>
      <c r="T46" s="207"/>
      <c r="U46" s="206"/>
      <c r="V46" s="207"/>
    </row>
    <row r="47" spans="2:22" ht="50.25">
      <c r="B47" s="290"/>
      <c r="C47" s="195"/>
      <c r="D47" s="196"/>
      <c r="E47" s="233" t="s">
        <v>1390</v>
      </c>
      <c r="F47" s="232" t="s">
        <v>1099</v>
      </c>
      <c r="G47" s="195"/>
      <c r="H47" s="208"/>
      <c r="I47" s="195"/>
      <c r="J47" s="208"/>
      <c r="K47" s="195"/>
      <c r="L47" s="208"/>
      <c r="M47" s="195"/>
      <c r="N47" s="208"/>
      <c r="O47" s="195"/>
      <c r="P47" s="208"/>
      <c r="Q47" s="195"/>
      <c r="R47" s="208"/>
      <c r="S47" s="195"/>
      <c r="T47" s="210"/>
      <c r="U47" s="211"/>
      <c r="V47" s="212"/>
    </row>
    <row r="48" spans="2:22" ht="25.5">
      <c r="B48" s="289" t="s">
        <v>1391</v>
      </c>
      <c r="C48" s="228" t="s">
        <v>1392</v>
      </c>
      <c r="D48" s="229" t="s">
        <v>1393</v>
      </c>
      <c r="E48" s="206"/>
      <c r="F48" s="207"/>
      <c r="G48" s="206"/>
      <c r="H48" s="207"/>
      <c r="I48" s="206"/>
      <c r="J48" s="207"/>
      <c r="K48" s="206"/>
      <c r="L48" s="207"/>
      <c r="M48" s="206"/>
      <c r="N48" s="207"/>
      <c r="O48" s="206"/>
      <c r="P48" s="207"/>
      <c r="Q48" s="206"/>
      <c r="R48" s="207"/>
      <c r="S48" s="228" t="s">
        <v>1394</v>
      </c>
      <c r="T48" s="229" t="s">
        <v>1395</v>
      </c>
      <c r="U48" s="206"/>
      <c r="V48" s="207"/>
    </row>
    <row r="49" spans="2:22" ht="50.25">
      <c r="B49" s="290"/>
      <c r="C49" s="230" t="s">
        <v>1396</v>
      </c>
      <c r="D49" s="231" t="s">
        <v>1397</v>
      </c>
      <c r="E49" s="195"/>
      <c r="F49" s="208"/>
      <c r="G49" s="195"/>
      <c r="H49" s="208"/>
      <c r="I49" s="195"/>
      <c r="J49" s="208"/>
      <c r="K49" s="195"/>
      <c r="L49" s="208"/>
      <c r="M49" s="195"/>
      <c r="N49" s="208"/>
      <c r="O49" s="195"/>
      <c r="P49" s="208"/>
      <c r="Q49" s="195"/>
      <c r="R49" s="208"/>
      <c r="S49" s="230" t="s">
        <v>1398</v>
      </c>
      <c r="T49" s="232" t="s">
        <v>1399</v>
      </c>
      <c r="U49" s="211"/>
      <c r="V49" s="212"/>
    </row>
    <row r="50" spans="2:22" ht="25.5">
      <c r="B50" s="289" t="s">
        <v>951</v>
      </c>
      <c r="C50" s="206" t="s">
        <v>979</v>
      </c>
      <c r="D50" s="207" t="s">
        <v>979</v>
      </c>
      <c r="E50" s="235"/>
      <c r="F50" s="236"/>
      <c r="G50" s="235"/>
      <c r="H50" s="236"/>
      <c r="I50" s="235"/>
      <c r="J50" s="236"/>
      <c r="K50" s="235"/>
      <c r="L50" s="236"/>
      <c r="M50" s="235"/>
      <c r="N50" s="236"/>
      <c r="O50" s="235"/>
      <c r="P50" s="236"/>
      <c r="Q50" s="235"/>
      <c r="R50" s="236"/>
      <c r="S50" s="206" t="s">
        <v>1400</v>
      </c>
      <c r="T50" s="207" t="s">
        <v>1401</v>
      </c>
      <c r="U50" s="235"/>
      <c r="V50" s="236"/>
    </row>
    <row r="51" spans="2:22" ht="44.25">
      <c r="B51" s="290"/>
      <c r="C51" s="195" t="s">
        <v>1402</v>
      </c>
      <c r="D51" s="196" t="s">
        <v>1403</v>
      </c>
      <c r="E51" s="237"/>
      <c r="F51" s="238"/>
      <c r="G51" s="237"/>
      <c r="H51" s="238"/>
      <c r="I51" s="237"/>
      <c r="J51" s="238"/>
      <c r="K51" s="237"/>
      <c r="L51" s="238"/>
      <c r="M51" s="237"/>
      <c r="N51" s="238"/>
      <c r="O51" s="237"/>
      <c r="P51" s="238"/>
      <c r="Q51" s="237"/>
      <c r="R51" s="238"/>
      <c r="S51" s="195" t="s">
        <v>1404</v>
      </c>
      <c r="T51" s="196" t="s">
        <v>1405</v>
      </c>
      <c r="U51" s="237"/>
      <c r="V51" s="238"/>
    </row>
    <row r="52" spans="2:22" ht="25.5">
      <c r="B52" s="289" t="s">
        <v>438</v>
      </c>
      <c r="C52" s="206" t="s">
        <v>156</v>
      </c>
      <c r="D52" s="207" t="s">
        <v>1029</v>
      </c>
      <c r="E52" s="235"/>
      <c r="F52" s="236"/>
      <c r="G52" s="235"/>
      <c r="H52" s="236"/>
      <c r="I52" s="235"/>
      <c r="J52" s="236"/>
      <c r="K52" s="235"/>
      <c r="L52" s="236"/>
      <c r="M52" s="235"/>
      <c r="N52" s="236"/>
      <c r="O52" s="235"/>
      <c r="P52" s="236"/>
      <c r="Q52" s="235"/>
      <c r="R52" s="236"/>
      <c r="S52" s="206" t="s">
        <v>1406</v>
      </c>
      <c r="T52" s="207" t="s">
        <v>1407</v>
      </c>
      <c r="U52" s="235"/>
      <c r="V52" s="236"/>
    </row>
    <row r="53" spans="2:22" ht="44.25">
      <c r="B53" s="290"/>
      <c r="C53" s="195" t="s">
        <v>1408</v>
      </c>
      <c r="D53" s="196" t="s">
        <v>1409</v>
      </c>
      <c r="E53" s="237"/>
      <c r="F53" s="238"/>
      <c r="G53" s="237"/>
      <c r="H53" s="238"/>
      <c r="I53" s="237"/>
      <c r="J53" s="238"/>
      <c r="K53" s="237"/>
      <c r="L53" s="238"/>
      <c r="M53" s="237"/>
      <c r="N53" s="238"/>
      <c r="O53" s="237"/>
      <c r="P53" s="238"/>
      <c r="Q53" s="237"/>
      <c r="R53" s="238"/>
      <c r="S53" s="195" t="s">
        <v>1410</v>
      </c>
      <c r="T53" s="209" t="s">
        <v>1176</v>
      </c>
      <c r="U53" s="237"/>
      <c r="V53" s="238"/>
    </row>
  </sheetData>
  <mergeCells count="33">
    <mergeCell ref="B10:B11"/>
    <mergeCell ref="B2:B3"/>
    <mergeCell ref="C2:F3"/>
    <mergeCell ref="G3:H3"/>
    <mergeCell ref="I3:J3"/>
    <mergeCell ref="O3:P3"/>
    <mergeCell ref="Q3:R3"/>
    <mergeCell ref="B4:B5"/>
    <mergeCell ref="B6:B7"/>
    <mergeCell ref="B8:B9"/>
    <mergeCell ref="K3:L3"/>
    <mergeCell ref="M3:N3"/>
    <mergeCell ref="B34:B35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48:B49"/>
    <mergeCell ref="B50:B51"/>
    <mergeCell ref="B52:B53"/>
    <mergeCell ref="B36:B37"/>
    <mergeCell ref="B38:B39"/>
    <mergeCell ref="B40:B41"/>
    <mergeCell ref="B42:B43"/>
    <mergeCell ref="B44:B45"/>
    <mergeCell ref="B46:B47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95DD-8228-4DA2-BEA1-6D525B271661}">
  <sheetPr>
    <tabColor theme="9" tint="0.39997558519241921"/>
    <pageSetUpPr fitToPage="1"/>
  </sheetPr>
  <dimension ref="B2:BR32"/>
  <sheetViews>
    <sheetView workbookViewId="0"/>
  </sheetViews>
  <sheetFormatPr defaultColWidth="13" defaultRowHeight="30"/>
  <cols>
    <col min="1" max="1" width="2.75" style="4" customWidth="1"/>
    <col min="2" max="3" width="5.375" style="8" customWidth="1"/>
    <col min="4" max="39" width="4.125" style="4" customWidth="1"/>
    <col min="40" max="41" width="13" style="4"/>
    <col min="42" max="65" width="8.375" style="4" customWidth="1"/>
    <col min="66" max="67" width="13" style="4"/>
    <col min="68" max="68" width="13" style="5"/>
    <col min="69" max="69" width="21.375" style="4" bestFit="1" customWidth="1"/>
    <col min="70" max="16384" width="13" style="4"/>
  </cols>
  <sheetData>
    <row r="2" spans="2:70" s="2" customFormat="1" ht="29.25" customHeight="1">
      <c r="B2" s="1"/>
      <c r="C2" s="1"/>
      <c r="D2" s="344" t="s">
        <v>0</v>
      </c>
      <c r="E2" s="344"/>
      <c r="F2" s="344"/>
      <c r="G2" s="344"/>
      <c r="H2" s="344"/>
      <c r="I2" s="344"/>
      <c r="J2" s="344"/>
      <c r="K2" s="344"/>
      <c r="L2" s="344" t="s">
        <v>1</v>
      </c>
      <c r="M2" s="344"/>
      <c r="N2" s="344"/>
      <c r="O2" s="344"/>
      <c r="P2" s="344"/>
      <c r="Q2" s="344"/>
      <c r="R2" s="344"/>
      <c r="S2" s="344"/>
      <c r="T2" s="344" t="s">
        <v>2</v>
      </c>
      <c r="U2" s="344"/>
      <c r="V2" s="344"/>
      <c r="W2" s="344"/>
      <c r="X2" s="344"/>
      <c r="Y2" s="344"/>
      <c r="Z2" s="344"/>
      <c r="AA2" s="344"/>
      <c r="AB2" s="344" t="s">
        <v>3</v>
      </c>
      <c r="AC2" s="344"/>
      <c r="AD2" s="344"/>
      <c r="AE2" s="344"/>
      <c r="AF2" s="344"/>
      <c r="AG2" s="344"/>
      <c r="AH2" s="344"/>
      <c r="AI2" s="344"/>
      <c r="AJ2" s="344" t="s">
        <v>4</v>
      </c>
      <c r="AK2" s="344"/>
      <c r="AL2" s="344"/>
      <c r="AM2" s="344"/>
      <c r="BP2" s="3"/>
    </row>
    <row r="3" spans="2:70" s="2" customFormat="1" ht="29.25" customHeight="1">
      <c r="B3" s="1"/>
      <c r="C3" s="1"/>
      <c r="D3" s="344" t="s">
        <v>5</v>
      </c>
      <c r="E3" s="344"/>
      <c r="F3" s="344"/>
      <c r="G3" s="344"/>
      <c r="H3" s="344"/>
      <c r="I3" s="344"/>
      <c r="J3" s="344"/>
      <c r="K3" s="344"/>
      <c r="L3" s="344" t="s">
        <v>6</v>
      </c>
      <c r="M3" s="344"/>
      <c r="N3" s="344"/>
      <c r="O3" s="344"/>
      <c r="P3" s="344"/>
      <c r="Q3" s="344"/>
      <c r="R3" s="344"/>
      <c r="S3" s="344"/>
      <c r="T3" s="344" t="s">
        <v>7</v>
      </c>
      <c r="U3" s="344"/>
      <c r="V3" s="344"/>
      <c r="W3" s="344"/>
      <c r="X3" s="344"/>
      <c r="Y3" s="344"/>
      <c r="Z3" s="344"/>
      <c r="AA3" s="344"/>
      <c r="AB3" s="344" t="s">
        <v>8</v>
      </c>
      <c r="AC3" s="344"/>
      <c r="AD3" s="344"/>
      <c r="AE3" s="344"/>
      <c r="AF3" s="344"/>
      <c r="AG3" s="344"/>
      <c r="AH3" s="344"/>
      <c r="AI3" s="344"/>
      <c r="AJ3" s="344" t="s">
        <v>9</v>
      </c>
      <c r="AK3" s="344"/>
      <c r="AL3" s="344"/>
      <c r="AM3" s="344"/>
      <c r="BP3" s="3"/>
    </row>
    <row r="4" spans="2:70" s="2" customFormat="1" ht="29.25" customHeight="1">
      <c r="B4" s="1"/>
      <c r="C4" s="1"/>
      <c r="D4" s="344" t="s">
        <v>10</v>
      </c>
      <c r="E4" s="344"/>
      <c r="F4" s="344"/>
      <c r="G4" s="344"/>
      <c r="H4" s="344" t="s">
        <v>11</v>
      </c>
      <c r="I4" s="344"/>
      <c r="J4" s="344"/>
      <c r="K4" s="344"/>
      <c r="L4" s="344" t="s">
        <v>10</v>
      </c>
      <c r="M4" s="344"/>
      <c r="N4" s="344"/>
      <c r="O4" s="344"/>
      <c r="P4" s="344" t="s">
        <v>11</v>
      </c>
      <c r="Q4" s="344"/>
      <c r="R4" s="344"/>
      <c r="S4" s="344"/>
      <c r="T4" s="344" t="s">
        <v>10</v>
      </c>
      <c r="U4" s="344"/>
      <c r="V4" s="344"/>
      <c r="W4" s="344"/>
      <c r="X4" s="344" t="s">
        <v>11</v>
      </c>
      <c r="Y4" s="344"/>
      <c r="Z4" s="344"/>
      <c r="AA4" s="344"/>
      <c r="AB4" s="344" t="s">
        <v>10</v>
      </c>
      <c r="AC4" s="344"/>
      <c r="AD4" s="344"/>
      <c r="AE4" s="344"/>
      <c r="AF4" s="344" t="s">
        <v>11</v>
      </c>
      <c r="AG4" s="344"/>
      <c r="AH4" s="344"/>
      <c r="AI4" s="344"/>
      <c r="AJ4" s="344" t="s">
        <v>10</v>
      </c>
      <c r="AK4" s="344"/>
      <c r="AL4" s="344"/>
      <c r="AM4" s="344"/>
      <c r="AP4" s="344" t="s">
        <v>1044</v>
      </c>
      <c r="AQ4" s="344"/>
      <c r="AR4" s="344"/>
      <c r="AS4" s="344"/>
      <c r="AT4" s="344" t="s">
        <v>11</v>
      </c>
      <c r="AU4" s="344"/>
      <c r="AV4" s="344"/>
      <c r="AW4" s="344"/>
      <c r="AX4" s="344" t="s">
        <v>1045</v>
      </c>
      <c r="AY4" s="344"/>
      <c r="AZ4" s="344"/>
      <c r="BA4" s="344"/>
      <c r="BB4" s="344" t="s">
        <v>1043</v>
      </c>
      <c r="BC4" s="344"/>
      <c r="BD4" s="344"/>
      <c r="BE4" s="344"/>
      <c r="BF4" s="344" t="s">
        <v>1042</v>
      </c>
      <c r="BG4" s="344"/>
      <c r="BH4" s="344"/>
      <c r="BI4" s="344"/>
      <c r="BJ4" s="344" t="s">
        <v>1041</v>
      </c>
      <c r="BK4" s="344"/>
      <c r="BL4" s="344"/>
      <c r="BM4" s="344"/>
      <c r="BP4" s="3"/>
    </row>
    <row r="5" spans="2:70" ht="33" customHeight="1">
      <c r="B5" s="330" t="s">
        <v>12</v>
      </c>
      <c r="C5" s="330"/>
      <c r="D5" s="322"/>
      <c r="E5" s="323"/>
      <c r="F5" s="326"/>
      <c r="G5" s="327"/>
      <c r="H5" s="314" t="s">
        <v>13</v>
      </c>
      <c r="I5" s="315"/>
      <c r="J5" s="318" t="s">
        <v>14</v>
      </c>
      <c r="K5" s="319"/>
      <c r="L5" s="322"/>
      <c r="M5" s="323"/>
      <c r="N5" s="326"/>
      <c r="O5" s="327"/>
      <c r="P5" s="314"/>
      <c r="Q5" s="315"/>
      <c r="R5" s="318"/>
      <c r="S5" s="319"/>
      <c r="T5" s="322"/>
      <c r="U5" s="323"/>
      <c r="V5" s="326"/>
      <c r="W5" s="327"/>
      <c r="X5" s="314" t="s">
        <v>15</v>
      </c>
      <c r="Y5" s="315"/>
      <c r="Z5" s="318" t="s">
        <v>16</v>
      </c>
      <c r="AA5" s="319"/>
      <c r="AB5" s="322"/>
      <c r="AC5" s="323"/>
      <c r="AD5" s="326"/>
      <c r="AE5" s="327"/>
      <c r="AF5" s="314" t="s">
        <v>17</v>
      </c>
      <c r="AG5" s="315"/>
      <c r="AH5" s="318" t="s">
        <v>18</v>
      </c>
      <c r="AI5" s="319"/>
      <c r="AJ5" s="322"/>
      <c r="AK5" s="323"/>
      <c r="AL5" s="326"/>
      <c r="AM5" s="327"/>
      <c r="AP5" s="322" t="s">
        <v>28</v>
      </c>
      <c r="AQ5" s="323"/>
      <c r="AR5" s="326" t="s">
        <v>29</v>
      </c>
      <c r="AS5" s="327"/>
      <c r="AT5" s="314" t="s">
        <v>13</v>
      </c>
      <c r="AU5" s="315"/>
      <c r="AV5" s="318" t="s">
        <v>30</v>
      </c>
      <c r="AW5" s="319"/>
      <c r="AX5" s="322" t="s">
        <v>38</v>
      </c>
      <c r="AY5" s="323"/>
      <c r="AZ5" s="326" t="s">
        <v>39</v>
      </c>
      <c r="BA5" s="327"/>
      <c r="BB5" s="339" t="s">
        <v>40</v>
      </c>
      <c r="BC5" s="340"/>
      <c r="BD5" s="318" t="s">
        <v>14</v>
      </c>
      <c r="BE5" s="319"/>
      <c r="BF5" s="322"/>
      <c r="BG5" s="323"/>
      <c r="BH5" s="326"/>
      <c r="BI5" s="327"/>
      <c r="BJ5" s="314"/>
      <c r="BK5" s="315"/>
      <c r="BL5" s="318"/>
      <c r="BM5" s="319"/>
      <c r="BP5" s="6">
        <v>1</v>
      </c>
      <c r="BQ5" s="7" t="s">
        <v>19</v>
      </c>
      <c r="BR5" s="2"/>
    </row>
    <row r="6" spans="2:70" ht="33" customHeight="1">
      <c r="B6" s="330"/>
      <c r="C6" s="330"/>
      <c r="D6" s="324"/>
      <c r="E6" s="325"/>
      <c r="F6" s="328"/>
      <c r="G6" s="329"/>
      <c r="H6" s="316"/>
      <c r="I6" s="317"/>
      <c r="J6" s="320"/>
      <c r="K6" s="321"/>
      <c r="L6" s="324"/>
      <c r="M6" s="325"/>
      <c r="N6" s="328"/>
      <c r="O6" s="329"/>
      <c r="P6" s="316"/>
      <c r="Q6" s="317"/>
      <c r="R6" s="320"/>
      <c r="S6" s="321"/>
      <c r="T6" s="324"/>
      <c r="U6" s="325"/>
      <c r="V6" s="328"/>
      <c r="W6" s="329"/>
      <c r="X6" s="316"/>
      <c r="Y6" s="317"/>
      <c r="Z6" s="320"/>
      <c r="AA6" s="321"/>
      <c r="AB6" s="324"/>
      <c r="AC6" s="325"/>
      <c r="AD6" s="328"/>
      <c r="AE6" s="329"/>
      <c r="AF6" s="316"/>
      <c r="AG6" s="317"/>
      <c r="AH6" s="320"/>
      <c r="AI6" s="321"/>
      <c r="AJ6" s="324"/>
      <c r="AK6" s="325"/>
      <c r="AL6" s="328"/>
      <c r="AM6" s="329"/>
      <c r="AP6" s="324"/>
      <c r="AQ6" s="325"/>
      <c r="AR6" s="328"/>
      <c r="AS6" s="329"/>
      <c r="AT6" s="316"/>
      <c r="AU6" s="317"/>
      <c r="AV6" s="320"/>
      <c r="AW6" s="321"/>
      <c r="AX6" s="324"/>
      <c r="AY6" s="325"/>
      <c r="AZ6" s="328"/>
      <c r="BA6" s="329"/>
      <c r="BB6" s="341"/>
      <c r="BC6" s="342"/>
      <c r="BD6" s="320"/>
      <c r="BE6" s="321"/>
      <c r="BF6" s="324"/>
      <c r="BG6" s="325"/>
      <c r="BH6" s="328"/>
      <c r="BI6" s="329"/>
      <c r="BJ6" s="316"/>
      <c r="BK6" s="317"/>
      <c r="BL6" s="320"/>
      <c r="BM6" s="321"/>
      <c r="BP6" s="6">
        <v>2</v>
      </c>
      <c r="BQ6" s="7" t="s">
        <v>41</v>
      </c>
      <c r="BR6" s="2"/>
    </row>
    <row r="7" spans="2:70" ht="33" customHeight="1">
      <c r="B7" s="330"/>
      <c r="C7" s="330"/>
      <c r="D7" s="302"/>
      <c r="E7" s="303"/>
      <c r="F7" s="306"/>
      <c r="G7" s="307"/>
      <c r="H7" s="294" t="s">
        <v>20</v>
      </c>
      <c r="I7" s="295"/>
      <c r="J7" s="298" t="s">
        <v>21</v>
      </c>
      <c r="K7" s="299"/>
      <c r="L7" s="302"/>
      <c r="M7" s="303"/>
      <c r="N7" s="306"/>
      <c r="O7" s="307"/>
      <c r="P7" s="294"/>
      <c r="Q7" s="295"/>
      <c r="R7" s="298"/>
      <c r="S7" s="299"/>
      <c r="T7" s="302"/>
      <c r="U7" s="303"/>
      <c r="V7" s="306"/>
      <c r="W7" s="307"/>
      <c r="X7" s="294" t="s">
        <v>22</v>
      </c>
      <c r="Y7" s="295"/>
      <c r="Z7" s="298" t="s">
        <v>23</v>
      </c>
      <c r="AA7" s="299"/>
      <c r="AB7" s="302"/>
      <c r="AC7" s="303"/>
      <c r="AD7" s="306"/>
      <c r="AE7" s="307"/>
      <c r="AF7" s="294" t="s">
        <v>24</v>
      </c>
      <c r="AG7" s="295"/>
      <c r="AH7" s="298" t="s">
        <v>25</v>
      </c>
      <c r="AI7" s="299"/>
      <c r="AJ7" s="310"/>
      <c r="AK7" s="311"/>
      <c r="AL7" s="306"/>
      <c r="AM7" s="307"/>
      <c r="AP7" s="302" t="s">
        <v>19</v>
      </c>
      <c r="AQ7" s="303"/>
      <c r="AR7" s="306" t="s">
        <v>30</v>
      </c>
      <c r="AS7" s="307"/>
      <c r="AT7" s="294" t="s">
        <v>41</v>
      </c>
      <c r="AU7" s="295"/>
      <c r="AV7" s="298" t="s">
        <v>42</v>
      </c>
      <c r="AW7" s="299"/>
      <c r="AX7" s="302" t="s">
        <v>50</v>
      </c>
      <c r="AY7" s="303"/>
      <c r="AZ7" s="306" t="s">
        <v>29</v>
      </c>
      <c r="BA7" s="307"/>
      <c r="BB7" s="294" t="s">
        <v>20</v>
      </c>
      <c r="BC7" s="295"/>
      <c r="BD7" s="298" t="s">
        <v>21</v>
      </c>
      <c r="BE7" s="299"/>
      <c r="BF7" s="302"/>
      <c r="BG7" s="303"/>
      <c r="BH7" s="306"/>
      <c r="BI7" s="307"/>
      <c r="BJ7" s="294"/>
      <c r="BK7" s="295"/>
      <c r="BL7" s="298"/>
      <c r="BM7" s="299"/>
      <c r="BP7" s="6">
        <v>3</v>
      </c>
      <c r="BQ7" s="7" t="s">
        <v>50</v>
      </c>
      <c r="BR7" s="2"/>
    </row>
    <row r="8" spans="2:70" ht="33" customHeight="1">
      <c r="B8" s="330"/>
      <c r="C8" s="330"/>
      <c r="D8" s="304"/>
      <c r="E8" s="305"/>
      <c r="F8" s="308"/>
      <c r="G8" s="309"/>
      <c r="H8" s="296"/>
      <c r="I8" s="297"/>
      <c r="J8" s="300"/>
      <c r="K8" s="301"/>
      <c r="L8" s="304"/>
      <c r="M8" s="305"/>
      <c r="N8" s="308"/>
      <c r="O8" s="309"/>
      <c r="P8" s="296"/>
      <c r="Q8" s="297"/>
      <c r="R8" s="300"/>
      <c r="S8" s="301"/>
      <c r="T8" s="304"/>
      <c r="U8" s="305"/>
      <c r="V8" s="308"/>
      <c r="W8" s="309"/>
      <c r="X8" s="296"/>
      <c r="Y8" s="297"/>
      <c r="Z8" s="300"/>
      <c r="AA8" s="301"/>
      <c r="AB8" s="304"/>
      <c r="AC8" s="305"/>
      <c r="AD8" s="308"/>
      <c r="AE8" s="309"/>
      <c r="AF8" s="296"/>
      <c r="AG8" s="297"/>
      <c r="AH8" s="300"/>
      <c r="AI8" s="301"/>
      <c r="AJ8" s="312"/>
      <c r="AK8" s="313"/>
      <c r="AL8" s="308"/>
      <c r="AM8" s="309"/>
      <c r="AP8" s="304"/>
      <c r="AQ8" s="305"/>
      <c r="AR8" s="308"/>
      <c r="AS8" s="309"/>
      <c r="AT8" s="296"/>
      <c r="AU8" s="297"/>
      <c r="AV8" s="300"/>
      <c r="AW8" s="301"/>
      <c r="AX8" s="304"/>
      <c r="AY8" s="305"/>
      <c r="AZ8" s="308"/>
      <c r="BA8" s="309"/>
      <c r="BB8" s="296"/>
      <c r="BC8" s="297"/>
      <c r="BD8" s="300"/>
      <c r="BE8" s="301"/>
      <c r="BF8" s="304"/>
      <c r="BG8" s="305"/>
      <c r="BH8" s="308"/>
      <c r="BI8" s="309"/>
      <c r="BJ8" s="296"/>
      <c r="BK8" s="297"/>
      <c r="BL8" s="300"/>
      <c r="BM8" s="301"/>
      <c r="BP8" s="6">
        <v>4</v>
      </c>
      <c r="BQ8" s="7" t="s">
        <v>20</v>
      </c>
      <c r="BR8" s="2"/>
    </row>
    <row r="9" spans="2:70" ht="33" customHeight="1">
      <c r="B9" s="330" t="s">
        <v>26</v>
      </c>
      <c r="C9" s="343" t="s">
        <v>27</v>
      </c>
      <c r="D9" s="322" t="s">
        <v>28</v>
      </c>
      <c r="E9" s="323"/>
      <c r="F9" s="326" t="s">
        <v>29</v>
      </c>
      <c r="G9" s="327"/>
      <c r="H9" s="314" t="s">
        <v>13</v>
      </c>
      <c r="I9" s="315"/>
      <c r="J9" s="318" t="s">
        <v>30</v>
      </c>
      <c r="K9" s="319"/>
      <c r="L9" s="322"/>
      <c r="M9" s="323"/>
      <c r="N9" s="326"/>
      <c r="O9" s="327"/>
      <c r="P9" s="314"/>
      <c r="Q9" s="315"/>
      <c r="R9" s="318"/>
      <c r="S9" s="319"/>
      <c r="T9" s="322" t="s">
        <v>31</v>
      </c>
      <c r="U9" s="323"/>
      <c r="V9" s="326" t="s">
        <v>32</v>
      </c>
      <c r="W9" s="327"/>
      <c r="X9" s="314"/>
      <c r="Y9" s="315"/>
      <c r="Z9" s="318"/>
      <c r="AA9" s="319"/>
      <c r="AB9" s="322" t="s">
        <v>33</v>
      </c>
      <c r="AC9" s="323"/>
      <c r="AD9" s="326" t="s">
        <v>34</v>
      </c>
      <c r="AE9" s="327"/>
      <c r="AF9" s="314" t="s">
        <v>17</v>
      </c>
      <c r="AG9" s="315"/>
      <c r="AH9" s="318" t="s">
        <v>35</v>
      </c>
      <c r="AI9" s="319"/>
      <c r="AJ9" s="322" t="s">
        <v>36</v>
      </c>
      <c r="AK9" s="323"/>
      <c r="AL9" s="335" t="s">
        <v>37</v>
      </c>
      <c r="AM9" s="336"/>
      <c r="AP9" s="322" t="s">
        <v>31</v>
      </c>
      <c r="AQ9" s="323"/>
      <c r="AR9" s="326" t="s">
        <v>32</v>
      </c>
      <c r="AS9" s="327"/>
      <c r="AT9" s="314"/>
      <c r="AU9" s="315"/>
      <c r="AV9" s="318"/>
      <c r="AW9" s="319"/>
      <c r="AX9" s="322" t="s">
        <v>52</v>
      </c>
      <c r="AY9" s="323"/>
      <c r="AZ9" s="326" t="s">
        <v>53</v>
      </c>
      <c r="BA9" s="327"/>
      <c r="BB9" s="339" t="s">
        <v>56</v>
      </c>
      <c r="BC9" s="340"/>
      <c r="BD9" s="318" t="s">
        <v>16</v>
      </c>
      <c r="BE9" s="319"/>
      <c r="BF9" s="322" t="s">
        <v>15</v>
      </c>
      <c r="BG9" s="323"/>
      <c r="BH9" s="326" t="s">
        <v>57</v>
      </c>
      <c r="BI9" s="327"/>
      <c r="BJ9" s="314"/>
      <c r="BK9" s="315"/>
      <c r="BL9" s="318"/>
      <c r="BM9" s="319"/>
      <c r="BP9" s="6">
        <v>5</v>
      </c>
      <c r="BQ9" s="7" t="s">
        <v>43</v>
      </c>
      <c r="BR9" s="2"/>
    </row>
    <row r="10" spans="2:70" ht="33" customHeight="1">
      <c r="B10" s="330"/>
      <c r="C10" s="343"/>
      <c r="D10" s="324"/>
      <c r="E10" s="325"/>
      <c r="F10" s="328"/>
      <c r="G10" s="329"/>
      <c r="H10" s="316"/>
      <c r="I10" s="317"/>
      <c r="J10" s="320"/>
      <c r="K10" s="321"/>
      <c r="L10" s="324"/>
      <c r="M10" s="325"/>
      <c r="N10" s="328"/>
      <c r="O10" s="329"/>
      <c r="P10" s="316"/>
      <c r="Q10" s="317"/>
      <c r="R10" s="320"/>
      <c r="S10" s="321"/>
      <c r="T10" s="324"/>
      <c r="U10" s="325"/>
      <c r="V10" s="328"/>
      <c r="W10" s="329"/>
      <c r="X10" s="316"/>
      <c r="Y10" s="317"/>
      <c r="Z10" s="320"/>
      <c r="AA10" s="321"/>
      <c r="AB10" s="324"/>
      <c r="AC10" s="325"/>
      <c r="AD10" s="328"/>
      <c r="AE10" s="329"/>
      <c r="AF10" s="316"/>
      <c r="AG10" s="317"/>
      <c r="AH10" s="320"/>
      <c r="AI10" s="321"/>
      <c r="AJ10" s="324"/>
      <c r="AK10" s="325"/>
      <c r="AL10" s="337"/>
      <c r="AM10" s="338"/>
      <c r="AP10" s="324"/>
      <c r="AQ10" s="325"/>
      <c r="AR10" s="328"/>
      <c r="AS10" s="329"/>
      <c r="AT10" s="316"/>
      <c r="AU10" s="317"/>
      <c r="AV10" s="320"/>
      <c r="AW10" s="321"/>
      <c r="AX10" s="324"/>
      <c r="AY10" s="325"/>
      <c r="AZ10" s="328"/>
      <c r="BA10" s="329"/>
      <c r="BB10" s="341"/>
      <c r="BC10" s="342"/>
      <c r="BD10" s="320"/>
      <c r="BE10" s="321"/>
      <c r="BF10" s="324"/>
      <c r="BG10" s="325"/>
      <c r="BH10" s="328"/>
      <c r="BI10" s="329"/>
      <c r="BJ10" s="316"/>
      <c r="BK10" s="317"/>
      <c r="BL10" s="320"/>
      <c r="BM10" s="321"/>
      <c r="BP10" s="6">
        <v>6</v>
      </c>
      <c r="BQ10" s="7" t="s">
        <v>58</v>
      </c>
      <c r="BR10" s="2"/>
    </row>
    <row r="11" spans="2:70" ht="33" customHeight="1">
      <c r="B11" s="330"/>
      <c r="C11" s="343"/>
      <c r="D11" s="302" t="s">
        <v>19</v>
      </c>
      <c r="E11" s="303"/>
      <c r="F11" s="306" t="s">
        <v>30</v>
      </c>
      <c r="G11" s="307"/>
      <c r="H11" s="294" t="s">
        <v>41</v>
      </c>
      <c r="I11" s="295"/>
      <c r="J11" s="298" t="s">
        <v>42</v>
      </c>
      <c r="K11" s="299"/>
      <c r="L11" s="302"/>
      <c r="M11" s="303"/>
      <c r="N11" s="306"/>
      <c r="O11" s="307"/>
      <c r="P11" s="294"/>
      <c r="Q11" s="295"/>
      <c r="R11" s="298"/>
      <c r="S11" s="299"/>
      <c r="T11" s="302" t="s">
        <v>43</v>
      </c>
      <c r="U11" s="303"/>
      <c r="V11" s="306" t="s">
        <v>44</v>
      </c>
      <c r="W11" s="307"/>
      <c r="X11" s="294"/>
      <c r="Y11" s="295"/>
      <c r="Z11" s="298"/>
      <c r="AA11" s="299"/>
      <c r="AB11" s="302" t="s">
        <v>45</v>
      </c>
      <c r="AC11" s="303"/>
      <c r="AD11" s="306" t="s">
        <v>46</v>
      </c>
      <c r="AE11" s="307"/>
      <c r="AF11" s="294" t="s">
        <v>47</v>
      </c>
      <c r="AG11" s="295"/>
      <c r="AH11" s="298" t="s">
        <v>48</v>
      </c>
      <c r="AI11" s="299"/>
      <c r="AJ11" s="302" t="s">
        <v>49</v>
      </c>
      <c r="AK11" s="303"/>
      <c r="AL11" s="331" t="s">
        <v>37</v>
      </c>
      <c r="AM11" s="332"/>
      <c r="AP11" s="302" t="s">
        <v>43</v>
      </c>
      <c r="AQ11" s="303"/>
      <c r="AR11" s="306" t="s">
        <v>44</v>
      </c>
      <c r="AS11" s="307"/>
      <c r="AT11" s="294"/>
      <c r="AU11" s="295"/>
      <c r="AV11" s="298"/>
      <c r="AW11" s="299"/>
      <c r="AX11" s="302" t="s">
        <v>58</v>
      </c>
      <c r="AY11" s="303"/>
      <c r="AZ11" s="306" t="s">
        <v>32</v>
      </c>
      <c r="BA11" s="307"/>
      <c r="BB11" s="294" t="s">
        <v>22</v>
      </c>
      <c r="BC11" s="295"/>
      <c r="BD11" s="298" t="s">
        <v>23</v>
      </c>
      <c r="BE11" s="299"/>
      <c r="BF11" s="302" t="s">
        <v>60</v>
      </c>
      <c r="BG11" s="303"/>
      <c r="BH11" s="306" t="s">
        <v>57</v>
      </c>
      <c r="BI11" s="307"/>
      <c r="BJ11" s="294"/>
      <c r="BK11" s="295"/>
      <c r="BL11" s="298"/>
      <c r="BM11" s="299"/>
      <c r="BP11" s="6">
        <v>7</v>
      </c>
      <c r="BQ11" s="7" t="s">
        <v>22</v>
      </c>
      <c r="BR11" s="2"/>
    </row>
    <row r="12" spans="2:70" ht="33" customHeight="1">
      <c r="B12" s="330"/>
      <c r="C12" s="343"/>
      <c r="D12" s="304"/>
      <c r="E12" s="305"/>
      <c r="F12" s="308"/>
      <c r="G12" s="309"/>
      <c r="H12" s="296"/>
      <c r="I12" s="297"/>
      <c r="J12" s="300"/>
      <c r="K12" s="301"/>
      <c r="L12" s="304"/>
      <c r="M12" s="305"/>
      <c r="N12" s="308"/>
      <c r="O12" s="309"/>
      <c r="P12" s="296"/>
      <c r="Q12" s="297"/>
      <c r="R12" s="300"/>
      <c r="S12" s="301"/>
      <c r="T12" s="304"/>
      <c r="U12" s="305"/>
      <c r="V12" s="308"/>
      <c r="W12" s="309"/>
      <c r="X12" s="296"/>
      <c r="Y12" s="297"/>
      <c r="Z12" s="300"/>
      <c r="AA12" s="301"/>
      <c r="AB12" s="304"/>
      <c r="AC12" s="305"/>
      <c r="AD12" s="308"/>
      <c r="AE12" s="309"/>
      <c r="AF12" s="296"/>
      <c r="AG12" s="297"/>
      <c r="AH12" s="300"/>
      <c r="AI12" s="301"/>
      <c r="AJ12" s="304"/>
      <c r="AK12" s="305"/>
      <c r="AL12" s="333"/>
      <c r="AM12" s="334"/>
      <c r="AP12" s="304"/>
      <c r="AQ12" s="305"/>
      <c r="AR12" s="308"/>
      <c r="AS12" s="309"/>
      <c r="AT12" s="296"/>
      <c r="AU12" s="297"/>
      <c r="AV12" s="300"/>
      <c r="AW12" s="301"/>
      <c r="AX12" s="304"/>
      <c r="AY12" s="305"/>
      <c r="AZ12" s="308"/>
      <c r="BA12" s="309"/>
      <c r="BB12" s="296"/>
      <c r="BC12" s="297"/>
      <c r="BD12" s="300"/>
      <c r="BE12" s="301"/>
      <c r="BF12" s="304"/>
      <c r="BG12" s="305"/>
      <c r="BH12" s="308"/>
      <c r="BI12" s="309"/>
      <c r="BJ12" s="296"/>
      <c r="BK12" s="297"/>
      <c r="BL12" s="300"/>
      <c r="BM12" s="301"/>
      <c r="BP12" s="6">
        <v>8</v>
      </c>
      <c r="BQ12" s="7" t="s">
        <v>60</v>
      </c>
      <c r="BR12" s="2"/>
    </row>
    <row r="13" spans="2:70" ht="33" customHeight="1">
      <c r="B13" s="330"/>
      <c r="C13" s="330" t="s">
        <v>51</v>
      </c>
      <c r="D13" s="322" t="s">
        <v>38</v>
      </c>
      <c r="E13" s="323"/>
      <c r="F13" s="326" t="s">
        <v>39</v>
      </c>
      <c r="G13" s="327"/>
      <c r="H13" s="314"/>
      <c r="I13" s="315"/>
      <c r="J13" s="318"/>
      <c r="K13" s="319"/>
      <c r="L13" s="322"/>
      <c r="M13" s="323"/>
      <c r="N13" s="326"/>
      <c r="O13" s="327"/>
      <c r="P13" s="314"/>
      <c r="Q13" s="315"/>
      <c r="R13" s="318"/>
      <c r="S13" s="319"/>
      <c r="T13" s="322" t="s">
        <v>52</v>
      </c>
      <c r="U13" s="323"/>
      <c r="V13" s="326" t="s">
        <v>53</v>
      </c>
      <c r="W13" s="327"/>
      <c r="X13" s="314"/>
      <c r="Y13" s="315"/>
      <c r="Z13" s="318"/>
      <c r="AA13" s="319"/>
      <c r="AB13" s="322" t="s">
        <v>54</v>
      </c>
      <c r="AC13" s="323"/>
      <c r="AD13" s="326" t="s">
        <v>55</v>
      </c>
      <c r="AE13" s="327"/>
      <c r="AF13" s="314"/>
      <c r="AG13" s="315"/>
      <c r="AH13" s="318"/>
      <c r="AI13" s="319"/>
      <c r="AJ13" s="322"/>
      <c r="AK13" s="323"/>
      <c r="AL13" s="335"/>
      <c r="AM13" s="336"/>
      <c r="AP13" s="322" t="s">
        <v>33</v>
      </c>
      <c r="AQ13" s="323"/>
      <c r="AR13" s="326" t="s">
        <v>34</v>
      </c>
      <c r="AS13" s="327"/>
      <c r="AT13" s="314" t="s">
        <v>17</v>
      </c>
      <c r="AU13" s="315"/>
      <c r="AV13" s="318" t="s">
        <v>35</v>
      </c>
      <c r="AW13" s="319"/>
      <c r="AX13" s="322" t="s">
        <v>54</v>
      </c>
      <c r="AY13" s="323"/>
      <c r="AZ13" s="326" t="s">
        <v>55</v>
      </c>
      <c r="BA13" s="327"/>
      <c r="BB13" s="339" t="s">
        <v>68</v>
      </c>
      <c r="BC13" s="340"/>
      <c r="BD13" s="318" t="s">
        <v>18</v>
      </c>
      <c r="BE13" s="319"/>
      <c r="BF13" s="322"/>
      <c r="BG13" s="323"/>
      <c r="BH13" s="326"/>
      <c r="BI13" s="327"/>
      <c r="BJ13" s="314"/>
      <c r="BK13" s="315"/>
      <c r="BL13" s="318"/>
      <c r="BM13" s="319"/>
      <c r="BP13" s="6">
        <v>9</v>
      </c>
      <c r="BQ13" s="7" t="s">
        <v>45</v>
      </c>
      <c r="BR13" s="2"/>
    </row>
    <row r="14" spans="2:70" ht="33" customHeight="1">
      <c r="B14" s="330"/>
      <c r="C14" s="330"/>
      <c r="D14" s="324"/>
      <c r="E14" s="325"/>
      <c r="F14" s="328"/>
      <c r="G14" s="329"/>
      <c r="H14" s="316"/>
      <c r="I14" s="317"/>
      <c r="J14" s="320"/>
      <c r="K14" s="321"/>
      <c r="L14" s="324"/>
      <c r="M14" s="325"/>
      <c r="N14" s="328"/>
      <c r="O14" s="329"/>
      <c r="P14" s="316"/>
      <c r="Q14" s="317"/>
      <c r="R14" s="320"/>
      <c r="S14" s="321"/>
      <c r="T14" s="324"/>
      <c r="U14" s="325"/>
      <c r="V14" s="328"/>
      <c r="W14" s="329"/>
      <c r="X14" s="316"/>
      <c r="Y14" s="317"/>
      <c r="Z14" s="320"/>
      <c r="AA14" s="321"/>
      <c r="AB14" s="324"/>
      <c r="AC14" s="325"/>
      <c r="AD14" s="328"/>
      <c r="AE14" s="329"/>
      <c r="AF14" s="316"/>
      <c r="AG14" s="317"/>
      <c r="AH14" s="320"/>
      <c r="AI14" s="321"/>
      <c r="AJ14" s="324"/>
      <c r="AK14" s="325"/>
      <c r="AL14" s="337"/>
      <c r="AM14" s="338"/>
      <c r="AP14" s="324"/>
      <c r="AQ14" s="325"/>
      <c r="AR14" s="328"/>
      <c r="AS14" s="329"/>
      <c r="AT14" s="316"/>
      <c r="AU14" s="317"/>
      <c r="AV14" s="320"/>
      <c r="AW14" s="321"/>
      <c r="AX14" s="324"/>
      <c r="AY14" s="325"/>
      <c r="AZ14" s="328"/>
      <c r="BA14" s="329"/>
      <c r="BB14" s="341"/>
      <c r="BC14" s="342"/>
      <c r="BD14" s="320"/>
      <c r="BE14" s="321"/>
      <c r="BF14" s="324"/>
      <c r="BG14" s="325"/>
      <c r="BH14" s="328"/>
      <c r="BI14" s="329"/>
      <c r="BJ14" s="316"/>
      <c r="BK14" s="317"/>
      <c r="BL14" s="320"/>
      <c r="BM14" s="321"/>
      <c r="BP14" s="6">
        <v>10</v>
      </c>
      <c r="BQ14" s="7" t="s">
        <v>47</v>
      </c>
      <c r="BR14" s="2"/>
    </row>
    <row r="15" spans="2:70" ht="33" customHeight="1">
      <c r="B15" s="330"/>
      <c r="C15" s="330"/>
      <c r="D15" s="302" t="s">
        <v>50</v>
      </c>
      <c r="E15" s="303"/>
      <c r="F15" s="306" t="s">
        <v>29</v>
      </c>
      <c r="G15" s="307"/>
      <c r="H15" s="294"/>
      <c r="I15" s="295"/>
      <c r="J15" s="298"/>
      <c r="K15" s="299"/>
      <c r="L15" s="302"/>
      <c r="M15" s="303"/>
      <c r="N15" s="306"/>
      <c r="O15" s="307"/>
      <c r="P15" s="294"/>
      <c r="Q15" s="295"/>
      <c r="R15" s="298"/>
      <c r="S15" s="299"/>
      <c r="T15" s="302" t="s">
        <v>58</v>
      </c>
      <c r="U15" s="303"/>
      <c r="V15" s="306" t="s">
        <v>32</v>
      </c>
      <c r="W15" s="307"/>
      <c r="X15" s="294"/>
      <c r="Y15" s="295"/>
      <c r="Z15" s="298"/>
      <c r="AA15" s="299"/>
      <c r="AB15" s="302" t="s">
        <v>59</v>
      </c>
      <c r="AC15" s="303"/>
      <c r="AD15" s="306" t="s">
        <v>34</v>
      </c>
      <c r="AE15" s="307"/>
      <c r="AF15" s="294"/>
      <c r="AG15" s="295"/>
      <c r="AH15" s="298"/>
      <c r="AI15" s="299"/>
      <c r="AJ15" s="302"/>
      <c r="AK15" s="303"/>
      <c r="AL15" s="331"/>
      <c r="AM15" s="332"/>
      <c r="AP15" s="302" t="s">
        <v>45</v>
      </c>
      <c r="AQ15" s="303"/>
      <c r="AR15" s="306" t="s">
        <v>46</v>
      </c>
      <c r="AS15" s="307"/>
      <c r="AT15" s="294" t="s">
        <v>47</v>
      </c>
      <c r="AU15" s="295"/>
      <c r="AV15" s="298" t="s">
        <v>48</v>
      </c>
      <c r="AW15" s="299"/>
      <c r="AX15" s="302" t="s">
        <v>59</v>
      </c>
      <c r="AY15" s="303"/>
      <c r="AZ15" s="306" t="s">
        <v>34</v>
      </c>
      <c r="BA15" s="307"/>
      <c r="BB15" s="294" t="s">
        <v>24</v>
      </c>
      <c r="BC15" s="295"/>
      <c r="BD15" s="298" t="s">
        <v>25</v>
      </c>
      <c r="BE15" s="299"/>
      <c r="BF15" s="302"/>
      <c r="BG15" s="303"/>
      <c r="BH15" s="306"/>
      <c r="BI15" s="307"/>
      <c r="BJ15" s="294"/>
      <c r="BK15" s="295"/>
      <c r="BL15" s="298"/>
      <c r="BM15" s="299"/>
      <c r="BP15" s="6">
        <v>11</v>
      </c>
      <c r="BQ15" s="7" t="s">
        <v>59</v>
      </c>
      <c r="BR15" s="2"/>
    </row>
    <row r="16" spans="2:70" ht="33" customHeight="1">
      <c r="B16" s="330"/>
      <c r="C16" s="330"/>
      <c r="D16" s="304"/>
      <c r="E16" s="305"/>
      <c r="F16" s="308"/>
      <c r="G16" s="309"/>
      <c r="H16" s="296"/>
      <c r="I16" s="297"/>
      <c r="J16" s="300"/>
      <c r="K16" s="301"/>
      <c r="L16" s="304"/>
      <c r="M16" s="305"/>
      <c r="N16" s="308"/>
      <c r="O16" s="309"/>
      <c r="P16" s="296"/>
      <c r="Q16" s="297"/>
      <c r="R16" s="300"/>
      <c r="S16" s="301"/>
      <c r="T16" s="304"/>
      <c r="U16" s="305"/>
      <c r="V16" s="308"/>
      <c r="W16" s="309"/>
      <c r="X16" s="296"/>
      <c r="Y16" s="297"/>
      <c r="Z16" s="300"/>
      <c r="AA16" s="301"/>
      <c r="AB16" s="304"/>
      <c r="AC16" s="305"/>
      <c r="AD16" s="308"/>
      <c r="AE16" s="309"/>
      <c r="AF16" s="296"/>
      <c r="AG16" s="297"/>
      <c r="AH16" s="300"/>
      <c r="AI16" s="301"/>
      <c r="AJ16" s="304"/>
      <c r="AK16" s="305"/>
      <c r="AL16" s="333"/>
      <c r="AM16" s="334"/>
      <c r="AP16" s="304"/>
      <c r="AQ16" s="305"/>
      <c r="AR16" s="308"/>
      <c r="AS16" s="309"/>
      <c r="AT16" s="296"/>
      <c r="AU16" s="297"/>
      <c r="AV16" s="300"/>
      <c r="AW16" s="301"/>
      <c r="AX16" s="304"/>
      <c r="AY16" s="305"/>
      <c r="AZ16" s="308"/>
      <c r="BA16" s="309"/>
      <c r="BB16" s="296"/>
      <c r="BC16" s="297"/>
      <c r="BD16" s="300"/>
      <c r="BE16" s="301"/>
      <c r="BF16" s="304"/>
      <c r="BG16" s="305"/>
      <c r="BH16" s="308"/>
      <c r="BI16" s="309"/>
      <c r="BJ16" s="296"/>
      <c r="BK16" s="297"/>
      <c r="BL16" s="300"/>
      <c r="BM16" s="301"/>
      <c r="BP16" s="6">
        <v>12</v>
      </c>
      <c r="BQ16" s="7" t="s">
        <v>24</v>
      </c>
      <c r="BR16" s="2"/>
    </row>
    <row r="17" spans="2:70" ht="33" customHeight="1">
      <c r="B17" s="330" t="s">
        <v>61</v>
      </c>
      <c r="C17" s="330" t="s">
        <v>27</v>
      </c>
      <c r="D17" s="322"/>
      <c r="E17" s="323"/>
      <c r="F17" s="326"/>
      <c r="G17" s="327"/>
      <c r="H17" s="314"/>
      <c r="I17" s="315"/>
      <c r="J17" s="318"/>
      <c r="K17" s="319"/>
      <c r="L17" s="322" t="s">
        <v>62</v>
      </c>
      <c r="M17" s="323"/>
      <c r="N17" s="326" t="s">
        <v>63</v>
      </c>
      <c r="O17" s="327"/>
      <c r="P17" s="314" t="s">
        <v>64</v>
      </c>
      <c r="Q17" s="315"/>
      <c r="R17" s="318" t="s">
        <v>65</v>
      </c>
      <c r="S17" s="319"/>
      <c r="T17" s="322" t="s">
        <v>62</v>
      </c>
      <c r="U17" s="323"/>
      <c r="V17" s="326" t="s">
        <v>66</v>
      </c>
      <c r="W17" s="327"/>
      <c r="X17" s="314" t="s">
        <v>64</v>
      </c>
      <c r="Y17" s="315"/>
      <c r="Z17" s="318" t="s">
        <v>67</v>
      </c>
      <c r="AA17" s="319"/>
      <c r="AB17" s="322"/>
      <c r="AC17" s="323"/>
      <c r="AD17" s="326"/>
      <c r="AE17" s="327"/>
      <c r="AF17" s="314"/>
      <c r="AG17" s="315"/>
      <c r="AH17" s="318"/>
      <c r="AI17" s="319"/>
      <c r="AJ17" s="322"/>
      <c r="AK17" s="323"/>
      <c r="AL17" s="335"/>
      <c r="AM17" s="336"/>
      <c r="AP17" s="322"/>
      <c r="AQ17" s="323"/>
      <c r="AR17" s="326"/>
      <c r="AS17" s="327"/>
      <c r="AT17" s="314"/>
      <c r="AU17" s="315"/>
      <c r="AV17" s="318"/>
      <c r="AW17" s="319"/>
      <c r="AX17" s="322"/>
      <c r="AY17" s="323"/>
      <c r="AZ17" s="326"/>
      <c r="BA17" s="327"/>
      <c r="BB17" s="314"/>
      <c r="BC17" s="315"/>
      <c r="BD17" s="318"/>
      <c r="BE17" s="319"/>
      <c r="BF17" s="322"/>
      <c r="BG17" s="323"/>
      <c r="BH17" s="326"/>
      <c r="BI17" s="327"/>
      <c r="BJ17" s="314" t="s">
        <v>80</v>
      </c>
      <c r="BK17" s="315"/>
      <c r="BL17" s="318" t="s">
        <v>81</v>
      </c>
      <c r="BM17" s="319"/>
      <c r="BP17" s="6">
        <v>13</v>
      </c>
      <c r="BQ17" s="7" t="s">
        <v>86</v>
      </c>
      <c r="BR17" s="2"/>
    </row>
    <row r="18" spans="2:70" ht="33" customHeight="1">
      <c r="B18" s="330"/>
      <c r="C18" s="330"/>
      <c r="D18" s="324"/>
      <c r="E18" s="325"/>
      <c r="F18" s="328"/>
      <c r="G18" s="329"/>
      <c r="H18" s="316"/>
      <c r="I18" s="317"/>
      <c r="J18" s="320"/>
      <c r="K18" s="321"/>
      <c r="L18" s="324"/>
      <c r="M18" s="325"/>
      <c r="N18" s="328"/>
      <c r="O18" s="329"/>
      <c r="P18" s="316"/>
      <c r="Q18" s="317"/>
      <c r="R18" s="320"/>
      <c r="S18" s="321"/>
      <c r="T18" s="324"/>
      <c r="U18" s="325"/>
      <c r="V18" s="328"/>
      <c r="W18" s="329"/>
      <c r="X18" s="316"/>
      <c r="Y18" s="317"/>
      <c r="Z18" s="320"/>
      <c r="AA18" s="321"/>
      <c r="AB18" s="324"/>
      <c r="AC18" s="325"/>
      <c r="AD18" s="328"/>
      <c r="AE18" s="329"/>
      <c r="AF18" s="316"/>
      <c r="AG18" s="317"/>
      <c r="AH18" s="320"/>
      <c r="AI18" s="321"/>
      <c r="AJ18" s="324"/>
      <c r="AK18" s="325"/>
      <c r="AL18" s="337"/>
      <c r="AM18" s="338"/>
      <c r="AP18" s="324"/>
      <c r="AQ18" s="325"/>
      <c r="AR18" s="328"/>
      <c r="AS18" s="329"/>
      <c r="AT18" s="316"/>
      <c r="AU18" s="317"/>
      <c r="AV18" s="320"/>
      <c r="AW18" s="321"/>
      <c r="AX18" s="324"/>
      <c r="AY18" s="325"/>
      <c r="AZ18" s="328"/>
      <c r="BA18" s="329"/>
      <c r="BB18" s="316"/>
      <c r="BC18" s="317"/>
      <c r="BD18" s="320"/>
      <c r="BE18" s="321"/>
      <c r="BF18" s="324"/>
      <c r="BG18" s="325"/>
      <c r="BH18" s="328"/>
      <c r="BI18" s="329"/>
      <c r="BJ18" s="316"/>
      <c r="BK18" s="317"/>
      <c r="BL18" s="320"/>
      <c r="BM18" s="321"/>
      <c r="BP18" s="6">
        <v>14</v>
      </c>
      <c r="BQ18" s="7" t="s">
        <v>69</v>
      </c>
      <c r="BR18" s="2"/>
    </row>
    <row r="19" spans="2:70" ht="33" customHeight="1">
      <c r="B19" s="330"/>
      <c r="C19" s="330"/>
      <c r="D19" s="310"/>
      <c r="E19" s="311"/>
      <c r="F19" s="306"/>
      <c r="G19" s="307"/>
      <c r="H19" s="294"/>
      <c r="I19" s="295"/>
      <c r="J19" s="298"/>
      <c r="K19" s="299"/>
      <c r="L19" s="302" t="s">
        <v>69</v>
      </c>
      <c r="M19" s="303"/>
      <c r="N19" s="306" t="s">
        <v>70</v>
      </c>
      <c r="O19" s="307"/>
      <c r="P19" s="294" t="s">
        <v>71</v>
      </c>
      <c r="Q19" s="295"/>
      <c r="R19" s="298" t="s">
        <v>72</v>
      </c>
      <c r="S19" s="299"/>
      <c r="T19" s="302" t="s">
        <v>73</v>
      </c>
      <c r="U19" s="303"/>
      <c r="V19" s="306" t="s">
        <v>74</v>
      </c>
      <c r="W19" s="307"/>
      <c r="X19" s="294" t="s">
        <v>75</v>
      </c>
      <c r="Y19" s="295"/>
      <c r="Z19" s="298" t="s">
        <v>76</v>
      </c>
      <c r="AA19" s="299"/>
      <c r="AB19" s="310"/>
      <c r="AC19" s="311"/>
      <c r="AD19" s="306"/>
      <c r="AE19" s="307"/>
      <c r="AF19" s="294"/>
      <c r="AG19" s="295"/>
      <c r="AH19" s="298"/>
      <c r="AI19" s="299"/>
      <c r="AJ19" s="302"/>
      <c r="AK19" s="303"/>
      <c r="AL19" s="331"/>
      <c r="AM19" s="332"/>
      <c r="AP19" s="310"/>
      <c r="AQ19" s="311"/>
      <c r="AR19" s="306"/>
      <c r="AS19" s="307"/>
      <c r="AT19" s="294"/>
      <c r="AU19" s="295"/>
      <c r="AV19" s="298"/>
      <c r="AW19" s="299"/>
      <c r="AX19" s="310"/>
      <c r="AY19" s="311"/>
      <c r="AZ19" s="306"/>
      <c r="BA19" s="307"/>
      <c r="BB19" s="294"/>
      <c r="BC19" s="295"/>
      <c r="BD19" s="298"/>
      <c r="BE19" s="299"/>
      <c r="BF19" s="310"/>
      <c r="BG19" s="311"/>
      <c r="BH19" s="306"/>
      <c r="BI19" s="307"/>
      <c r="BJ19" s="294" t="s">
        <v>86</v>
      </c>
      <c r="BK19" s="295"/>
      <c r="BL19" s="298" t="s">
        <v>87</v>
      </c>
      <c r="BM19" s="299"/>
      <c r="BP19" s="6">
        <v>15</v>
      </c>
      <c r="BQ19" s="7" t="s">
        <v>82</v>
      </c>
      <c r="BR19" s="2"/>
    </row>
    <row r="20" spans="2:70" ht="33" customHeight="1">
      <c r="B20" s="330"/>
      <c r="C20" s="330"/>
      <c r="D20" s="312"/>
      <c r="E20" s="313"/>
      <c r="F20" s="308"/>
      <c r="G20" s="309"/>
      <c r="H20" s="296"/>
      <c r="I20" s="297"/>
      <c r="J20" s="300"/>
      <c r="K20" s="301"/>
      <c r="L20" s="304"/>
      <c r="M20" s="305"/>
      <c r="N20" s="308"/>
      <c r="O20" s="309"/>
      <c r="P20" s="296"/>
      <c r="Q20" s="297"/>
      <c r="R20" s="300"/>
      <c r="S20" s="301"/>
      <c r="T20" s="304"/>
      <c r="U20" s="305"/>
      <c r="V20" s="308"/>
      <c r="W20" s="309"/>
      <c r="X20" s="296"/>
      <c r="Y20" s="297"/>
      <c r="Z20" s="300"/>
      <c r="AA20" s="301"/>
      <c r="AB20" s="312"/>
      <c r="AC20" s="313"/>
      <c r="AD20" s="308"/>
      <c r="AE20" s="309"/>
      <c r="AF20" s="296"/>
      <c r="AG20" s="297"/>
      <c r="AH20" s="300"/>
      <c r="AI20" s="301"/>
      <c r="AJ20" s="304"/>
      <c r="AK20" s="305"/>
      <c r="AL20" s="333"/>
      <c r="AM20" s="334"/>
      <c r="AP20" s="312"/>
      <c r="AQ20" s="313"/>
      <c r="AR20" s="308"/>
      <c r="AS20" s="309"/>
      <c r="AT20" s="296"/>
      <c r="AU20" s="297"/>
      <c r="AV20" s="300"/>
      <c r="AW20" s="301"/>
      <c r="AX20" s="312"/>
      <c r="AY20" s="313"/>
      <c r="AZ20" s="308"/>
      <c r="BA20" s="309"/>
      <c r="BB20" s="296"/>
      <c r="BC20" s="297"/>
      <c r="BD20" s="300"/>
      <c r="BE20" s="301"/>
      <c r="BF20" s="312"/>
      <c r="BG20" s="313"/>
      <c r="BH20" s="308"/>
      <c r="BI20" s="309"/>
      <c r="BJ20" s="296"/>
      <c r="BK20" s="297"/>
      <c r="BL20" s="300"/>
      <c r="BM20" s="301"/>
      <c r="BP20" s="6">
        <v>16</v>
      </c>
      <c r="BQ20" s="7" t="s">
        <v>73</v>
      </c>
      <c r="BR20" s="2"/>
    </row>
    <row r="21" spans="2:70" ht="33" customHeight="1">
      <c r="B21" s="330"/>
      <c r="C21" s="330" t="s">
        <v>51</v>
      </c>
      <c r="D21" s="322"/>
      <c r="E21" s="323"/>
      <c r="F21" s="326"/>
      <c r="G21" s="327"/>
      <c r="H21" s="314"/>
      <c r="I21" s="315"/>
      <c r="J21" s="318"/>
      <c r="K21" s="319"/>
      <c r="L21" s="322" t="s">
        <v>77</v>
      </c>
      <c r="M21" s="323"/>
      <c r="N21" s="326" t="s">
        <v>78</v>
      </c>
      <c r="O21" s="327"/>
      <c r="P21" s="314"/>
      <c r="Q21" s="315"/>
      <c r="R21" s="318"/>
      <c r="S21" s="319"/>
      <c r="T21" s="322" t="s">
        <v>77</v>
      </c>
      <c r="U21" s="323"/>
      <c r="V21" s="326" t="s">
        <v>79</v>
      </c>
      <c r="W21" s="327"/>
      <c r="X21" s="314"/>
      <c r="Y21" s="315"/>
      <c r="Z21" s="318"/>
      <c r="AA21" s="319"/>
      <c r="AB21" s="322"/>
      <c r="AC21" s="323"/>
      <c r="AD21" s="326"/>
      <c r="AE21" s="327"/>
      <c r="AF21" s="314"/>
      <c r="AG21" s="315"/>
      <c r="AH21" s="318"/>
      <c r="AI21" s="319"/>
      <c r="AJ21" s="322"/>
      <c r="AK21" s="323"/>
      <c r="AL21" s="335"/>
      <c r="AM21" s="336"/>
      <c r="AP21" s="322" t="s">
        <v>62</v>
      </c>
      <c r="AQ21" s="323"/>
      <c r="AR21" s="326" t="s">
        <v>63</v>
      </c>
      <c r="AS21" s="327"/>
      <c r="AT21" s="314"/>
      <c r="AU21" s="315"/>
      <c r="AV21" s="318"/>
      <c r="AW21" s="319"/>
      <c r="AX21" s="322" t="s">
        <v>77</v>
      </c>
      <c r="AY21" s="323"/>
      <c r="AZ21" s="326" t="s">
        <v>78</v>
      </c>
      <c r="BA21" s="327"/>
      <c r="BB21" s="314"/>
      <c r="BC21" s="315"/>
      <c r="BD21" s="318"/>
      <c r="BE21" s="319"/>
      <c r="BF21" s="322"/>
      <c r="BG21" s="323"/>
      <c r="BH21" s="326"/>
      <c r="BI21" s="327"/>
      <c r="BJ21" s="314"/>
      <c r="BK21" s="315"/>
      <c r="BL21" s="318"/>
      <c r="BM21" s="319"/>
      <c r="BP21" s="6">
        <v>17</v>
      </c>
      <c r="BQ21" s="7" t="s">
        <v>84</v>
      </c>
      <c r="BR21" s="2"/>
    </row>
    <row r="22" spans="2:70" ht="33" customHeight="1">
      <c r="B22" s="330"/>
      <c r="C22" s="330"/>
      <c r="D22" s="324"/>
      <c r="E22" s="325"/>
      <c r="F22" s="328"/>
      <c r="G22" s="329"/>
      <c r="H22" s="316"/>
      <c r="I22" s="317"/>
      <c r="J22" s="320"/>
      <c r="K22" s="321"/>
      <c r="L22" s="324"/>
      <c r="M22" s="325"/>
      <c r="N22" s="328"/>
      <c r="O22" s="329"/>
      <c r="P22" s="316"/>
      <c r="Q22" s="317"/>
      <c r="R22" s="320"/>
      <c r="S22" s="321"/>
      <c r="T22" s="324"/>
      <c r="U22" s="325"/>
      <c r="V22" s="328"/>
      <c r="W22" s="329"/>
      <c r="X22" s="316"/>
      <c r="Y22" s="317"/>
      <c r="Z22" s="320"/>
      <c r="AA22" s="321"/>
      <c r="AB22" s="324"/>
      <c r="AC22" s="325"/>
      <c r="AD22" s="328"/>
      <c r="AE22" s="329"/>
      <c r="AF22" s="316"/>
      <c r="AG22" s="317"/>
      <c r="AH22" s="320"/>
      <c r="AI22" s="321"/>
      <c r="AJ22" s="324"/>
      <c r="AK22" s="325"/>
      <c r="AL22" s="337"/>
      <c r="AM22" s="338"/>
      <c r="AP22" s="324"/>
      <c r="AQ22" s="325"/>
      <c r="AR22" s="328"/>
      <c r="AS22" s="329"/>
      <c r="AT22" s="316"/>
      <c r="AU22" s="317"/>
      <c r="AV22" s="320"/>
      <c r="AW22" s="321"/>
      <c r="AX22" s="324"/>
      <c r="AY22" s="325"/>
      <c r="AZ22" s="328"/>
      <c r="BA22" s="329"/>
      <c r="BB22" s="316"/>
      <c r="BC22" s="317"/>
      <c r="BD22" s="320"/>
      <c r="BE22" s="321"/>
      <c r="BF22" s="324"/>
      <c r="BG22" s="325"/>
      <c r="BH22" s="328"/>
      <c r="BI22" s="329"/>
      <c r="BJ22" s="316"/>
      <c r="BK22" s="317"/>
      <c r="BL22" s="320"/>
      <c r="BM22" s="321"/>
      <c r="BP22" s="6">
        <v>18</v>
      </c>
      <c r="BQ22" s="7" t="s">
        <v>94</v>
      </c>
      <c r="BR22" s="2"/>
    </row>
    <row r="23" spans="2:70" ht="33" customHeight="1">
      <c r="B23" s="330"/>
      <c r="C23" s="330"/>
      <c r="D23" s="310"/>
      <c r="E23" s="311"/>
      <c r="F23" s="306"/>
      <c r="G23" s="307"/>
      <c r="H23" s="294"/>
      <c r="I23" s="295"/>
      <c r="J23" s="298"/>
      <c r="K23" s="299"/>
      <c r="L23" s="302" t="s">
        <v>82</v>
      </c>
      <c r="M23" s="303"/>
      <c r="N23" s="306" t="s">
        <v>83</v>
      </c>
      <c r="O23" s="307"/>
      <c r="P23" s="294"/>
      <c r="Q23" s="295"/>
      <c r="R23" s="298"/>
      <c r="S23" s="299"/>
      <c r="T23" s="302" t="s">
        <v>84</v>
      </c>
      <c r="U23" s="303"/>
      <c r="V23" s="306" t="s">
        <v>85</v>
      </c>
      <c r="W23" s="307"/>
      <c r="X23" s="294"/>
      <c r="Y23" s="295"/>
      <c r="Z23" s="298"/>
      <c r="AA23" s="299"/>
      <c r="AB23" s="310"/>
      <c r="AC23" s="311"/>
      <c r="AD23" s="306"/>
      <c r="AE23" s="307"/>
      <c r="AF23" s="294"/>
      <c r="AG23" s="295"/>
      <c r="AH23" s="298"/>
      <c r="AI23" s="299"/>
      <c r="AJ23" s="302"/>
      <c r="AK23" s="303"/>
      <c r="AL23" s="331"/>
      <c r="AM23" s="332"/>
      <c r="AP23" s="302" t="s">
        <v>69</v>
      </c>
      <c r="AQ23" s="303"/>
      <c r="AR23" s="306" t="s">
        <v>70</v>
      </c>
      <c r="AS23" s="307"/>
      <c r="AT23" s="294"/>
      <c r="AU23" s="295"/>
      <c r="AV23" s="298"/>
      <c r="AW23" s="299"/>
      <c r="AX23" s="302" t="s">
        <v>82</v>
      </c>
      <c r="AY23" s="303"/>
      <c r="AZ23" s="306" t="s">
        <v>83</v>
      </c>
      <c r="BA23" s="307"/>
      <c r="BB23" s="294"/>
      <c r="BC23" s="295"/>
      <c r="BD23" s="298"/>
      <c r="BE23" s="299"/>
      <c r="BF23" s="302"/>
      <c r="BG23" s="303"/>
      <c r="BH23" s="306"/>
      <c r="BI23" s="307"/>
      <c r="BJ23" s="294"/>
      <c r="BK23" s="295"/>
      <c r="BL23" s="298"/>
      <c r="BM23" s="299"/>
      <c r="BR23" s="2"/>
    </row>
    <row r="24" spans="2:70" ht="33" customHeight="1">
      <c r="B24" s="330"/>
      <c r="C24" s="330"/>
      <c r="D24" s="312"/>
      <c r="E24" s="313"/>
      <c r="F24" s="308"/>
      <c r="G24" s="309"/>
      <c r="H24" s="296"/>
      <c r="I24" s="297"/>
      <c r="J24" s="300"/>
      <c r="K24" s="301"/>
      <c r="L24" s="304"/>
      <c r="M24" s="305"/>
      <c r="N24" s="308"/>
      <c r="O24" s="309"/>
      <c r="P24" s="296"/>
      <c r="Q24" s="297"/>
      <c r="R24" s="300"/>
      <c r="S24" s="301"/>
      <c r="T24" s="304"/>
      <c r="U24" s="305"/>
      <c r="V24" s="308"/>
      <c r="W24" s="309"/>
      <c r="X24" s="296"/>
      <c r="Y24" s="297"/>
      <c r="Z24" s="300"/>
      <c r="AA24" s="301"/>
      <c r="AB24" s="312"/>
      <c r="AC24" s="313"/>
      <c r="AD24" s="308"/>
      <c r="AE24" s="309"/>
      <c r="AF24" s="296"/>
      <c r="AG24" s="297"/>
      <c r="AH24" s="300"/>
      <c r="AI24" s="301"/>
      <c r="AJ24" s="304"/>
      <c r="AK24" s="305"/>
      <c r="AL24" s="333"/>
      <c r="AM24" s="334"/>
      <c r="AP24" s="304"/>
      <c r="AQ24" s="305"/>
      <c r="AR24" s="308"/>
      <c r="AS24" s="309"/>
      <c r="AT24" s="296"/>
      <c r="AU24" s="297"/>
      <c r="AV24" s="300"/>
      <c r="AW24" s="301"/>
      <c r="AX24" s="304"/>
      <c r="AY24" s="305"/>
      <c r="AZ24" s="308"/>
      <c r="BA24" s="309"/>
      <c r="BB24" s="296"/>
      <c r="BC24" s="297"/>
      <c r="BD24" s="300"/>
      <c r="BE24" s="301"/>
      <c r="BF24" s="304"/>
      <c r="BG24" s="305"/>
      <c r="BH24" s="308"/>
      <c r="BI24" s="309"/>
      <c r="BJ24" s="296"/>
      <c r="BK24" s="297"/>
      <c r="BL24" s="300"/>
      <c r="BM24" s="301"/>
      <c r="BR24" s="2"/>
    </row>
    <row r="25" spans="2:70" ht="33" customHeight="1">
      <c r="B25" s="330" t="s">
        <v>88</v>
      </c>
      <c r="C25" s="330"/>
      <c r="D25" s="322"/>
      <c r="E25" s="323"/>
      <c r="F25" s="326"/>
      <c r="G25" s="327"/>
      <c r="H25" s="314"/>
      <c r="I25" s="315"/>
      <c r="J25" s="318"/>
      <c r="K25" s="319"/>
      <c r="L25" s="322" t="s">
        <v>89</v>
      </c>
      <c r="M25" s="323"/>
      <c r="N25" s="326" t="s">
        <v>90</v>
      </c>
      <c r="O25" s="327"/>
      <c r="P25" s="314"/>
      <c r="Q25" s="315"/>
      <c r="R25" s="318"/>
      <c r="S25" s="319"/>
      <c r="T25" s="322" t="s">
        <v>89</v>
      </c>
      <c r="U25" s="323"/>
      <c r="V25" s="326" t="s">
        <v>91</v>
      </c>
      <c r="W25" s="327"/>
      <c r="X25" s="314"/>
      <c r="Y25" s="315"/>
      <c r="Z25" s="318"/>
      <c r="AA25" s="319"/>
      <c r="AB25" s="322"/>
      <c r="AC25" s="323"/>
      <c r="AD25" s="326"/>
      <c r="AE25" s="327"/>
      <c r="AF25" s="314"/>
      <c r="AG25" s="315"/>
      <c r="AH25" s="318"/>
      <c r="AI25" s="319"/>
      <c r="AJ25" s="322" t="s">
        <v>80</v>
      </c>
      <c r="AK25" s="323"/>
      <c r="AL25" s="335" t="s">
        <v>81</v>
      </c>
      <c r="AM25" s="336"/>
      <c r="AP25" s="322" t="s">
        <v>62</v>
      </c>
      <c r="AQ25" s="323"/>
      <c r="AR25" s="326" t="s">
        <v>66</v>
      </c>
      <c r="AS25" s="327"/>
      <c r="AT25" s="314"/>
      <c r="AU25" s="315"/>
      <c r="AV25" s="318"/>
      <c r="AW25" s="319"/>
      <c r="AX25" s="322" t="s">
        <v>77</v>
      </c>
      <c r="AY25" s="323"/>
      <c r="AZ25" s="326" t="s">
        <v>79</v>
      </c>
      <c r="BA25" s="327"/>
      <c r="BB25" s="314"/>
      <c r="BC25" s="315"/>
      <c r="BD25" s="318"/>
      <c r="BE25" s="319"/>
      <c r="BF25" s="322"/>
      <c r="BG25" s="323"/>
      <c r="BH25" s="326"/>
      <c r="BI25" s="327"/>
      <c r="BJ25" s="314" t="s">
        <v>89</v>
      </c>
      <c r="BK25" s="315"/>
      <c r="BL25" s="318" t="s">
        <v>91</v>
      </c>
      <c r="BM25" s="319"/>
      <c r="BR25" s="2"/>
    </row>
    <row r="26" spans="2:70" ht="33" customHeight="1">
      <c r="B26" s="330"/>
      <c r="C26" s="330"/>
      <c r="D26" s="324"/>
      <c r="E26" s="325"/>
      <c r="F26" s="328"/>
      <c r="G26" s="329"/>
      <c r="H26" s="316"/>
      <c r="I26" s="317"/>
      <c r="J26" s="320"/>
      <c r="K26" s="321"/>
      <c r="L26" s="324"/>
      <c r="M26" s="325"/>
      <c r="N26" s="328"/>
      <c r="O26" s="329"/>
      <c r="P26" s="316"/>
      <c r="Q26" s="317"/>
      <c r="R26" s="320"/>
      <c r="S26" s="321"/>
      <c r="T26" s="324"/>
      <c r="U26" s="325"/>
      <c r="V26" s="328"/>
      <c r="W26" s="329"/>
      <c r="X26" s="316"/>
      <c r="Y26" s="317"/>
      <c r="Z26" s="320"/>
      <c r="AA26" s="321"/>
      <c r="AB26" s="324"/>
      <c r="AC26" s="325"/>
      <c r="AD26" s="328"/>
      <c r="AE26" s="329"/>
      <c r="AF26" s="316"/>
      <c r="AG26" s="317"/>
      <c r="AH26" s="320"/>
      <c r="AI26" s="321"/>
      <c r="AJ26" s="324"/>
      <c r="AK26" s="325"/>
      <c r="AL26" s="337"/>
      <c r="AM26" s="338"/>
      <c r="AP26" s="324"/>
      <c r="AQ26" s="325"/>
      <c r="AR26" s="328"/>
      <c r="AS26" s="329"/>
      <c r="AT26" s="316"/>
      <c r="AU26" s="317"/>
      <c r="AV26" s="320"/>
      <c r="AW26" s="321"/>
      <c r="AX26" s="324"/>
      <c r="AY26" s="325"/>
      <c r="AZ26" s="328"/>
      <c r="BA26" s="329"/>
      <c r="BB26" s="316"/>
      <c r="BC26" s="317"/>
      <c r="BD26" s="320"/>
      <c r="BE26" s="321"/>
      <c r="BF26" s="324"/>
      <c r="BG26" s="325"/>
      <c r="BH26" s="328"/>
      <c r="BI26" s="329"/>
      <c r="BJ26" s="316"/>
      <c r="BK26" s="317"/>
      <c r="BL26" s="320"/>
      <c r="BM26" s="321"/>
      <c r="BR26" s="2"/>
    </row>
    <row r="27" spans="2:70" ht="33" customHeight="1">
      <c r="B27" s="330"/>
      <c r="C27" s="330"/>
      <c r="D27" s="310"/>
      <c r="E27" s="311"/>
      <c r="F27" s="306"/>
      <c r="G27" s="307"/>
      <c r="H27" s="294"/>
      <c r="I27" s="295"/>
      <c r="J27" s="298"/>
      <c r="K27" s="299"/>
      <c r="L27" s="302" t="s">
        <v>92</v>
      </c>
      <c r="M27" s="303"/>
      <c r="N27" s="306" t="s">
        <v>93</v>
      </c>
      <c r="O27" s="307"/>
      <c r="P27" s="294"/>
      <c r="Q27" s="295"/>
      <c r="R27" s="298"/>
      <c r="S27" s="299"/>
      <c r="T27" s="302" t="s">
        <v>94</v>
      </c>
      <c r="U27" s="303"/>
      <c r="V27" s="306" t="s">
        <v>91</v>
      </c>
      <c r="W27" s="307"/>
      <c r="X27" s="294"/>
      <c r="Y27" s="295"/>
      <c r="Z27" s="298"/>
      <c r="AA27" s="299"/>
      <c r="AB27" s="310"/>
      <c r="AC27" s="311"/>
      <c r="AD27" s="306"/>
      <c r="AE27" s="307"/>
      <c r="AF27" s="294"/>
      <c r="AG27" s="295"/>
      <c r="AH27" s="298"/>
      <c r="AI27" s="299"/>
      <c r="AJ27" s="302" t="s">
        <v>86</v>
      </c>
      <c r="AK27" s="303"/>
      <c r="AL27" s="331" t="s">
        <v>81</v>
      </c>
      <c r="AM27" s="332"/>
      <c r="AP27" s="302" t="s">
        <v>73</v>
      </c>
      <c r="AQ27" s="303"/>
      <c r="AR27" s="306" t="s">
        <v>74</v>
      </c>
      <c r="AS27" s="307"/>
      <c r="AT27" s="294"/>
      <c r="AU27" s="295"/>
      <c r="AV27" s="298"/>
      <c r="AW27" s="299"/>
      <c r="AX27" s="302" t="s">
        <v>84</v>
      </c>
      <c r="AY27" s="303"/>
      <c r="AZ27" s="306" t="s">
        <v>85</v>
      </c>
      <c r="BA27" s="307"/>
      <c r="BB27" s="294"/>
      <c r="BC27" s="295"/>
      <c r="BD27" s="298"/>
      <c r="BE27" s="299"/>
      <c r="BF27" s="302"/>
      <c r="BG27" s="303"/>
      <c r="BH27" s="306"/>
      <c r="BI27" s="307"/>
      <c r="BJ27" s="294" t="s">
        <v>94</v>
      </c>
      <c r="BK27" s="295"/>
      <c r="BL27" s="298" t="s">
        <v>98</v>
      </c>
      <c r="BM27" s="299"/>
      <c r="BR27" s="2"/>
    </row>
    <row r="28" spans="2:70" ht="33" customHeight="1">
      <c r="B28" s="330"/>
      <c r="C28" s="330"/>
      <c r="D28" s="312"/>
      <c r="E28" s="313"/>
      <c r="F28" s="308"/>
      <c r="G28" s="309"/>
      <c r="H28" s="296"/>
      <c r="I28" s="297"/>
      <c r="J28" s="300"/>
      <c r="K28" s="301"/>
      <c r="L28" s="304"/>
      <c r="M28" s="305"/>
      <c r="N28" s="308"/>
      <c r="O28" s="309"/>
      <c r="P28" s="296"/>
      <c r="Q28" s="297"/>
      <c r="R28" s="300"/>
      <c r="S28" s="301"/>
      <c r="T28" s="304"/>
      <c r="U28" s="305"/>
      <c r="V28" s="308"/>
      <c r="W28" s="309"/>
      <c r="X28" s="296"/>
      <c r="Y28" s="297"/>
      <c r="Z28" s="300"/>
      <c r="AA28" s="301"/>
      <c r="AB28" s="312"/>
      <c r="AC28" s="313"/>
      <c r="AD28" s="308"/>
      <c r="AE28" s="309"/>
      <c r="AF28" s="296"/>
      <c r="AG28" s="297"/>
      <c r="AH28" s="300"/>
      <c r="AI28" s="301"/>
      <c r="AJ28" s="304"/>
      <c r="AK28" s="305"/>
      <c r="AL28" s="333"/>
      <c r="AM28" s="334"/>
      <c r="AP28" s="304"/>
      <c r="AQ28" s="305"/>
      <c r="AR28" s="308"/>
      <c r="AS28" s="309"/>
      <c r="AT28" s="296"/>
      <c r="AU28" s="297"/>
      <c r="AV28" s="300"/>
      <c r="AW28" s="301"/>
      <c r="AX28" s="304"/>
      <c r="AY28" s="305"/>
      <c r="AZ28" s="308"/>
      <c r="BA28" s="309"/>
      <c r="BB28" s="296"/>
      <c r="BC28" s="297"/>
      <c r="BD28" s="300"/>
      <c r="BE28" s="301"/>
      <c r="BF28" s="304"/>
      <c r="BG28" s="305"/>
      <c r="BH28" s="308"/>
      <c r="BI28" s="309"/>
      <c r="BJ28" s="296"/>
      <c r="BK28" s="297"/>
      <c r="BL28" s="300"/>
      <c r="BM28" s="301"/>
      <c r="BR28" s="2"/>
    </row>
    <row r="29" spans="2:70" ht="33" customHeight="1">
      <c r="B29" s="330" t="s">
        <v>95</v>
      </c>
      <c r="C29" s="330"/>
      <c r="D29" s="322"/>
      <c r="E29" s="323"/>
      <c r="F29" s="326"/>
      <c r="G29" s="327"/>
      <c r="H29" s="314"/>
      <c r="I29" s="315"/>
      <c r="J29" s="318"/>
      <c r="K29" s="319"/>
      <c r="L29" s="322"/>
      <c r="M29" s="323"/>
      <c r="N29" s="326"/>
      <c r="O29" s="327"/>
      <c r="P29" s="314"/>
      <c r="Q29" s="315"/>
      <c r="R29" s="318"/>
      <c r="S29" s="319"/>
      <c r="T29" s="322"/>
      <c r="U29" s="323"/>
      <c r="V29" s="326"/>
      <c r="W29" s="327"/>
      <c r="X29" s="314" t="s">
        <v>15</v>
      </c>
      <c r="Y29" s="315"/>
      <c r="Z29" s="318" t="s">
        <v>96</v>
      </c>
      <c r="AA29" s="319"/>
      <c r="AB29" s="322"/>
      <c r="AC29" s="323"/>
      <c r="AD29" s="326"/>
      <c r="AE29" s="327"/>
      <c r="AF29" s="314"/>
      <c r="AG29" s="315"/>
      <c r="AH29" s="318"/>
      <c r="AI29" s="319"/>
      <c r="AJ29" s="322"/>
      <c r="AK29" s="323"/>
      <c r="AL29" s="326"/>
      <c r="AM29" s="327"/>
      <c r="BR29" s="2"/>
    </row>
    <row r="30" spans="2:70" ht="33" customHeight="1">
      <c r="B30" s="330"/>
      <c r="C30" s="330"/>
      <c r="D30" s="324"/>
      <c r="E30" s="325"/>
      <c r="F30" s="328"/>
      <c r="G30" s="329"/>
      <c r="H30" s="316"/>
      <c r="I30" s="317"/>
      <c r="J30" s="320"/>
      <c r="K30" s="321"/>
      <c r="L30" s="324"/>
      <c r="M30" s="325"/>
      <c r="N30" s="328"/>
      <c r="O30" s="329"/>
      <c r="P30" s="316"/>
      <c r="Q30" s="317"/>
      <c r="R30" s="320"/>
      <c r="S30" s="321"/>
      <c r="T30" s="324"/>
      <c r="U30" s="325"/>
      <c r="V30" s="328"/>
      <c r="W30" s="329"/>
      <c r="X30" s="316"/>
      <c r="Y30" s="317"/>
      <c r="Z30" s="320"/>
      <c r="AA30" s="321"/>
      <c r="AB30" s="324"/>
      <c r="AC30" s="325"/>
      <c r="AD30" s="328"/>
      <c r="AE30" s="329"/>
      <c r="AF30" s="316"/>
      <c r="AG30" s="317"/>
      <c r="AH30" s="320"/>
      <c r="AI30" s="321"/>
      <c r="AJ30" s="324"/>
      <c r="AK30" s="325"/>
      <c r="AL30" s="328"/>
      <c r="AM30" s="329"/>
      <c r="BR30" s="2"/>
    </row>
    <row r="31" spans="2:70" ht="33" customHeight="1">
      <c r="B31" s="330"/>
      <c r="C31" s="330"/>
      <c r="D31" s="310"/>
      <c r="E31" s="311"/>
      <c r="F31" s="306"/>
      <c r="G31" s="307"/>
      <c r="H31" s="294"/>
      <c r="I31" s="295"/>
      <c r="J31" s="298"/>
      <c r="K31" s="299"/>
      <c r="L31" s="310"/>
      <c r="M31" s="311"/>
      <c r="N31" s="306"/>
      <c r="O31" s="307"/>
      <c r="P31" s="294"/>
      <c r="Q31" s="295"/>
      <c r="R31" s="298"/>
      <c r="S31" s="299"/>
      <c r="T31" s="310"/>
      <c r="U31" s="311"/>
      <c r="V31" s="306"/>
      <c r="W31" s="307"/>
      <c r="X31" s="294" t="s">
        <v>60</v>
      </c>
      <c r="Y31" s="295"/>
      <c r="Z31" s="298" t="s">
        <v>97</v>
      </c>
      <c r="AA31" s="299"/>
      <c r="AB31" s="310"/>
      <c r="AC31" s="311"/>
      <c r="AD31" s="306"/>
      <c r="AE31" s="307"/>
      <c r="AF31" s="294"/>
      <c r="AG31" s="295"/>
      <c r="AH31" s="298"/>
      <c r="AI31" s="299"/>
      <c r="AJ31" s="310"/>
      <c r="AK31" s="311"/>
      <c r="AL31" s="306"/>
      <c r="AM31" s="307"/>
      <c r="BR31" s="2"/>
    </row>
    <row r="32" spans="2:70" ht="33" customHeight="1">
      <c r="B32" s="330"/>
      <c r="C32" s="330"/>
      <c r="D32" s="312"/>
      <c r="E32" s="313"/>
      <c r="F32" s="308"/>
      <c r="G32" s="309"/>
      <c r="H32" s="296"/>
      <c r="I32" s="297"/>
      <c r="J32" s="300"/>
      <c r="K32" s="301"/>
      <c r="L32" s="312"/>
      <c r="M32" s="313"/>
      <c r="N32" s="308"/>
      <c r="O32" s="309"/>
      <c r="P32" s="296"/>
      <c r="Q32" s="297"/>
      <c r="R32" s="300"/>
      <c r="S32" s="301"/>
      <c r="T32" s="312"/>
      <c r="U32" s="313"/>
      <c r="V32" s="308"/>
      <c r="W32" s="309"/>
      <c r="X32" s="296"/>
      <c r="Y32" s="297"/>
      <c r="Z32" s="300"/>
      <c r="AA32" s="301"/>
      <c r="AB32" s="312"/>
      <c r="AC32" s="313"/>
      <c r="AD32" s="308"/>
      <c r="AE32" s="309"/>
      <c r="AF32" s="296"/>
      <c r="AG32" s="297"/>
      <c r="AH32" s="300"/>
      <c r="AI32" s="301"/>
      <c r="AJ32" s="312"/>
      <c r="AK32" s="313"/>
      <c r="AL32" s="308"/>
      <c r="AM32" s="309"/>
      <c r="BR32" s="2"/>
    </row>
  </sheetData>
  <mergeCells count="430">
    <mergeCell ref="D2:K2"/>
    <mergeCell ref="L2:S2"/>
    <mergeCell ref="T2:AA2"/>
    <mergeCell ref="AB2:AI2"/>
    <mergeCell ref="AJ2:AM2"/>
    <mergeCell ref="D3:K3"/>
    <mergeCell ref="L3:S3"/>
    <mergeCell ref="T3:AA3"/>
    <mergeCell ref="AB3:AI3"/>
    <mergeCell ref="AJ3:AM3"/>
    <mergeCell ref="AF4:AI4"/>
    <mergeCell ref="AJ4:AM4"/>
    <mergeCell ref="B5:C8"/>
    <mergeCell ref="D5:E6"/>
    <mergeCell ref="F5:G6"/>
    <mergeCell ref="H5:I6"/>
    <mergeCell ref="J5:K6"/>
    <mergeCell ref="L5:M6"/>
    <mergeCell ref="N5:O6"/>
    <mergeCell ref="D4:G4"/>
    <mergeCell ref="H4:K4"/>
    <mergeCell ref="L4:O4"/>
    <mergeCell ref="P4:S4"/>
    <mergeCell ref="T4:W4"/>
    <mergeCell ref="X4:AA4"/>
    <mergeCell ref="AH5:AI6"/>
    <mergeCell ref="AJ5:AK6"/>
    <mergeCell ref="AL5:AM6"/>
    <mergeCell ref="P5:Q6"/>
    <mergeCell ref="R5:S6"/>
    <mergeCell ref="T5:U6"/>
    <mergeCell ref="V5:W6"/>
    <mergeCell ref="X5:Y6"/>
    <mergeCell ref="L9:M10"/>
    <mergeCell ref="N9:O10"/>
    <mergeCell ref="P9:Q10"/>
    <mergeCell ref="R9:S10"/>
    <mergeCell ref="T9:U10"/>
    <mergeCell ref="V9:W10"/>
    <mergeCell ref="Z5:AA6"/>
    <mergeCell ref="D7:E8"/>
    <mergeCell ref="F7:G8"/>
    <mergeCell ref="H7:I8"/>
    <mergeCell ref="J7:K8"/>
    <mergeCell ref="L7:M8"/>
    <mergeCell ref="N7:O8"/>
    <mergeCell ref="BJ4:BM4"/>
    <mergeCell ref="AB7:AC8"/>
    <mergeCell ref="AD7:AE8"/>
    <mergeCell ref="AF7:AG8"/>
    <mergeCell ref="AH7:AI8"/>
    <mergeCell ref="AJ7:AK8"/>
    <mergeCell ref="AL7:AM8"/>
    <mergeCell ref="P7:Q8"/>
    <mergeCell ref="R7:S8"/>
    <mergeCell ref="T7:U8"/>
    <mergeCell ref="V7:W8"/>
    <mergeCell ref="X7:Y8"/>
    <mergeCell ref="Z7:AA8"/>
    <mergeCell ref="AF5:AG6"/>
    <mergeCell ref="AP4:AS4"/>
    <mergeCell ref="AT4:AW4"/>
    <mergeCell ref="AX4:BA4"/>
    <mergeCell ref="BB4:BE4"/>
    <mergeCell ref="BF4:BI4"/>
    <mergeCell ref="AT5:AU6"/>
    <mergeCell ref="AV5:AW6"/>
    <mergeCell ref="AB5:AC6"/>
    <mergeCell ref="AD5:AE6"/>
    <mergeCell ref="AB4:AE4"/>
    <mergeCell ref="BJ5:BK6"/>
    <mergeCell ref="BL5:BM6"/>
    <mergeCell ref="D11:E12"/>
    <mergeCell ref="F11:G12"/>
    <mergeCell ref="H11:I12"/>
    <mergeCell ref="J11:K12"/>
    <mergeCell ref="L11:M12"/>
    <mergeCell ref="N11:O12"/>
    <mergeCell ref="P11:Q12"/>
    <mergeCell ref="R11:S12"/>
    <mergeCell ref="AX5:AY6"/>
    <mergeCell ref="AZ5:BA6"/>
    <mergeCell ref="BB5:BC6"/>
    <mergeCell ref="BD5:BE6"/>
    <mergeCell ref="BF5:BG6"/>
    <mergeCell ref="BH5:BI6"/>
    <mergeCell ref="AJ9:AK10"/>
    <mergeCell ref="AL9:AM10"/>
    <mergeCell ref="AP5:AQ6"/>
    <mergeCell ref="AR5:AS6"/>
    <mergeCell ref="F9:G10"/>
    <mergeCell ref="H9:I10"/>
    <mergeCell ref="J9:K10"/>
    <mergeCell ref="X9:Y10"/>
    <mergeCell ref="BJ7:BK8"/>
    <mergeCell ref="BL7:BM8"/>
    <mergeCell ref="C13:C16"/>
    <mergeCell ref="D13:E14"/>
    <mergeCell ref="F13:G14"/>
    <mergeCell ref="H13:I14"/>
    <mergeCell ref="J13:K14"/>
    <mergeCell ref="L13:M14"/>
    <mergeCell ref="AT7:AU8"/>
    <mergeCell ref="AV7:AW8"/>
    <mergeCell ref="AX7:AY8"/>
    <mergeCell ref="AZ7:BA8"/>
    <mergeCell ref="BB7:BC8"/>
    <mergeCell ref="BD7:BE8"/>
    <mergeCell ref="AF11:AG12"/>
    <mergeCell ref="AH11:AI12"/>
    <mergeCell ref="AJ11:AK12"/>
    <mergeCell ref="AL11:AM12"/>
    <mergeCell ref="AP7:AQ8"/>
    <mergeCell ref="AR7:AS8"/>
    <mergeCell ref="T11:U12"/>
    <mergeCell ref="V11:W12"/>
    <mergeCell ref="X11:Y12"/>
    <mergeCell ref="Z11:AA12"/>
    <mergeCell ref="AJ13:AK14"/>
    <mergeCell ref="N13:O14"/>
    <mergeCell ref="P13:Q14"/>
    <mergeCell ref="R13:S14"/>
    <mergeCell ref="T13:U14"/>
    <mergeCell ref="V13:W14"/>
    <mergeCell ref="X13:Y14"/>
    <mergeCell ref="BF7:BG8"/>
    <mergeCell ref="BH7:BI8"/>
    <mergeCell ref="AB11:AC12"/>
    <mergeCell ref="AD11:AE12"/>
    <mergeCell ref="Z9:AA10"/>
    <mergeCell ref="AB9:AC10"/>
    <mergeCell ref="AD9:AE10"/>
    <mergeCell ref="AF9:AG10"/>
    <mergeCell ref="AH9:AI10"/>
    <mergeCell ref="BL9:BM10"/>
    <mergeCell ref="D15:E16"/>
    <mergeCell ref="F15:G16"/>
    <mergeCell ref="H15:I16"/>
    <mergeCell ref="J15:K16"/>
    <mergeCell ref="L15:M16"/>
    <mergeCell ref="N15:O16"/>
    <mergeCell ref="P15:Q16"/>
    <mergeCell ref="R15:S16"/>
    <mergeCell ref="T15:U16"/>
    <mergeCell ref="AZ9:BA10"/>
    <mergeCell ref="BB9:BC10"/>
    <mergeCell ref="BD9:BE10"/>
    <mergeCell ref="BF9:BG10"/>
    <mergeCell ref="BH9:BI10"/>
    <mergeCell ref="BJ9:BK10"/>
    <mergeCell ref="AL13:AM14"/>
    <mergeCell ref="AP9:AQ10"/>
    <mergeCell ref="AR9:AS10"/>
    <mergeCell ref="AT9:AU10"/>
    <mergeCell ref="AV9:AW10"/>
    <mergeCell ref="AX9:AY10"/>
    <mergeCell ref="Z13:AA14"/>
    <mergeCell ref="AB13:AC14"/>
    <mergeCell ref="B17:B24"/>
    <mergeCell ref="C17:C20"/>
    <mergeCell ref="D17:E18"/>
    <mergeCell ref="F17:G18"/>
    <mergeCell ref="H17:I18"/>
    <mergeCell ref="J17:K18"/>
    <mergeCell ref="L17:M18"/>
    <mergeCell ref="AV11:AW12"/>
    <mergeCell ref="AX11:AY12"/>
    <mergeCell ref="AH15:AI16"/>
    <mergeCell ref="AJ15:AK16"/>
    <mergeCell ref="AL15:AM16"/>
    <mergeCell ref="AP11:AQ12"/>
    <mergeCell ref="AR11:AS12"/>
    <mergeCell ref="AT11:AU12"/>
    <mergeCell ref="V15:W16"/>
    <mergeCell ref="X15:Y16"/>
    <mergeCell ref="Z15:AA16"/>
    <mergeCell ref="AB15:AC16"/>
    <mergeCell ref="AD15:AE16"/>
    <mergeCell ref="AF15:AG16"/>
    <mergeCell ref="B9:B16"/>
    <mergeCell ref="C9:C12"/>
    <mergeCell ref="D9:E10"/>
    <mergeCell ref="T17:U18"/>
    <mergeCell ref="V17:W18"/>
    <mergeCell ref="X17:Y18"/>
    <mergeCell ref="BH11:BI12"/>
    <mergeCell ref="BJ11:BK12"/>
    <mergeCell ref="BL11:BM12"/>
    <mergeCell ref="AZ11:BA12"/>
    <mergeCell ref="BB11:BC12"/>
    <mergeCell ref="BD11:BE12"/>
    <mergeCell ref="BF11:BG12"/>
    <mergeCell ref="AP13:AQ14"/>
    <mergeCell ref="AR13:AS14"/>
    <mergeCell ref="AT13:AU14"/>
    <mergeCell ref="AV13:AW14"/>
    <mergeCell ref="AX13:AY14"/>
    <mergeCell ref="Z17:AA18"/>
    <mergeCell ref="AB17:AC18"/>
    <mergeCell ref="AD17:AE18"/>
    <mergeCell ref="AF17:AG18"/>
    <mergeCell ref="AH17:AI18"/>
    <mergeCell ref="AJ17:AK18"/>
    <mergeCell ref="AD13:AE14"/>
    <mergeCell ref="AF13:AG14"/>
    <mergeCell ref="AH13:AI14"/>
    <mergeCell ref="Z19:AA20"/>
    <mergeCell ref="AB19:AC20"/>
    <mergeCell ref="AD19:AE20"/>
    <mergeCell ref="AF19:AG20"/>
    <mergeCell ref="BL13:BM14"/>
    <mergeCell ref="D19:E20"/>
    <mergeCell ref="F19:G20"/>
    <mergeCell ref="H19:I20"/>
    <mergeCell ref="J19:K20"/>
    <mergeCell ref="L19:M20"/>
    <mergeCell ref="N19:O20"/>
    <mergeCell ref="P19:Q20"/>
    <mergeCell ref="R19:S20"/>
    <mergeCell ref="T19:U20"/>
    <mergeCell ref="AZ13:BA14"/>
    <mergeCell ref="BB13:BC14"/>
    <mergeCell ref="BD13:BE14"/>
    <mergeCell ref="BF13:BG14"/>
    <mergeCell ref="BH13:BI14"/>
    <mergeCell ref="BJ13:BK14"/>
    <mergeCell ref="AL17:AM18"/>
    <mergeCell ref="N17:O18"/>
    <mergeCell ref="P17:Q18"/>
    <mergeCell ref="R17:S18"/>
    <mergeCell ref="BH15:BI16"/>
    <mergeCell ref="BJ15:BK16"/>
    <mergeCell ref="BL15:BM16"/>
    <mergeCell ref="C21:C24"/>
    <mergeCell ref="D21:E22"/>
    <mergeCell ref="F21:G22"/>
    <mergeCell ref="H21:I22"/>
    <mergeCell ref="J21:K22"/>
    <mergeCell ref="L21:M22"/>
    <mergeCell ref="N21:O22"/>
    <mergeCell ref="AV15:AW16"/>
    <mergeCell ref="AX15:AY16"/>
    <mergeCell ref="AZ15:BA16"/>
    <mergeCell ref="BB15:BC16"/>
    <mergeCell ref="BD15:BE16"/>
    <mergeCell ref="BF15:BG16"/>
    <mergeCell ref="AH19:AI20"/>
    <mergeCell ref="AJ19:AK20"/>
    <mergeCell ref="AL19:AM20"/>
    <mergeCell ref="AP15:AQ16"/>
    <mergeCell ref="AR15:AS16"/>
    <mergeCell ref="AT15:AU16"/>
    <mergeCell ref="V19:W20"/>
    <mergeCell ref="X19:Y20"/>
    <mergeCell ref="J23:K24"/>
    <mergeCell ref="L23:M24"/>
    <mergeCell ref="N23:O24"/>
    <mergeCell ref="BB17:BC18"/>
    <mergeCell ref="BD17:BE18"/>
    <mergeCell ref="BF17:BG18"/>
    <mergeCell ref="BH17:BI18"/>
    <mergeCell ref="BJ17:BK18"/>
    <mergeCell ref="BL17:BM18"/>
    <mergeCell ref="AP17:AQ18"/>
    <mergeCell ref="AR17:AS18"/>
    <mergeCell ref="AT17:AU18"/>
    <mergeCell ref="AV17:AW18"/>
    <mergeCell ref="AX17:AY18"/>
    <mergeCell ref="AZ17:BA18"/>
    <mergeCell ref="AB21:AC22"/>
    <mergeCell ref="AD21:AE22"/>
    <mergeCell ref="AF21:AG22"/>
    <mergeCell ref="AH21:AI22"/>
    <mergeCell ref="AJ21:AK22"/>
    <mergeCell ref="AL21:AM22"/>
    <mergeCell ref="P21:Q22"/>
    <mergeCell ref="R21:S22"/>
    <mergeCell ref="T21:U22"/>
    <mergeCell ref="BH19:BI20"/>
    <mergeCell ref="BJ19:BK20"/>
    <mergeCell ref="BL19:BM20"/>
    <mergeCell ref="AP19:AQ20"/>
    <mergeCell ref="AR19:AS20"/>
    <mergeCell ref="AT19:AU20"/>
    <mergeCell ref="AV19:AW20"/>
    <mergeCell ref="AX19:AY20"/>
    <mergeCell ref="AZ19:BA20"/>
    <mergeCell ref="B25:C28"/>
    <mergeCell ref="D25:E26"/>
    <mergeCell ref="F25:G26"/>
    <mergeCell ref="H25:I26"/>
    <mergeCell ref="J25:K26"/>
    <mergeCell ref="L25:M26"/>
    <mergeCell ref="BB19:BC20"/>
    <mergeCell ref="BD19:BE20"/>
    <mergeCell ref="BF19:BG20"/>
    <mergeCell ref="AB23:AC24"/>
    <mergeCell ref="AD23:AE24"/>
    <mergeCell ref="AF23:AG24"/>
    <mergeCell ref="AH23:AI24"/>
    <mergeCell ref="AJ23:AK24"/>
    <mergeCell ref="AL23:AM24"/>
    <mergeCell ref="P23:Q24"/>
    <mergeCell ref="R23:S24"/>
    <mergeCell ref="T23:U24"/>
    <mergeCell ref="V23:W24"/>
    <mergeCell ref="X23:Y24"/>
    <mergeCell ref="Z23:AA24"/>
    <mergeCell ref="D23:E24"/>
    <mergeCell ref="F23:G24"/>
    <mergeCell ref="H23:I24"/>
    <mergeCell ref="AV21:AW22"/>
    <mergeCell ref="AX21:AY22"/>
    <mergeCell ref="Z25:AA26"/>
    <mergeCell ref="AB25:AC26"/>
    <mergeCell ref="AD25:AE26"/>
    <mergeCell ref="AF25:AG26"/>
    <mergeCell ref="AH25:AI26"/>
    <mergeCell ref="AJ25:AK26"/>
    <mergeCell ref="N25:O26"/>
    <mergeCell ref="P25:Q26"/>
    <mergeCell ref="R25:S26"/>
    <mergeCell ref="T25:U26"/>
    <mergeCell ref="V25:W26"/>
    <mergeCell ref="X25:Y26"/>
    <mergeCell ref="V21:W22"/>
    <mergeCell ref="X21:Y22"/>
    <mergeCell ref="Z21:AA22"/>
    <mergeCell ref="Z27:AA28"/>
    <mergeCell ref="AB27:AC28"/>
    <mergeCell ref="AD27:AE28"/>
    <mergeCell ref="AF27:AG28"/>
    <mergeCell ref="BL21:BM22"/>
    <mergeCell ref="D27:E28"/>
    <mergeCell ref="F27:G28"/>
    <mergeCell ref="H27:I28"/>
    <mergeCell ref="J27:K28"/>
    <mergeCell ref="L27:M28"/>
    <mergeCell ref="N27:O28"/>
    <mergeCell ref="P27:Q28"/>
    <mergeCell ref="R27:S28"/>
    <mergeCell ref="T27:U28"/>
    <mergeCell ref="AZ21:BA22"/>
    <mergeCell ref="BB21:BC22"/>
    <mergeCell ref="BD21:BE22"/>
    <mergeCell ref="BF21:BG22"/>
    <mergeCell ref="BH21:BI22"/>
    <mergeCell ref="BJ21:BK22"/>
    <mergeCell ref="AL25:AM26"/>
    <mergeCell ref="AP21:AQ22"/>
    <mergeCell ref="AR21:AS22"/>
    <mergeCell ref="AT21:AU22"/>
    <mergeCell ref="BH23:BI24"/>
    <mergeCell ref="BJ23:BK24"/>
    <mergeCell ref="BL23:BM24"/>
    <mergeCell ref="B29:C32"/>
    <mergeCell ref="D29:E30"/>
    <mergeCell ref="F29:G30"/>
    <mergeCell ref="H29:I30"/>
    <mergeCell ref="J29:K30"/>
    <mergeCell ref="L29:M30"/>
    <mergeCell ref="N29:O30"/>
    <mergeCell ref="AV23:AW24"/>
    <mergeCell ref="AX23:AY24"/>
    <mergeCell ref="AZ23:BA24"/>
    <mergeCell ref="BB23:BC24"/>
    <mergeCell ref="BD23:BE24"/>
    <mergeCell ref="BF23:BG24"/>
    <mergeCell ref="AH27:AI28"/>
    <mergeCell ref="AJ27:AK28"/>
    <mergeCell ref="AL27:AM28"/>
    <mergeCell ref="AP23:AQ24"/>
    <mergeCell ref="AR23:AS24"/>
    <mergeCell ref="AT23:AU24"/>
    <mergeCell ref="V27:W28"/>
    <mergeCell ref="X27:Y28"/>
    <mergeCell ref="BH25:BI26"/>
    <mergeCell ref="BJ25:BK26"/>
    <mergeCell ref="BL25:BM26"/>
    <mergeCell ref="AP25:AQ26"/>
    <mergeCell ref="AR25:AS26"/>
    <mergeCell ref="AT25:AU26"/>
    <mergeCell ref="AV25:AW26"/>
    <mergeCell ref="AX25:AY26"/>
    <mergeCell ref="AZ25:BA26"/>
    <mergeCell ref="D31:E32"/>
    <mergeCell ref="F31:G32"/>
    <mergeCell ref="H31:I32"/>
    <mergeCell ref="J31:K32"/>
    <mergeCell ref="L31:M32"/>
    <mergeCell ref="N31:O32"/>
    <mergeCell ref="BB25:BC26"/>
    <mergeCell ref="BD25:BE26"/>
    <mergeCell ref="BF25:BG26"/>
    <mergeCell ref="AB29:AC30"/>
    <mergeCell ref="AD29:AE30"/>
    <mergeCell ref="AF29:AG30"/>
    <mergeCell ref="AH29:AI30"/>
    <mergeCell ref="AJ29:AK30"/>
    <mergeCell ref="AL29:AM30"/>
    <mergeCell ref="P29:Q30"/>
    <mergeCell ref="R29:S30"/>
    <mergeCell ref="T29:U30"/>
    <mergeCell ref="V29:W30"/>
    <mergeCell ref="X29:Y30"/>
    <mergeCell ref="Z29:AA30"/>
    <mergeCell ref="AB31:AC32"/>
    <mergeCell ref="AD31:AE32"/>
    <mergeCell ref="AF31:AG32"/>
    <mergeCell ref="AH31:AI32"/>
    <mergeCell ref="AJ31:AK32"/>
    <mergeCell ref="AL31:AM32"/>
    <mergeCell ref="P31:Q32"/>
    <mergeCell ref="R31:S32"/>
    <mergeCell ref="T31:U32"/>
    <mergeCell ref="V31:W32"/>
    <mergeCell ref="X31:Y32"/>
    <mergeCell ref="Z31:AA32"/>
    <mergeCell ref="BB27:BC28"/>
    <mergeCell ref="BD27:BE28"/>
    <mergeCell ref="BF27:BG28"/>
    <mergeCell ref="BH27:BI28"/>
    <mergeCell ref="BJ27:BK28"/>
    <mergeCell ref="BL27:BM28"/>
    <mergeCell ref="AP27:AQ28"/>
    <mergeCell ref="AR27:AS28"/>
    <mergeCell ref="AT27:AU28"/>
    <mergeCell ref="AV27:AW28"/>
    <mergeCell ref="AX27:AY28"/>
    <mergeCell ref="AZ27:BA28"/>
  </mergeCells>
  <phoneticPr fontId="3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77FE-A808-44C5-B734-81AE40DB3615}">
  <dimension ref="A1:K23"/>
  <sheetViews>
    <sheetView workbookViewId="0"/>
  </sheetViews>
  <sheetFormatPr defaultRowHeight="25.5"/>
  <cols>
    <col min="1" max="1" width="11" style="11" customWidth="1"/>
    <col min="2" max="10" width="14.375" style="11" customWidth="1"/>
    <col min="11" max="11" width="34.625" style="11" bestFit="1" customWidth="1"/>
    <col min="12" max="16384" width="9" style="11"/>
  </cols>
  <sheetData>
    <row r="1" spans="1:11">
      <c r="A1" s="179" t="s">
        <v>104</v>
      </c>
      <c r="B1" s="180" t="s">
        <v>195</v>
      </c>
      <c r="C1" s="180" t="s">
        <v>207</v>
      </c>
      <c r="D1" s="180" t="s">
        <v>105</v>
      </c>
      <c r="E1" s="180" t="s">
        <v>106</v>
      </c>
      <c r="F1" s="180" t="s">
        <v>620</v>
      </c>
      <c r="G1" s="180" t="s">
        <v>201</v>
      </c>
      <c r="H1" s="180" t="s">
        <v>107</v>
      </c>
      <c r="I1" s="180" t="s">
        <v>108</v>
      </c>
      <c r="J1" s="180" t="s">
        <v>109</v>
      </c>
      <c r="K1" s="181" t="s">
        <v>103</v>
      </c>
    </row>
    <row r="2" spans="1:11" ht="39">
      <c r="A2" s="12">
        <v>1</v>
      </c>
      <c r="B2" s="107" t="s">
        <v>163</v>
      </c>
      <c r="C2" s="102" t="s">
        <v>163</v>
      </c>
      <c r="D2" s="109" t="s">
        <v>163</v>
      </c>
      <c r="E2" s="109" t="s">
        <v>163</v>
      </c>
      <c r="F2" s="104" t="s">
        <v>163</v>
      </c>
      <c r="G2" s="104" t="s">
        <v>163</v>
      </c>
      <c r="H2" s="103" t="s">
        <v>163</v>
      </c>
      <c r="I2" s="103" t="s">
        <v>163</v>
      </c>
      <c r="J2" s="103" t="s">
        <v>163</v>
      </c>
      <c r="K2" s="174" t="s">
        <v>164</v>
      </c>
    </row>
    <row r="3" spans="1:11" ht="39">
      <c r="A3" s="12">
        <v>2</v>
      </c>
      <c r="B3" s="108" t="str" cm="1">
        <f t="array" ref="B3" xml:space="preserve"> INDEX(聲母對照表[國際音標], MATCH(TRUE, EXACT(【聲】聲母排序表!$D3, 聲母對照表[方音符號]),0))</f>
        <v>p</v>
      </c>
      <c r="C3" s="101" t="str" cm="1">
        <f t="array" ref="C3" xml:space="preserve"> INDEX(聲母對照表[十五音], MATCH(TRUE, EXACT(【聲】聲母排序表!$D3, 聲母對照表[方音符號]),0))</f>
        <v>邊</v>
      </c>
      <c r="D3" s="110" t="s">
        <v>19</v>
      </c>
      <c r="E3" s="110" t="str" cm="1">
        <f t="array" ref="E3" xml:space="preserve"> INDEX(聲母對照表[台語注音], MATCH(TRUE, EXACT(【聲】聲母排序表!$D3, 聲母對照表[方音符號]),0))</f>
        <v>ㄅ</v>
      </c>
      <c r="F3" s="100" t="str" cm="1">
        <f t="array" ref="F3" xml:space="preserve"> INDEX(聲母對照表[注音二式], MATCH(TRUE, EXACT(【聲】聲母排序表!$D3, 聲母對照表[方音符號]),0))</f>
        <v>b</v>
      </c>
      <c r="G3" s="100" t="str" cm="1">
        <f t="array" ref="G3" xml:space="preserve"> INDEX(聲母對照表[閩拼方案], MATCH(TRUE, EXACT(【聲】聲母排序表!$D3, 聲母對照表[方音符號]),0))</f>
        <v>b</v>
      </c>
      <c r="H3" s="99" t="str" cm="1">
        <f t="array" ref="H3" xml:space="preserve"> INDEX(聲母對照表[台羅拼音], MATCH(TRUE, EXACT(【聲】聲母排序表!$D3, 聲母對照表[方音符號]),0))</f>
        <v>p</v>
      </c>
      <c r="I3" s="99" t="str" cm="1">
        <f t="array" ref="I3" xml:space="preserve"> INDEX(聲母對照表[台語音標], MATCH(TRUE, EXACT(【聲】聲母排序表!$D3, 聲母對照表[方音符號]),0))</f>
        <v>p</v>
      </c>
      <c r="J3" s="99" t="str" cm="1">
        <f t="array" ref="J3" xml:space="preserve"> INDEX(聲母對照表[白話字], MATCH(TRUE, EXACT(【聲】聲母排序表!$D3, 聲母對照表[方音符號]),0))</f>
        <v>p</v>
      </c>
      <c r="K3" s="174"/>
    </row>
    <row r="4" spans="1:11" ht="39">
      <c r="A4" s="12">
        <v>3</v>
      </c>
      <c r="B4" s="108" t="str" cm="1">
        <f t="array" ref="B4" xml:space="preserve"> INDEX(聲母對照表[國際音標], MATCH(TRUE, EXACT(【聲】聲母排序表!$D4, 聲母對照表[方音符號]),0))</f>
        <v>b</v>
      </c>
      <c r="C4" s="101" t="str" cm="1">
        <f t="array" ref="C4" xml:space="preserve"> INDEX(聲母對照表[十五音], MATCH(TRUE, EXACT(【聲】聲母排序表!$D4, 聲母對照表[方音符號]),0))</f>
        <v>門</v>
      </c>
      <c r="D4" s="110" t="s">
        <v>41</v>
      </c>
      <c r="E4" s="110" t="str" cm="1">
        <f t="array" ref="E4" xml:space="preserve"> INDEX(聲母對照表[台語注音], MATCH(TRUE, EXACT(【聲】聲母排序表!$D4, 聲母對照表[方音符號]),0))</f>
        <v>ㄪ</v>
      </c>
      <c r="F4" s="100" t="str" cm="1">
        <f t="array" ref="F4" xml:space="preserve"> INDEX(聲母對照表[注音二式], MATCH(TRUE, EXACT(【聲】聲母排序表!$D4, 聲母對照表[方音符號]),0))</f>
        <v>bb</v>
      </c>
      <c r="G4" s="100" t="str" cm="1">
        <f t="array" ref="G4" xml:space="preserve"> INDEX(聲母對照表[閩拼方案], MATCH(TRUE, EXACT(【聲】聲母排序表!$D4, 聲母對照表[方音符號]),0))</f>
        <v>bb</v>
      </c>
      <c r="H4" s="99" t="str" cm="1">
        <f t="array" ref="H4" xml:space="preserve"> INDEX(聲母對照表[台羅拼音], MATCH(TRUE, EXACT(【聲】聲母排序表!$D4, 聲母對照表[方音符號]),0))</f>
        <v>b</v>
      </c>
      <c r="I4" s="99" t="str" cm="1">
        <f t="array" ref="I4" xml:space="preserve"> INDEX(聲母對照表[台語音標], MATCH(TRUE, EXACT(【聲】聲母排序表!$D4, 聲母對照表[方音符號]),0))</f>
        <v>b</v>
      </c>
      <c r="J4" s="99" t="str" cm="1">
        <f t="array" ref="J4" xml:space="preserve"> INDEX(聲母對照表[白話字], MATCH(TRUE, EXACT(【聲】聲母排序表!$D4, 聲母對照表[方音符號]),0))</f>
        <v>b</v>
      </c>
      <c r="K4" s="174"/>
    </row>
    <row r="5" spans="1:11" ht="39">
      <c r="A5" s="12">
        <v>4</v>
      </c>
      <c r="B5" s="108" t="str" cm="1">
        <f t="array" ref="B5" xml:space="preserve"> INDEX(聲母對照表[國際音標], MATCH(TRUE, EXACT(【聲】聲母排序表!$D5, 聲母對照表[方音符號]),0))</f>
        <v>pʰ</v>
      </c>
      <c r="C5" s="101" t="str" cm="1">
        <f t="array" ref="C5" xml:space="preserve"> INDEX(聲母對照表[十五音], MATCH(TRUE, EXACT(【聲】聲母排序表!$D5, 聲母對照表[方音符號]),0))</f>
        <v>頗</v>
      </c>
      <c r="D5" s="110" t="s">
        <v>50</v>
      </c>
      <c r="E5" s="110" t="str" cm="1">
        <f t="array" ref="E5" xml:space="preserve"> INDEX(聲母對照表[台語注音], MATCH(TRUE, EXACT(【聲】聲母排序表!$D5, 聲母對照表[方音符號]),0))</f>
        <v>ㄆ</v>
      </c>
      <c r="F5" s="100" t="str" cm="1">
        <f t="array" ref="F5" xml:space="preserve"> INDEX(聲母對照表[注音二式], MATCH(TRUE, EXACT(【聲】聲母排序表!$D5, 聲母對照表[方音符號]),0))</f>
        <v>p</v>
      </c>
      <c r="G5" s="100" t="str" cm="1">
        <f t="array" ref="G5" xml:space="preserve"> INDEX(聲母對照表[閩拼方案], MATCH(TRUE, EXACT(【聲】聲母排序表!$D5, 聲母對照表[方音符號]),0))</f>
        <v>p</v>
      </c>
      <c r="H5" s="99" t="str" cm="1">
        <f t="array" ref="H5" xml:space="preserve"> INDEX(聲母對照表[台羅拼音], MATCH(TRUE, EXACT(【聲】聲母排序表!$D5, 聲母對照表[方音符號]),0))</f>
        <v>ph</v>
      </c>
      <c r="I5" s="99" t="str" cm="1">
        <f t="array" ref="I5" xml:space="preserve"> INDEX(聲母對照表[台語音標], MATCH(TRUE, EXACT(【聲】聲母排序表!$D5, 聲母對照表[方音符號]),0))</f>
        <v>ph</v>
      </c>
      <c r="J5" s="99" t="str" cm="1">
        <f t="array" ref="J5" xml:space="preserve"> INDEX(聲母對照表[白話字], MATCH(TRUE, EXACT(【聲】聲母排序表!$D5, 聲母對照表[方音符號]),0))</f>
        <v>ph</v>
      </c>
      <c r="K5" s="175"/>
    </row>
    <row r="6" spans="1:11" ht="39">
      <c r="A6" s="12">
        <v>5</v>
      </c>
      <c r="B6" s="108" t="str" cm="1">
        <f t="array" ref="B6" xml:space="preserve"> INDEX(聲母對照表[國際音標], MATCH(TRUE, EXACT(【聲】聲母排序表!$D6, 聲母對照表[方音符號]),0))</f>
        <v>m</v>
      </c>
      <c r="C6" s="101" t="str" cm="1">
        <f t="array" ref="C6" xml:space="preserve"> INDEX(聲母對照表[十五音], MATCH(TRUE, EXACT(【聲】聲母排序表!$D6, 聲母對照表[方音符號]),0))</f>
        <v>毛</v>
      </c>
      <c r="D6" s="110" t="s">
        <v>20</v>
      </c>
      <c r="E6" s="110" t="str" cm="1">
        <f t="array" ref="E6" xml:space="preserve"> INDEX(聲母對照表[台語注音], MATCH(TRUE, EXACT(【聲】聲母排序表!$D6, 聲母對照表[方音符號]),0))</f>
        <v>ㄇ</v>
      </c>
      <c r="F6" s="100" t="str" cm="1">
        <f t="array" ref="F6" xml:space="preserve"> INDEX(聲母對照表[注音二式], MATCH(TRUE, EXACT(【聲】聲母排序表!$D6, 聲母對照表[方音符號]),0))</f>
        <v>m</v>
      </c>
      <c r="G6" s="100" t="str" cm="1">
        <f t="array" ref="G6" xml:space="preserve"> INDEX(聲母對照表[閩拼方案], MATCH(TRUE, EXACT(【聲】聲母排序表!$D6, 聲母對照表[方音符號]),0))</f>
        <v>bbn</v>
      </c>
      <c r="H6" s="99" t="str" cm="1">
        <f t="array" ref="H6" xml:space="preserve"> INDEX(聲母對照表[台羅拼音], MATCH(TRUE, EXACT(【聲】聲母排序表!$D6, 聲母對照表[方音符號]),0))</f>
        <v>m</v>
      </c>
      <c r="I6" s="99" t="str" cm="1">
        <f t="array" ref="I6" xml:space="preserve"> INDEX(聲母對照表[台語音標], MATCH(TRUE, EXACT(【聲】聲母排序表!$D6, 聲母對照表[方音符號]),0))</f>
        <v>m</v>
      </c>
      <c r="J6" s="99" t="str" cm="1">
        <f t="array" ref="J6" xml:space="preserve"> INDEX(聲母對照表[白話字], MATCH(TRUE, EXACT(【聲】聲母排序表!$D6, 聲母對照表[方音符號]),0))</f>
        <v>m</v>
      </c>
      <c r="K6" s="174"/>
    </row>
    <row r="7" spans="1:11" ht="39">
      <c r="A7" s="12">
        <v>6</v>
      </c>
      <c r="B7" s="108" t="str" cm="1">
        <f t="array" ref="B7" xml:space="preserve"> INDEX(聲母對照表[國際音標], MATCH(TRUE, EXACT(【聲】聲母排序表!$D7, 聲母對照表[方音符號]),0))</f>
        <v>t</v>
      </c>
      <c r="C7" s="101" t="str" cm="1">
        <f t="array" ref="C7" xml:space="preserve"> INDEX(聲母對照表[十五音], MATCH(TRUE, EXACT(【聲】聲母排序表!$D7, 聲母對照表[方音符號]),0))</f>
        <v>地</v>
      </c>
      <c r="D7" s="110" t="s">
        <v>43</v>
      </c>
      <c r="E7" s="110" t="str" cm="1">
        <f t="array" ref="E7" xml:space="preserve"> INDEX(聲母對照表[台語注音], MATCH(TRUE, EXACT(【聲】聲母排序表!$D7, 聲母對照表[方音符號]),0))</f>
        <v>ㄉ</v>
      </c>
      <c r="F7" s="100" t="str" cm="1">
        <f t="array" ref="F7" xml:space="preserve"> INDEX(聲母對照表[注音二式], MATCH(TRUE, EXACT(【聲】聲母排序表!$D7, 聲母對照表[方音符號]),0))</f>
        <v>d</v>
      </c>
      <c r="G7" s="100" t="str" cm="1">
        <f t="array" ref="G7" xml:space="preserve"> INDEX(聲母對照表[閩拼方案], MATCH(TRUE, EXACT(【聲】聲母排序表!$D7, 聲母對照表[方音符號]),0))</f>
        <v>d</v>
      </c>
      <c r="H7" s="99" t="str" cm="1">
        <f t="array" ref="H7" xml:space="preserve"> INDEX(聲母對照表[台羅拼音], MATCH(TRUE, EXACT(【聲】聲母排序表!$D7, 聲母對照表[方音符號]),0))</f>
        <v>t</v>
      </c>
      <c r="I7" s="99" t="str" cm="1">
        <f t="array" ref="I7" xml:space="preserve"> INDEX(聲母對照表[台語音標], MATCH(TRUE, EXACT(【聲】聲母排序表!$D7, 聲母對照表[方音符號]),0))</f>
        <v>t</v>
      </c>
      <c r="J7" s="99" t="str" cm="1">
        <f t="array" ref="J7" xml:space="preserve"> INDEX(聲母對照表[白話字], MATCH(TRUE, EXACT(【聲】聲母排序表!$D7, 聲母對照表[方音符號]),0))</f>
        <v>t</v>
      </c>
      <c r="K7" s="174"/>
    </row>
    <row r="8" spans="1:11" ht="39">
      <c r="A8" s="12">
        <v>7</v>
      </c>
      <c r="B8" s="108" t="str" cm="1">
        <f t="array" ref="B8" xml:space="preserve"> INDEX(聲母對照表[國際音標], MATCH(TRUE, EXACT(【聲】聲母排序表!$D8, 聲母對照表[方音符號]),0))</f>
        <v>tʰ</v>
      </c>
      <c r="C8" s="101" t="str" cm="1">
        <f t="array" ref="C8" xml:space="preserve"> INDEX(聲母對照表[十五音], MATCH(TRUE, EXACT(【聲】聲母排序表!$D8, 聲母對照表[方音符號]),0))</f>
        <v>他</v>
      </c>
      <c r="D8" s="110" t="s">
        <v>58</v>
      </c>
      <c r="E8" s="110" t="str" cm="1">
        <f t="array" ref="E8" xml:space="preserve"> INDEX(聲母對照表[台語注音], MATCH(TRUE, EXACT(【聲】聲母排序表!$D8, 聲母對照表[方音符號]),0))</f>
        <v>ㄊ</v>
      </c>
      <c r="F8" s="100" t="str" cm="1">
        <f t="array" ref="F8" xml:space="preserve"> INDEX(聲母對照表[注音二式], MATCH(TRUE, EXACT(【聲】聲母排序表!$D8, 聲母對照表[方音符號]),0))</f>
        <v>t</v>
      </c>
      <c r="G8" s="100" t="str" cm="1">
        <f t="array" ref="G8" xml:space="preserve"> INDEX(聲母對照表[閩拼方案], MATCH(TRUE, EXACT(【聲】聲母排序表!$D8, 聲母對照表[方音符號]),0))</f>
        <v>t</v>
      </c>
      <c r="H8" s="99" t="str" cm="1">
        <f t="array" ref="H8" xml:space="preserve"> INDEX(聲母對照表[台羅拼音], MATCH(TRUE, EXACT(【聲】聲母排序表!$D8, 聲母對照表[方音符號]),0))</f>
        <v>th</v>
      </c>
      <c r="I8" s="99" t="str" cm="1">
        <f t="array" ref="I8" xml:space="preserve"> INDEX(聲母對照表[台語音標], MATCH(TRUE, EXACT(【聲】聲母排序表!$D8, 聲母對照表[方音符號]),0))</f>
        <v>th</v>
      </c>
      <c r="J8" s="99" t="str" cm="1">
        <f t="array" ref="J8" xml:space="preserve"> INDEX(聲母對照表[白話字], MATCH(TRUE, EXACT(【聲】聲母排序表!$D8, 聲母對照表[方音符號]),0))</f>
        <v>th</v>
      </c>
      <c r="K8" s="174"/>
    </row>
    <row r="9" spans="1:11" ht="39">
      <c r="A9" s="12">
        <v>8</v>
      </c>
      <c r="B9" s="108" t="str" cm="1">
        <f t="array" ref="B9" xml:space="preserve"> INDEX(聲母對照表[國際音標], MATCH(TRUE, EXACT(【聲】聲母排序表!$D9, 聲母對照表[方音符號]),0))</f>
        <v>n</v>
      </c>
      <c r="C9" s="101" t="str" cm="1">
        <f t="array" ref="C9" xml:space="preserve"> INDEX(聲母對照表[十五音], MATCH(TRUE, EXACT(【聲】聲母排序表!$D9, 聲母對照表[方音符號]),0))</f>
        <v>耐</v>
      </c>
      <c r="D9" s="110" t="s">
        <v>22</v>
      </c>
      <c r="E9" s="110" t="str" cm="1">
        <f t="array" ref="E9" xml:space="preserve"> INDEX(聲母對照表[台語注音], MATCH(TRUE, EXACT(【聲】聲母排序表!$D9, 聲母對照表[方音符號]),0))</f>
        <v>ㄋ</v>
      </c>
      <c r="F9" s="100" t="str" cm="1">
        <f t="array" ref="F9" xml:space="preserve"> INDEX(聲母對照表[注音二式], MATCH(TRUE, EXACT(【聲】聲母排序表!$D9, 聲母對照表[方音符號]),0))</f>
        <v>n</v>
      </c>
      <c r="G9" s="100" t="str" cm="1">
        <f t="array" ref="G9" xml:space="preserve"> INDEX(聲母對照表[閩拼方案], MATCH(TRUE, EXACT(【聲】聲母排序表!$D9, 聲母對照表[方音符號]),0))</f>
        <v>ln</v>
      </c>
      <c r="H9" s="99" t="str" cm="1">
        <f t="array" ref="H9" xml:space="preserve"> INDEX(聲母對照表[台羅拼音], MATCH(TRUE, EXACT(【聲】聲母排序表!$D9, 聲母對照表[方音符號]),0))</f>
        <v>n</v>
      </c>
      <c r="I9" s="99" t="str" cm="1">
        <f t="array" ref="I9" xml:space="preserve"> INDEX(聲母對照表[台語音標], MATCH(TRUE, EXACT(【聲】聲母排序表!$D9, 聲母對照表[方音符號]),0))</f>
        <v>n</v>
      </c>
      <c r="J9" s="99" t="str" cm="1">
        <f t="array" ref="J9" xml:space="preserve"> INDEX(聲母對照表[白話字], MATCH(TRUE, EXACT(【聲】聲母排序表!$D9, 聲母對照表[方音符號]),0))</f>
        <v>n</v>
      </c>
      <c r="K9" s="176"/>
    </row>
    <row r="10" spans="1:11" ht="39">
      <c r="A10" s="12">
        <v>9</v>
      </c>
      <c r="B10" s="108" t="str" cm="1">
        <f t="array" ref="B10" xml:space="preserve"> INDEX(聲母對照表[國際音標], MATCH(TRUE, EXACT(【聲】聲母排序表!$D10, 聲母對照表[方音符號]),0))</f>
        <v>l</v>
      </c>
      <c r="C10" s="101" t="str" cm="1">
        <f t="array" ref="C10" xml:space="preserve"> INDEX(聲母對照表[十五音], MATCH(TRUE, EXACT(【聲】聲母排序表!$D10, 聲母對照表[方音符號]),0))</f>
        <v>柳</v>
      </c>
      <c r="D10" s="110" t="s">
        <v>60</v>
      </c>
      <c r="E10" s="110" t="str" cm="1">
        <f t="array" ref="E10" xml:space="preserve"> INDEX(聲母對照表[台語注音], MATCH(TRUE, EXACT(【聲】聲母排序表!$D10, 聲母對照表[方音符號]),0))</f>
        <v>ㄌ</v>
      </c>
      <c r="F10" s="100" t="str" cm="1">
        <f t="array" ref="F10" xml:space="preserve"> INDEX(聲母對照表[注音二式], MATCH(TRUE, EXACT(【聲】聲母排序表!$D10, 聲母對照表[方音符號]),0))</f>
        <v>l</v>
      </c>
      <c r="G10" s="100" t="str" cm="1">
        <f t="array" ref="G10" xml:space="preserve"> INDEX(聲母對照表[閩拼方案], MATCH(TRUE, EXACT(【聲】聲母排序表!$D10, 聲母對照表[方音符號]),0))</f>
        <v>l</v>
      </c>
      <c r="H10" s="99" t="str" cm="1">
        <f t="array" ref="H10" xml:space="preserve"> INDEX(聲母對照表[台羅拼音], MATCH(TRUE, EXACT(【聲】聲母排序表!$D10, 聲母對照表[方音符號]),0))</f>
        <v>l</v>
      </c>
      <c r="I10" s="99" t="str" cm="1">
        <f t="array" ref="I10" xml:space="preserve"> INDEX(聲母對照表[台語音標], MATCH(TRUE, EXACT(【聲】聲母排序表!$D10, 聲母對照表[方音符號]),0))</f>
        <v>l</v>
      </c>
      <c r="J10" s="99" t="str" cm="1">
        <f t="array" ref="J10" xml:space="preserve"> INDEX(聲母對照表[白話字], MATCH(TRUE, EXACT(【聲】聲母排序表!$D10, 聲母對照表[方音符號]),0))</f>
        <v>l</v>
      </c>
      <c r="K10" s="174"/>
    </row>
    <row r="11" spans="1:11" ht="39">
      <c r="A11" s="12">
        <v>10</v>
      </c>
      <c r="B11" s="108" t="str" cm="1">
        <f t="array" ref="B11" xml:space="preserve"> INDEX(聲母對照表[國際音標], MATCH(TRUE, EXACT(【聲】聲母排序表!$D11, 聲母對照表[方音符號]),0))</f>
        <v>k</v>
      </c>
      <c r="C11" s="101" t="str" cm="1">
        <f t="array" ref="C11" xml:space="preserve"> INDEX(聲母對照表[十五音], MATCH(TRUE, EXACT(【聲】聲母排序表!$D11, 聲母對照表[方音符號]),0))</f>
        <v>求</v>
      </c>
      <c r="D11" s="110" t="s">
        <v>45</v>
      </c>
      <c r="E11" s="110" t="str" cm="1">
        <f t="array" ref="E11" xml:space="preserve"> INDEX(聲母對照表[台語注音], MATCH(TRUE, EXACT(【聲】聲母排序表!$D11, 聲母對照表[方音符號]),0))</f>
        <v>ㄍ</v>
      </c>
      <c r="F11" s="100" t="str" cm="1">
        <f t="array" ref="F11" xml:space="preserve"> INDEX(聲母對照表[注音二式], MATCH(TRUE, EXACT(【聲】聲母排序表!$D11, 聲母對照表[方音符號]),0))</f>
        <v>g</v>
      </c>
      <c r="G11" s="100" t="str" cm="1">
        <f t="array" ref="G11" xml:space="preserve"> INDEX(聲母對照表[閩拼方案], MATCH(TRUE, EXACT(【聲】聲母排序表!$D11, 聲母對照表[方音符號]),0))</f>
        <v>g</v>
      </c>
      <c r="H11" s="99" t="str" cm="1">
        <f t="array" ref="H11" xml:space="preserve"> INDEX(聲母對照表[台羅拼音], MATCH(TRUE, EXACT(【聲】聲母排序表!$D11, 聲母對照表[方音符號]),0))</f>
        <v>k</v>
      </c>
      <c r="I11" s="99" t="str" cm="1">
        <f t="array" ref="I11" xml:space="preserve"> INDEX(聲母對照表[台語音標], MATCH(TRUE, EXACT(【聲】聲母排序表!$D11, 聲母對照表[方音符號]),0))</f>
        <v>k</v>
      </c>
      <c r="J11" s="99" t="str" cm="1">
        <f t="array" ref="J11" xml:space="preserve"> INDEX(聲母對照表[白話字], MATCH(TRUE, EXACT(【聲】聲母排序表!$D11, 聲母對照表[方音符號]),0))</f>
        <v>k</v>
      </c>
      <c r="K11" s="174"/>
    </row>
    <row r="12" spans="1:11" ht="39">
      <c r="A12" s="12">
        <v>11</v>
      </c>
      <c r="B12" s="108" t="str" cm="1">
        <f t="array" ref="B12" xml:space="preserve"> INDEX(聲母對照表[國際音標], MATCH(TRUE, EXACT(【聲】聲母排序表!$D12, 聲母對照表[方音符號]),0))</f>
        <v>ɡ</v>
      </c>
      <c r="C12" s="101" t="str" cm="1">
        <f t="array" ref="C12" xml:space="preserve"> INDEX(聲母對照表[十五音], MATCH(TRUE, EXACT(【聲】聲母排序表!$D12, 聲母對照表[方音符號]),0))</f>
        <v>語</v>
      </c>
      <c r="D12" s="110" t="s">
        <v>47</v>
      </c>
      <c r="E12" s="110" t="str" cm="1">
        <f t="array" ref="E12" xml:space="preserve"> INDEX(聲母對照表[台語注音], MATCH(TRUE, EXACT(【聲】聲母排序表!$D12, 聲母對照表[方音符號]),0))</f>
        <v>ㄫ</v>
      </c>
      <c r="F12" s="100" t="str" cm="1">
        <f t="array" ref="F12" xml:space="preserve"> INDEX(聲母對照表[注音二式], MATCH(TRUE, EXACT(【聲】聲母排序表!$D12, 聲母對照表[方音符號]),0))</f>
        <v>gg</v>
      </c>
      <c r="G12" s="100" t="str" cm="1">
        <f t="array" ref="G12" xml:space="preserve"> INDEX(聲母對照表[閩拼方案], MATCH(TRUE, EXACT(【聲】聲母排序表!$D12, 聲母對照表[方音符號]),0))</f>
        <v>gg</v>
      </c>
      <c r="H12" s="99" t="str" cm="1">
        <f t="array" ref="H12" xml:space="preserve"> INDEX(聲母對照表[台羅拼音], MATCH(TRUE, EXACT(【聲】聲母排序表!$D12, 聲母對照表[方音符號]),0))</f>
        <v>g</v>
      </c>
      <c r="I12" s="99" t="str" cm="1">
        <f t="array" ref="I12" xml:space="preserve"> INDEX(聲母對照表[台語音標], MATCH(TRUE, EXACT(【聲】聲母排序表!$D12, 聲母對照表[方音符號]),0))</f>
        <v>g</v>
      </c>
      <c r="J12" s="99" t="str" cm="1">
        <f t="array" ref="J12" xml:space="preserve"> INDEX(聲母對照表[白話字], MATCH(TRUE, EXACT(【聲】聲母排序表!$D12, 聲母對照表[方音符號]),0))</f>
        <v>g</v>
      </c>
      <c r="K12" s="174"/>
    </row>
    <row r="13" spans="1:11" ht="39">
      <c r="A13" s="12">
        <v>12</v>
      </c>
      <c r="B13" s="108" t="str" cm="1">
        <f t="array" ref="B13" xml:space="preserve"> INDEX(聲母對照表[國際音標], MATCH(TRUE, EXACT(【聲】聲母排序表!$D13, 聲母對照表[方音符號]),0))</f>
        <v>kʰ</v>
      </c>
      <c r="C13" s="101" t="str" cm="1">
        <f t="array" ref="C13" xml:space="preserve"> INDEX(聲母對照表[十五音], MATCH(TRUE, EXACT(【聲】聲母排序表!$D13, 聲母對照表[方音符號]),0))</f>
        <v>去</v>
      </c>
      <c r="D13" s="110" t="s">
        <v>59</v>
      </c>
      <c r="E13" s="110" t="str" cm="1">
        <f t="array" ref="E13" xml:space="preserve"> INDEX(聲母對照表[台語注音], MATCH(TRUE, EXACT(【聲】聲母排序表!$D13, 聲母對照表[方音符號]),0))</f>
        <v>ㄎ</v>
      </c>
      <c r="F13" s="100" t="str" cm="1">
        <f t="array" ref="F13" xml:space="preserve"> INDEX(聲母對照表[注音二式], MATCH(TRUE, EXACT(【聲】聲母排序表!$D13, 聲母對照表[方音符號]),0))</f>
        <v>k</v>
      </c>
      <c r="G13" s="100" t="str" cm="1">
        <f t="array" ref="G13" xml:space="preserve"> INDEX(聲母對照表[閩拼方案], MATCH(TRUE, EXACT(【聲】聲母排序表!$D13, 聲母對照表[方音符號]),0))</f>
        <v>k</v>
      </c>
      <c r="H13" s="99" t="str" cm="1">
        <f t="array" ref="H13" xml:space="preserve"> INDEX(聲母對照表[台羅拼音], MATCH(TRUE, EXACT(【聲】聲母排序表!$D13, 聲母對照表[方音符號]),0))</f>
        <v>kh</v>
      </c>
      <c r="I13" s="99" t="str" cm="1">
        <f t="array" ref="I13" xml:space="preserve"> INDEX(聲母對照表[台語音標], MATCH(TRUE, EXACT(【聲】聲母排序表!$D13, 聲母對照表[方音符號]),0))</f>
        <v>kh</v>
      </c>
      <c r="J13" s="99" t="str" cm="1">
        <f t="array" ref="J13" xml:space="preserve"> INDEX(聲母對照表[白話字], MATCH(TRUE, EXACT(【聲】聲母排序表!$D13, 聲母對照表[方音符號]),0))</f>
        <v>kh</v>
      </c>
      <c r="K13" s="176"/>
    </row>
    <row r="14" spans="1:11" ht="39">
      <c r="A14" s="12">
        <v>13</v>
      </c>
      <c r="B14" s="108" t="str" cm="1">
        <f t="array" ref="B14" xml:space="preserve"> INDEX(聲母對照表[國際音標], MATCH(TRUE, EXACT(【聲】聲母排序表!$D14, 聲母對照表[方音符號]),0))</f>
        <v>ŋ</v>
      </c>
      <c r="C14" s="101" t="str" cm="1">
        <f t="array" ref="C14" xml:space="preserve"> INDEX(聲母對照表[十五音], MATCH(TRUE, EXACT(【聲】聲母排序表!$D14, 聲母對照表[方音符號]),0))</f>
        <v>雅</v>
      </c>
      <c r="D14" s="110" t="s">
        <v>24</v>
      </c>
      <c r="E14" s="110" t="str" cm="1">
        <f t="array" ref="E14" xml:space="preserve"> INDEX(聲母對照表[台語注音], MATCH(TRUE, EXACT(【聲】聲母排序表!$D14, 聲母對照表[方音符號]),0))</f>
        <v xml:space="preserve">⁰ㄫ </v>
      </c>
      <c r="F14" s="100" t="str" cm="1">
        <f t="array" ref="F14" xml:space="preserve"> INDEX(聲母對照表[注音二式], MATCH(TRUE, EXACT(【聲】聲母排序表!$D14, 聲母對照表[方音符號]),0))</f>
        <v>ng</v>
      </c>
      <c r="G14" s="100" t="str" cm="1">
        <f t="array" ref="G14" xml:space="preserve"> INDEX(聲母對照表[閩拼方案], MATCH(TRUE, EXACT(【聲】聲母排序表!$D14, 聲母對照表[方音符號]),0))</f>
        <v>ggn</v>
      </c>
      <c r="H14" s="99" t="str" cm="1">
        <f t="array" ref="H14" xml:space="preserve"> INDEX(聲母對照表[台羅拼音], MATCH(TRUE, EXACT(【聲】聲母排序表!$D14, 聲母對照表[方音符號]),0))</f>
        <v>ng</v>
      </c>
      <c r="I14" s="99" t="str" cm="1">
        <f t="array" ref="I14" xml:space="preserve"> INDEX(聲母對照表[台語音標], MATCH(TRUE, EXACT(【聲】聲母排序表!$D14, 聲母對照表[方音符號]),0))</f>
        <v>ng</v>
      </c>
      <c r="J14" s="99" t="str" cm="1">
        <f t="array" ref="J14" xml:space="preserve"> INDEX(聲母對照表[白話字], MATCH(TRUE, EXACT(【聲】聲母排序表!$D14, 聲母對照表[方音符號]),0))</f>
        <v>ng</v>
      </c>
      <c r="K14" s="174"/>
    </row>
    <row r="15" spans="1:11" ht="39">
      <c r="A15" s="12">
        <v>14</v>
      </c>
      <c r="B15" s="108" t="str" cm="1">
        <f t="array" ref="B15" xml:space="preserve"> INDEX(聲母對照表[國際音標], MATCH(TRUE, EXACT(【聲】聲母排序表!$D15, 聲母對照表[方音符號]),0))</f>
        <v>h</v>
      </c>
      <c r="C15" s="101" t="str" cm="1">
        <f t="array" ref="C15" xml:space="preserve"> INDEX(聲母對照表[十五音], MATCH(TRUE, EXACT(【聲】聲母排序表!$D15, 聲母對照表[方音符號]),0))</f>
        <v>喜</v>
      </c>
      <c r="D15" s="110" t="s">
        <v>86</v>
      </c>
      <c r="E15" s="110" t="str" cm="1">
        <f t="array" ref="E15" xml:space="preserve"> INDEX(聲母對照表[台語注音], MATCH(TRUE, EXACT(【聲】聲母排序表!$D15, 聲母對照表[方音符號]),0))</f>
        <v>ㄏ</v>
      </c>
      <c r="F15" s="100" t="str" cm="1">
        <f t="array" ref="F15" xml:space="preserve"> INDEX(聲母對照表[注音二式], MATCH(TRUE, EXACT(【聲】聲母排序表!$D15, 聲母對照表[方音符號]),0))</f>
        <v>h</v>
      </c>
      <c r="G15" s="100" t="str" cm="1">
        <f t="array" ref="G15" xml:space="preserve"> INDEX(聲母對照表[閩拼方案], MATCH(TRUE, EXACT(【聲】聲母排序表!$D15, 聲母對照表[方音符號]),0))</f>
        <v>h</v>
      </c>
      <c r="H15" s="99" t="str" cm="1">
        <f t="array" ref="H15" xml:space="preserve"> INDEX(聲母對照表[台羅拼音], MATCH(TRUE, EXACT(【聲】聲母排序表!$D15, 聲母對照表[方音符號]),0))</f>
        <v>h</v>
      </c>
      <c r="I15" s="99" t="str" cm="1">
        <f t="array" ref="I15" xml:space="preserve"> INDEX(聲母對照表[台語音標], MATCH(TRUE, EXACT(【聲】聲母排序表!$D15, 聲母對照表[方音符號]),0))</f>
        <v>h</v>
      </c>
      <c r="J15" s="99" t="str" cm="1">
        <f t="array" ref="J15" xml:space="preserve"> INDEX(聲母對照表[白話字], MATCH(TRUE, EXACT(【聲】聲母排序表!$D15, 聲母對照表[方音符號]),0))</f>
        <v>h</v>
      </c>
      <c r="K15" s="174"/>
    </row>
    <row r="16" spans="1:11" ht="39">
      <c r="A16" s="12">
        <v>15</v>
      </c>
      <c r="B16" s="108" t="str" cm="1">
        <f t="array" ref="B16" xml:space="preserve"> INDEX(聲母對照表[國際音標], MATCH(TRUE, EXACT(【聲】聲母排序表!$D16, 聲母對照表[方音符號]),0))</f>
        <v>ʨ</v>
      </c>
      <c r="C16" s="101" t="str" cm="1">
        <f t="array" ref="C16" xml:space="preserve"> INDEX(聲母對照表[十五音], MATCH(TRUE, EXACT(【聲】聲母排序表!$D16, 聲母對照表[方音符號]),0))</f>
        <v>曾</v>
      </c>
      <c r="D16" s="111" t="s">
        <v>69</v>
      </c>
      <c r="E16" s="111" t="str" cm="1">
        <f t="array" ref="E16" xml:space="preserve"> INDEX(聲母對照表[台語注音], MATCH(TRUE, EXACT(【聲】聲母排序表!$D16, 聲母對照表[方音符號]),0))</f>
        <v>ㄐ</v>
      </c>
      <c r="F16" s="106" t="str" cm="1">
        <f t="array" ref="F16" xml:space="preserve"> INDEX(聲母對照表[注音二式], MATCH(TRUE, EXACT(【聲】聲母排序表!$D16, 聲母對照表[方音符號]),0))</f>
        <v>j</v>
      </c>
      <c r="G16" s="106" t="str" cm="1">
        <f t="array" ref="G16" xml:space="preserve"> INDEX(聲母對照表[閩拼方案], MATCH(TRUE, EXACT(【聲】聲母排序表!$D16, 聲母對照表[方音符號]),0))</f>
        <v>zi</v>
      </c>
      <c r="H16" s="105" t="str" cm="1">
        <f t="array" ref="H16" xml:space="preserve"> INDEX(聲母對照表[台羅拼音], MATCH(TRUE, EXACT(【聲】聲母排序表!$D16, 聲母對照表[方音符號]),0))</f>
        <v>tsi</v>
      </c>
      <c r="I16" s="105" t="str" cm="1">
        <f t="array" ref="I16" xml:space="preserve"> INDEX(聲母對照表[台語音標], MATCH(TRUE, EXACT(【聲】聲母排序表!$D16, 聲母對照表[方音符號]),0))</f>
        <v>zi</v>
      </c>
      <c r="J16" s="105" t="str" cm="1">
        <f t="array" ref="J16" xml:space="preserve"> INDEX(聲母對照表[白話字], MATCH(TRUE, EXACT(【聲】聲母排序表!$D16, 聲母對照表[方音符號]),0))</f>
        <v>chi</v>
      </c>
      <c r="K16" s="176" t="s">
        <v>172</v>
      </c>
    </row>
    <row r="17" spans="1:11" ht="39">
      <c r="A17" s="12">
        <v>16</v>
      </c>
      <c r="B17" s="108" t="str" cm="1">
        <f t="array" ref="B17" xml:space="preserve"> INDEX(聲母對照表[國際音標], MATCH(TRUE, EXACT(【聲】聲母排序表!$D17, 聲母對照表[方音符號]),0))</f>
        <v>ʥ</v>
      </c>
      <c r="C17" s="101" t="str" cm="1">
        <f t="array" ref="C17" xml:space="preserve"> INDEX(聲母對照表[十五音], MATCH(TRUE, EXACT(【聲】聲母排序表!$D17, 聲母對照表[方音符號]),0))</f>
        <v>入</v>
      </c>
      <c r="D17" s="112" t="s">
        <v>71</v>
      </c>
      <c r="E17" s="110" t="str" cm="1">
        <f t="array" ref="E17" xml:space="preserve"> INDEX(聲母對照表[台語注音], MATCH(TRUE, EXACT(【聲】聲母排序表!$D17, 聲母對照表[方音符號]),0))</f>
        <v>ㄖ</v>
      </c>
      <c r="F17" s="100" t="str" cm="1">
        <f t="array" ref="F17" xml:space="preserve"> INDEX(聲母對照表[注音二式], MATCH(TRUE, EXACT(【聲】聲母排序表!$D17, 聲母對照表[方音符號]),0))</f>
        <v>jj</v>
      </c>
      <c r="G17" s="100" t="str" cm="1">
        <f t="array" ref="G17" xml:space="preserve"> INDEX(聲母對照表[閩拼方案], MATCH(TRUE, EXACT(【聲】聲母排序表!$D17, 聲母對照表[方音符號]),0))</f>
        <v>zzi</v>
      </c>
      <c r="H17" s="99" t="str" cm="1">
        <f t="array" ref="H17" xml:space="preserve"> INDEX(聲母對照表[台羅拼音], MATCH(TRUE, EXACT(【聲】聲母排序表!$D17, 聲母對照表[方音符號]),0))</f>
        <v>ji</v>
      </c>
      <c r="I17" s="99" t="str" cm="1">
        <f t="array" ref="I17" xml:space="preserve"> INDEX(聲母對照表[台語音標], MATCH(TRUE, EXACT(【聲】聲母排序表!$D17, 聲母對照表[方音符號]),0))</f>
        <v>ji</v>
      </c>
      <c r="J17" s="99" t="str" cm="1">
        <f t="array" ref="J17" xml:space="preserve"> INDEX(聲母對照表[白話字], MATCH(TRUE, EXACT(【聲】聲母排序表!$D17, 聲母對照表[方音符號]),0))</f>
        <v>ji</v>
      </c>
      <c r="K17" s="177" t="s">
        <v>166</v>
      </c>
    </row>
    <row r="18" spans="1:11" ht="39">
      <c r="A18" s="12">
        <v>17</v>
      </c>
      <c r="B18" s="108" t="str" cm="1">
        <f t="array" ref="B18" xml:space="preserve"> INDEX(聲母對照表[國際音標], MATCH(TRUE, EXACT(【聲】聲母排序表!$D18, 聲母對照表[方音符號]),0))</f>
        <v>ʨʰ</v>
      </c>
      <c r="C18" s="101" t="str" cm="1">
        <f t="array" ref="C18" xml:space="preserve"> INDEX(聲母對照表[十五音], MATCH(TRUE, EXACT(【聲】聲母排序表!$D18, 聲母對照表[方音符號]),0))</f>
        <v>出</v>
      </c>
      <c r="D18" s="111" t="s">
        <v>82</v>
      </c>
      <c r="E18" s="111" t="str" cm="1">
        <f t="array" ref="E18" xml:space="preserve"> INDEX(聲母對照表[台語注音], MATCH(TRUE, EXACT(【聲】聲母排序表!$D18, 聲母對照表[方音符號]),0))</f>
        <v>ㄑ</v>
      </c>
      <c r="F18" s="106" t="str" cm="1">
        <f t="array" ref="F18" xml:space="preserve"> INDEX(聲母對照表[注音二式], MATCH(TRUE, EXACT(【聲】聲母排序表!$D18, 聲母對照表[方音符號]),0))</f>
        <v>ch</v>
      </c>
      <c r="G18" s="106" t="str" cm="1">
        <f t="array" ref="G18" xml:space="preserve"> INDEX(聲母對照表[閩拼方案], MATCH(TRUE, EXACT(【聲】聲母排序表!$D18, 聲母對照表[方音符號]),0))</f>
        <v>ci</v>
      </c>
      <c r="H18" s="105" t="str" cm="1">
        <f t="array" ref="H18" xml:space="preserve"> INDEX(聲母對照表[台羅拼音], MATCH(TRUE, EXACT(【聲】聲母排序表!$D18, 聲母對照表[方音符號]),0))</f>
        <v>tshi</v>
      </c>
      <c r="I18" s="105" t="str" cm="1">
        <f t="array" ref="I18" xml:space="preserve"> INDEX(聲母對照表[台語音標], MATCH(TRUE, EXACT(【聲】聲母排序表!$D18, 聲母對照表[方音符號]),0))</f>
        <v>ci</v>
      </c>
      <c r="J18" s="105" t="str" cm="1">
        <f t="array" ref="J18" xml:space="preserve"> INDEX(聲母對照表[白話字], MATCH(TRUE, EXACT(【聲】聲母排序表!$D18, 聲母對照表[方音符號]),0))</f>
        <v>chhi</v>
      </c>
      <c r="K18" s="176" t="s">
        <v>180</v>
      </c>
    </row>
    <row r="19" spans="1:11" ht="39">
      <c r="A19" s="12">
        <v>18</v>
      </c>
      <c r="B19" s="108" t="str" cm="1">
        <f t="array" ref="B19" xml:space="preserve"> INDEX(聲母對照表[國際音標], MATCH(TRUE, EXACT(【聲】聲母排序表!$D19, 聲母對照表[方音符號]),0))</f>
        <v>ɕ</v>
      </c>
      <c r="C19" s="101" t="str" cm="1">
        <f t="array" ref="C19" xml:space="preserve"> INDEX(聲母對照表[十五音], MATCH(TRUE, EXACT(【聲】聲母排序表!$D19, 聲母對照表[方音符號]),0))</f>
        <v>時</v>
      </c>
      <c r="D19" s="112" t="s">
        <v>183</v>
      </c>
      <c r="E19" s="110" t="str" cm="1">
        <f t="array" ref="E19" xml:space="preserve"> INDEX(聲母對照表[台語注音], MATCH(TRUE, EXACT(【聲】聲母排序表!$D19, 聲母對照表[方音符號]),0))</f>
        <v>ㄒ</v>
      </c>
      <c r="F19" s="100" t="str" cm="1">
        <f t="array" ref="F19" xml:space="preserve"> INDEX(聲母對照表[注音二式], MATCH(TRUE, EXACT(【聲】聲母排序表!$D19, 聲母對照表[方音符號]),0))</f>
        <v>sh</v>
      </c>
      <c r="G19" s="100" t="str" cm="1">
        <f t="array" ref="G19" xml:space="preserve"> INDEX(聲母對照表[閩拼方案], MATCH(TRUE, EXACT(【聲】聲母排序表!$D19, 聲母對照表[方音符號]),0))</f>
        <v>si</v>
      </c>
      <c r="H19" s="99" t="str" cm="1">
        <f t="array" ref="H19" xml:space="preserve"> INDEX(聲母對照表[台羅拼音], MATCH(TRUE, EXACT(【聲】聲母排序表!$D19, 聲母對照表[方音符號]),0))</f>
        <v>si</v>
      </c>
      <c r="I19" s="99" t="str" cm="1">
        <f t="array" ref="I19" xml:space="preserve"> INDEX(聲母對照表[台語音標], MATCH(TRUE, EXACT(【聲】聲母排序表!$D19, 聲母對照表[方音符號]),0))</f>
        <v>si</v>
      </c>
      <c r="J19" s="99" t="str" cm="1">
        <f t="array" ref="J19" xml:space="preserve"> INDEX(聲母對照表[白話字], MATCH(TRUE, EXACT(【聲】聲母排序表!$D19, 聲母對照表[方音符號]),0))</f>
        <v>si</v>
      </c>
      <c r="K19" s="178" t="s">
        <v>186</v>
      </c>
    </row>
    <row r="20" spans="1:11" ht="39">
      <c r="A20" s="12">
        <v>19</v>
      </c>
      <c r="B20" s="108" t="str" cm="1">
        <f t="array" ref="B20" xml:space="preserve"> INDEX(聲母對照表[國際音標], MATCH(TRUE, EXACT(【聲】聲母排序表!$D20, 聲母對照表[方音符號]),0))</f>
        <v>ʦ</v>
      </c>
      <c r="C20" s="101" t="str" cm="1">
        <f t="array" ref="C20" xml:space="preserve"> INDEX(聲母對照表[十五音], MATCH(TRUE, EXACT(【聲】聲母排序表!$D20, 聲母對照表[方音符號]),0))</f>
        <v>曾</v>
      </c>
      <c r="D20" s="110" t="s">
        <v>73</v>
      </c>
      <c r="E20" s="110" t="str" cm="1">
        <f t="array" ref="E20" xml:space="preserve"> INDEX(聲母對照表[台語注音], MATCH(TRUE, EXACT(【聲】聲母排序表!$D20, 聲母對照表[方音符號]),0))</f>
        <v>ㄗ</v>
      </c>
      <c r="F20" s="100" t="str" cm="1">
        <f t="array" ref="F20" xml:space="preserve"> INDEX(聲母對照表[注音二式], MATCH(TRUE, EXACT(【聲】聲母排序表!$D20, 聲母對照表[方音符號]),0))</f>
        <v>z</v>
      </c>
      <c r="G20" s="100" t="str" cm="1">
        <f t="array" ref="G20" xml:space="preserve"> INDEX(聲母對照表[閩拼方案], MATCH(TRUE, EXACT(【聲】聲母排序表!$D20, 聲母對照表[方音符號]),0))</f>
        <v>z</v>
      </c>
      <c r="H20" s="99" t="str" cm="1">
        <f t="array" ref="H20" xml:space="preserve"> INDEX(聲母對照表[台羅拼音], MATCH(TRUE, EXACT(【聲】聲母排序表!$D20, 聲母對照表[方音符號]),0))</f>
        <v>ts</v>
      </c>
      <c r="I20" s="99" t="str" cm="1">
        <f t="array" ref="I20" xml:space="preserve"> INDEX(聲母對照表[台語音標], MATCH(TRUE, EXACT(【聲】聲母排序表!$D20, 聲母對照表[方音符號]),0))</f>
        <v>z</v>
      </c>
      <c r="J20" s="99" t="str" cm="1">
        <f t="array" ref="J20" xml:space="preserve"> INDEX(聲母對照表[白話字], MATCH(TRUE, EXACT(【聲】聲母排序表!$D20, 聲母對照表[方音符號]),0))</f>
        <v>ch</v>
      </c>
      <c r="K20" s="174"/>
    </row>
    <row r="21" spans="1:11" ht="39">
      <c r="A21" s="22">
        <v>20</v>
      </c>
      <c r="B21" s="108" t="str" cm="1">
        <f t="array" ref="B21" xml:space="preserve"> INDEX(聲母對照表[國際音標], MATCH(TRUE, EXACT(【聲】聲母排序表!$D21, 聲母對照表[方音符號]),0))</f>
        <v>ʣ</v>
      </c>
      <c r="C21" s="101" t="str" cm="1">
        <f t="array" ref="C21" xml:space="preserve"> INDEX(聲母對照表[十五音], MATCH(TRUE, EXACT(【聲】聲母排序表!$D21, 聲母對照表[方音符號]),0))</f>
        <v>入</v>
      </c>
      <c r="D21" s="110" t="s">
        <v>75</v>
      </c>
      <c r="E21" s="110" t="str" cm="1">
        <f t="array" ref="E21" xml:space="preserve"> INDEX(聲母對照表[台語注音], MATCH(TRUE, EXACT(【聲】聲母排序表!$D21, 聲母對照表[方音符號]),0))</f>
        <v>ㄖ</v>
      </c>
      <c r="F21" s="100" t="str" cm="1">
        <f t="array" ref="F21" xml:space="preserve"> INDEX(聲母對照表[注音二式], MATCH(TRUE, EXACT(【聲】聲母排序表!$D21, 聲母對照表[方音符號]),0))</f>
        <v>zz</v>
      </c>
      <c r="G21" s="100" t="str" cm="1">
        <f t="array" ref="G21" xml:space="preserve"> INDEX(聲母對照表[閩拼方案], MATCH(TRUE, EXACT(【聲】聲母排序表!$D21, 聲母對照表[方音符號]),0))</f>
        <v>zz</v>
      </c>
      <c r="H21" s="99" t="str" cm="1">
        <f t="array" ref="H21" xml:space="preserve"> INDEX(聲母對照表[台羅拼音], MATCH(TRUE, EXACT(【聲】聲母排序表!$D21, 聲母對照表[方音符號]),0))</f>
        <v>j</v>
      </c>
      <c r="I21" s="99" t="str" cm="1">
        <f t="array" ref="I21" xml:space="preserve"> INDEX(聲母對照表[台語音標], MATCH(TRUE, EXACT(【聲】聲母排序表!$D21, 聲母對照表[方音符號]),0))</f>
        <v>j</v>
      </c>
      <c r="J21" s="99" t="str" cm="1">
        <f t="array" ref="J21" xml:space="preserve"> INDEX(聲母對照表[白話字], MATCH(TRUE, EXACT(【聲】聲母排序表!$D21, 聲母對照表[方音符號]),0))</f>
        <v>j</v>
      </c>
      <c r="K21" s="174"/>
    </row>
    <row r="22" spans="1:11" ht="39">
      <c r="A22" s="22">
        <v>21</v>
      </c>
      <c r="B22" s="108" t="str" cm="1">
        <f t="array" ref="B22" xml:space="preserve"> INDEX(聲母對照表[國際音標], MATCH(TRUE, EXACT(【聲】聲母排序表!$D22, 聲母對照表[方音符號]),0))</f>
        <v>ʦʰ</v>
      </c>
      <c r="C22" s="101" t="str" cm="1">
        <f t="array" ref="C22" xml:space="preserve"> INDEX(聲母對照表[十五音], MATCH(TRUE, EXACT(【聲】聲母排序表!$D22, 聲母對照表[方音符號]),0))</f>
        <v>出</v>
      </c>
      <c r="D22" s="110" t="s">
        <v>84</v>
      </c>
      <c r="E22" s="110" t="str" cm="1">
        <f t="array" ref="E22" xml:space="preserve"> INDEX(聲母對照表[台語注音], MATCH(TRUE, EXACT(【聲】聲母排序表!$D22, 聲母對照表[方音符號]),0))</f>
        <v>ㄘ</v>
      </c>
      <c r="F22" s="100" t="str" cm="1">
        <f t="array" ref="F22" xml:space="preserve"> INDEX(聲母對照表[注音二式], MATCH(TRUE, EXACT(【聲】聲母排序表!$D22, 聲母對照表[方音符號]),0))</f>
        <v>c</v>
      </c>
      <c r="G22" s="100" t="str" cm="1">
        <f t="array" ref="G22" xml:space="preserve"> INDEX(聲母對照表[閩拼方案], MATCH(TRUE, EXACT(【聲】聲母排序表!$D22, 聲母對照表[方音符號]),0))</f>
        <v>c</v>
      </c>
      <c r="H22" s="99" t="str" cm="1">
        <f t="array" ref="H22" xml:space="preserve"> INDEX(聲母對照表[台羅拼音], MATCH(TRUE, EXACT(【聲】聲母排序表!$D22, 聲母對照表[方音符號]),0))</f>
        <v>tsh</v>
      </c>
      <c r="I22" s="99" t="str" cm="1">
        <f t="array" ref="I22" xml:space="preserve"> INDEX(聲母對照表[台語音標], MATCH(TRUE, EXACT(【聲】聲母排序表!$D22, 聲母對照表[方音符號]),0))</f>
        <v>c</v>
      </c>
      <c r="J22" s="99" t="str" cm="1">
        <f t="array" ref="J22" xml:space="preserve"> INDEX(聲母對照表[白話字], MATCH(TRUE, EXACT(【聲】聲母排序表!$D22, 聲母對照表[方音符號]),0))</f>
        <v>chh</v>
      </c>
      <c r="K22" s="174"/>
    </row>
    <row r="23" spans="1:11" ht="39">
      <c r="A23" s="32">
        <v>22</v>
      </c>
      <c r="B23" s="182" t="str" cm="1">
        <f t="array" ref="B23" xml:space="preserve"> INDEX(聲母對照表[國際音標], MATCH(TRUE, EXACT(【聲】聲母排序表!$D23, 聲母對照表[方音符號]),0))</f>
        <v>s</v>
      </c>
      <c r="C23" s="183" t="str" cm="1">
        <f t="array" ref="C23" xml:space="preserve"> INDEX(聲母對照表[十五音], MATCH(TRUE, EXACT(【聲】聲母排序表!$D23, 聲母對照表[方音符號]),0))</f>
        <v>時</v>
      </c>
      <c r="D23" s="184" t="s">
        <v>94</v>
      </c>
      <c r="E23" s="184" t="str" cm="1">
        <f t="array" ref="E23" xml:space="preserve"> INDEX(聲母對照表[台語注音], MATCH(TRUE, EXACT(【聲】聲母排序表!$D23, 聲母對照表[方音符號]),0))</f>
        <v>ㄙ</v>
      </c>
      <c r="F23" s="185" t="str" cm="1">
        <f t="array" ref="F23" xml:space="preserve"> INDEX(聲母對照表[注音二式], MATCH(TRUE, EXACT(【聲】聲母排序表!$D23, 聲母對照表[方音符號]),0))</f>
        <v>s</v>
      </c>
      <c r="G23" s="185" t="str" cm="1">
        <f t="array" ref="G23" xml:space="preserve"> INDEX(聲母對照表[閩拼方案], MATCH(TRUE, EXACT(【聲】聲母排序表!$D23, 聲母對照表[方音符號]),0))</f>
        <v>s</v>
      </c>
      <c r="H23" s="186" t="str" cm="1">
        <f t="array" ref="H23" xml:space="preserve"> INDEX(聲母對照表[台羅拼音], MATCH(TRUE, EXACT(【聲】聲母排序表!$D23, 聲母對照表[方音符號]),0))</f>
        <v>s</v>
      </c>
      <c r="I23" s="186" t="str" cm="1">
        <f t="array" ref="I23" xml:space="preserve"> INDEX(聲母對照表[台語音標], MATCH(TRUE, EXACT(【聲】聲母排序表!$D23, 聲母對照表[方音符號]),0))</f>
        <v>s</v>
      </c>
      <c r="J23" s="186" t="str" cm="1">
        <f t="array" ref="J23" xml:space="preserve"> INDEX(聲母對照表[白話字], MATCH(TRUE, EXACT(【聲】聲母排序表!$D23, 聲母對照表[方音符號]),0))</f>
        <v>s</v>
      </c>
      <c r="K23" s="187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BD69-325B-429D-9669-11F2A031216D}">
  <dimension ref="A1:V23"/>
  <sheetViews>
    <sheetView workbookViewId="0"/>
  </sheetViews>
  <sheetFormatPr defaultRowHeight="25.5"/>
  <cols>
    <col min="1" max="1" width="11" style="11" customWidth="1"/>
    <col min="2" max="2" width="13.75" style="11" customWidth="1"/>
    <col min="3" max="4" width="12.5" style="11" customWidth="1"/>
    <col min="5" max="6" width="14.75" style="67" customWidth="1"/>
    <col min="7" max="8" width="14.75" style="11" customWidth="1"/>
    <col min="9" max="9" width="15" customWidth="1"/>
    <col min="10" max="10" width="15" style="11" customWidth="1"/>
    <col min="11" max="11" width="15" customWidth="1"/>
    <col min="12" max="12" width="43" customWidth="1"/>
    <col min="13" max="13" width="17.125" style="11" customWidth="1"/>
    <col min="14" max="15" width="17.125" customWidth="1"/>
    <col min="16" max="16" width="17.125" style="11" customWidth="1"/>
    <col min="17" max="19" width="19" customWidth="1"/>
    <col min="20" max="20" width="19" style="11" customWidth="1"/>
    <col min="21" max="21" width="19.625" style="11" customWidth="1"/>
    <col min="22" max="23" width="6.5" style="11" customWidth="1"/>
    <col min="24" max="16384" width="9" style="11"/>
  </cols>
  <sheetData>
    <row r="1" spans="1:22">
      <c r="A1" s="9" t="s">
        <v>191</v>
      </c>
      <c r="B1" s="10" t="s">
        <v>102</v>
      </c>
      <c r="C1" s="10" t="s">
        <v>101</v>
      </c>
      <c r="D1" s="10" t="s">
        <v>100</v>
      </c>
      <c r="E1" s="10" t="s">
        <v>105</v>
      </c>
      <c r="F1" s="10" t="s">
        <v>106</v>
      </c>
      <c r="G1" s="10" t="s">
        <v>110</v>
      </c>
      <c r="H1" s="10" t="s">
        <v>111</v>
      </c>
      <c r="I1" s="10" t="s">
        <v>107</v>
      </c>
      <c r="J1" s="10" t="s">
        <v>108</v>
      </c>
      <c r="K1" s="10" t="s">
        <v>109</v>
      </c>
      <c r="L1" s="10" t="s">
        <v>103</v>
      </c>
      <c r="M1" s="117" t="s">
        <v>621</v>
      </c>
      <c r="N1" s="117" t="s">
        <v>99</v>
      </c>
      <c r="O1" s="117" t="s">
        <v>624</v>
      </c>
      <c r="P1" s="118" t="s">
        <v>625</v>
      </c>
      <c r="Q1" s="11"/>
      <c r="R1" s="11"/>
      <c r="S1" s="11"/>
      <c r="U1" s="11" t="s">
        <v>163</v>
      </c>
      <c r="V1" s="11" t="s">
        <v>163</v>
      </c>
    </row>
    <row r="2" spans="1:22" ht="29.25">
      <c r="A2" s="12">
        <v>1</v>
      </c>
      <c r="B2" s="14"/>
      <c r="C2" s="13" t="s">
        <v>140</v>
      </c>
      <c r="D2" s="20" t="s">
        <v>36</v>
      </c>
      <c r="E2" s="69"/>
      <c r="F2" s="69"/>
      <c r="G2" s="15"/>
      <c r="H2" s="14"/>
      <c r="I2" s="14"/>
      <c r="J2" s="14"/>
      <c r="K2" s="14"/>
      <c r="L2" s="14" t="s">
        <v>141</v>
      </c>
      <c r="M2" s="26">
        <v>1</v>
      </c>
      <c r="N2" s="26">
        <v>11</v>
      </c>
      <c r="O2" s="26">
        <v>1</v>
      </c>
      <c r="P2" s="27">
        <v>1</v>
      </c>
      <c r="Q2" s="11"/>
      <c r="R2" s="11"/>
      <c r="S2" s="11">
        <v>1</v>
      </c>
      <c r="T2" s="11" t="s">
        <v>19</v>
      </c>
      <c r="U2" s="11" t="s">
        <v>96</v>
      </c>
      <c r="V2" s="11" t="s">
        <v>96</v>
      </c>
    </row>
    <row r="3" spans="1:22" ht="29.25">
      <c r="A3" s="12">
        <v>2</v>
      </c>
      <c r="B3" s="14" t="s">
        <v>29</v>
      </c>
      <c r="C3" s="13" t="s">
        <v>115</v>
      </c>
      <c r="D3" s="13" t="s">
        <v>28</v>
      </c>
      <c r="E3" s="69" t="s">
        <v>19</v>
      </c>
      <c r="F3" s="69" t="s">
        <v>19</v>
      </c>
      <c r="G3" s="15" t="s">
        <v>30</v>
      </c>
      <c r="H3" s="14" t="s">
        <v>30</v>
      </c>
      <c r="I3" s="14" t="s">
        <v>29</v>
      </c>
      <c r="J3" s="14" t="s">
        <v>29</v>
      </c>
      <c r="K3" s="14" t="s">
        <v>29</v>
      </c>
      <c r="L3" s="14"/>
      <c r="M3" s="28">
        <v>2</v>
      </c>
      <c r="N3" s="28">
        <v>2</v>
      </c>
      <c r="O3" s="28">
        <v>13</v>
      </c>
      <c r="P3" s="29">
        <v>2</v>
      </c>
      <c r="Q3" s="11"/>
      <c r="R3" s="11"/>
      <c r="S3" s="11">
        <v>2</v>
      </c>
      <c r="T3" s="11" t="s">
        <v>41</v>
      </c>
      <c r="U3" s="11" t="s">
        <v>30</v>
      </c>
      <c r="V3" s="11" t="s">
        <v>30</v>
      </c>
    </row>
    <row r="4" spans="1:22" ht="29.25">
      <c r="A4" s="12">
        <v>3</v>
      </c>
      <c r="B4" s="14" t="s">
        <v>30</v>
      </c>
      <c r="C4" s="13" t="s">
        <v>142</v>
      </c>
      <c r="D4" s="21" t="s">
        <v>13</v>
      </c>
      <c r="E4" s="69" t="s">
        <v>41</v>
      </c>
      <c r="F4" s="69" t="s">
        <v>119</v>
      </c>
      <c r="G4" s="15" t="s">
        <v>42</v>
      </c>
      <c r="H4" s="14" t="s">
        <v>42</v>
      </c>
      <c r="I4" s="14" t="s">
        <v>30</v>
      </c>
      <c r="J4" s="14" t="s">
        <v>30</v>
      </c>
      <c r="K4" s="14" t="s">
        <v>30</v>
      </c>
      <c r="L4" s="14"/>
      <c r="M4" s="28">
        <v>3</v>
      </c>
      <c r="N4" s="30">
        <v>12</v>
      </c>
      <c r="O4" s="28">
        <v>2</v>
      </c>
      <c r="P4" s="29">
        <f t="shared" ref="P4:P23" si="0">P3+1</f>
        <v>3</v>
      </c>
      <c r="Q4" s="11"/>
      <c r="R4" s="11"/>
      <c r="S4" s="11">
        <v>3</v>
      </c>
      <c r="T4" s="11" t="s">
        <v>50</v>
      </c>
      <c r="U4" s="11" t="s">
        <v>35</v>
      </c>
      <c r="V4" s="11" t="s">
        <v>35</v>
      </c>
    </row>
    <row r="5" spans="1:22" ht="29.25">
      <c r="A5" s="12">
        <v>4</v>
      </c>
      <c r="B5" s="14" t="s">
        <v>127</v>
      </c>
      <c r="C5" s="13" t="s">
        <v>126</v>
      </c>
      <c r="D5" s="13" t="s">
        <v>38</v>
      </c>
      <c r="E5" s="69" t="s">
        <v>50</v>
      </c>
      <c r="F5" s="69" t="s">
        <v>50</v>
      </c>
      <c r="G5" s="15" t="s">
        <v>29</v>
      </c>
      <c r="H5" s="14" t="s">
        <v>29</v>
      </c>
      <c r="I5" s="14" t="s">
        <v>39</v>
      </c>
      <c r="J5" s="14" t="s">
        <v>39</v>
      </c>
      <c r="K5" s="14" t="s">
        <v>39</v>
      </c>
      <c r="L5" s="14"/>
      <c r="M5" s="28">
        <v>4</v>
      </c>
      <c r="N5" s="30">
        <v>6</v>
      </c>
      <c r="O5" s="28">
        <v>14</v>
      </c>
      <c r="P5" s="29">
        <f t="shared" si="0"/>
        <v>4</v>
      </c>
      <c r="Q5" s="11"/>
      <c r="R5" s="11"/>
      <c r="S5" s="11">
        <v>4</v>
      </c>
      <c r="T5" s="11" t="s">
        <v>20</v>
      </c>
      <c r="U5" s="11" t="s">
        <v>118</v>
      </c>
      <c r="V5" s="11" t="s">
        <v>118</v>
      </c>
    </row>
    <row r="6" spans="1:22" ht="29.25">
      <c r="A6" s="12">
        <v>5</v>
      </c>
      <c r="B6" s="14" t="s">
        <v>14</v>
      </c>
      <c r="C6" s="13" t="s">
        <v>146</v>
      </c>
      <c r="D6" s="13" t="s">
        <v>146</v>
      </c>
      <c r="E6" s="69" t="s">
        <v>20</v>
      </c>
      <c r="F6" s="69" t="s">
        <v>20</v>
      </c>
      <c r="G6" s="15" t="s">
        <v>14</v>
      </c>
      <c r="H6" s="14" t="s">
        <v>116</v>
      </c>
      <c r="I6" s="14" t="s">
        <v>14</v>
      </c>
      <c r="J6" s="14" t="s">
        <v>14</v>
      </c>
      <c r="K6" s="14" t="s">
        <v>14</v>
      </c>
      <c r="L6" s="17" t="s">
        <v>147</v>
      </c>
      <c r="M6" s="28">
        <v>5</v>
      </c>
      <c r="N6" s="30">
        <v>16</v>
      </c>
      <c r="O6" s="28">
        <v>10</v>
      </c>
      <c r="P6" s="29">
        <f t="shared" si="0"/>
        <v>5</v>
      </c>
      <c r="Q6" s="11"/>
      <c r="R6" s="11"/>
      <c r="S6" s="11">
        <v>5</v>
      </c>
      <c r="T6" s="11" t="s">
        <v>43</v>
      </c>
      <c r="U6" s="11" t="s">
        <v>123</v>
      </c>
      <c r="V6" s="11" t="s">
        <v>123</v>
      </c>
    </row>
    <row r="7" spans="1:22" ht="29.25">
      <c r="A7" s="12">
        <v>6</v>
      </c>
      <c r="B7" s="14" t="s">
        <v>122</v>
      </c>
      <c r="C7" s="13" t="s">
        <v>124</v>
      </c>
      <c r="D7" s="13" t="s">
        <v>31</v>
      </c>
      <c r="E7" s="69" t="s">
        <v>43</v>
      </c>
      <c r="F7" s="69" t="s">
        <v>43</v>
      </c>
      <c r="G7" s="15" t="s">
        <v>123</v>
      </c>
      <c r="H7" s="14" t="s">
        <v>123</v>
      </c>
      <c r="I7" s="14" t="s">
        <v>122</v>
      </c>
      <c r="J7" s="14" t="s">
        <v>122</v>
      </c>
      <c r="K7" s="14" t="s">
        <v>122</v>
      </c>
      <c r="L7" s="14"/>
      <c r="M7" s="28">
        <v>6</v>
      </c>
      <c r="N7" s="28">
        <v>5</v>
      </c>
      <c r="O7" s="28">
        <v>17</v>
      </c>
      <c r="P7" s="29">
        <f t="shared" si="0"/>
        <v>6</v>
      </c>
      <c r="Q7" s="11"/>
      <c r="R7" s="11"/>
      <c r="S7" s="11">
        <v>6</v>
      </c>
      <c r="T7" s="11" t="s">
        <v>58</v>
      </c>
      <c r="U7" s="11" t="s">
        <v>29</v>
      </c>
      <c r="V7" s="11" t="s">
        <v>29</v>
      </c>
    </row>
    <row r="8" spans="1:22" ht="29.25">
      <c r="A8" s="12">
        <v>7</v>
      </c>
      <c r="B8" s="14" t="s">
        <v>130</v>
      </c>
      <c r="C8" s="13" t="s">
        <v>129</v>
      </c>
      <c r="D8" s="13" t="s">
        <v>52</v>
      </c>
      <c r="E8" s="69" t="s">
        <v>58</v>
      </c>
      <c r="F8" s="69" t="s">
        <v>58</v>
      </c>
      <c r="G8" s="15" t="s">
        <v>122</v>
      </c>
      <c r="H8" s="14" t="s">
        <v>122</v>
      </c>
      <c r="I8" s="14" t="s">
        <v>125</v>
      </c>
      <c r="J8" s="14" t="s">
        <v>125</v>
      </c>
      <c r="K8" s="14" t="s">
        <v>125</v>
      </c>
      <c r="L8" s="14"/>
      <c r="M8" s="28">
        <v>7</v>
      </c>
      <c r="N8" s="30">
        <v>7</v>
      </c>
      <c r="O8" s="28">
        <v>18</v>
      </c>
      <c r="P8" s="29">
        <f t="shared" si="0"/>
        <v>7</v>
      </c>
      <c r="Q8" s="11"/>
      <c r="R8" s="11"/>
      <c r="S8" s="11">
        <v>7</v>
      </c>
      <c r="T8" s="11" t="s">
        <v>22</v>
      </c>
      <c r="U8" s="11" t="s">
        <v>122</v>
      </c>
      <c r="V8" s="11" t="s">
        <v>122</v>
      </c>
    </row>
    <row r="9" spans="1:22" ht="29.25">
      <c r="A9" s="12">
        <v>8</v>
      </c>
      <c r="B9" s="14" t="s">
        <v>16</v>
      </c>
      <c r="C9" s="13" t="s">
        <v>113</v>
      </c>
      <c r="D9" s="13" t="s">
        <v>113</v>
      </c>
      <c r="E9" s="69" t="s">
        <v>22</v>
      </c>
      <c r="F9" s="69" t="s">
        <v>22</v>
      </c>
      <c r="G9" s="15" t="s">
        <v>16</v>
      </c>
      <c r="H9" s="14" t="s">
        <v>128</v>
      </c>
      <c r="I9" s="14" t="s">
        <v>16</v>
      </c>
      <c r="J9" s="14" t="s">
        <v>16</v>
      </c>
      <c r="K9" s="14" t="s">
        <v>16</v>
      </c>
      <c r="L9" s="16" t="s">
        <v>114</v>
      </c>
      <c r="M9" s="28">
        <v>8</v>
      </c>
      <c r="N9" s="30">
        <v>17</v>
      </c>
      <c r="O9" s="28">
        <v>11</v>
      </c>
      <c r="P9" s="29">
        <f t="shared" si="0"/>
        <v>8</v>
      </c>
      <c r="Q9" s="11"/>
      <c r="R9" s="11"/>
      <c r="S9" s="11">
        <v>8</v>
      </c>
      <c r="T9" s="11" t="s">
        <v>60</v>
      </c>
      <c r="U9" s="11" t="s">
        <v>144</v>
      </c>
      <c r="V9" s="11" t="s">
        <v>144</v>
      </c>
    </row>
    <row r="10" spans="1:22" ht="29.25">
      <c r="A10" s="12">
        <v>9</v>
      </c>
      <c r="B10" s="14" t="s">
        <v>96</v>
      </c>
      <c r="C10" s="13" t="s">
        <v>112</v>
      </c>
      <c r="D10" s="13" t="s">
        <v>15</v>
      </c>
      <c r="E10" s="69" t="s">
        <v>60</v>
      </c>
      <c r="F10" s="69" t="s">
        <v>60</v>
      </c>
      <c r="G10" s="15" t="s">
        <v>96</v>
      </c>
      <c r="H10" s="14" t="s">
        <v>96</v>
      </c>
      <c r="I10" s="14" t="s">
        <v>96</v>
      </c>
      <c r="J10" s="14" t="s">
        <v>96</v>
      </c>
      <c r="K10" s="14" t="s">
        <v>96</v>
      </c>
      <c r="L10" s="14"/>
      <c r="M10" s="28">
        <v>9</v>
      </c>
      <c r="N10" s="30">
        <v>1</v>
      </c>
      <c r="O10" s="28">
        <v>9</v>
      </c>
      <c r="P10" s="29">
        <f t="shared" si="0"/>
        <v>9</v>
      </c>
      <c r="Q10" s="11"/>
      <c r="R10" s="11"/>
      <c r="S10" s="11">
        <v>9</v>
      </c>
      <c r="T10" s="11" t="s">
        <v>45</v>
      </c>
      <c r="U10" s="11" t="s">
        <v>159</v>
      </c>
      <c r="V10" s="11" t="s">
        <v>159</v>
      </c>
    </row>
    <row r="11" spans="1:22" ht="29.25">
      <c r="A11" s="12">
        <v>10</v>
      </c>
      <c r="B11" s="14" t="s">
        <v>118</v>
      </c>
      <c r="C11" s="13" t="s">
        <v>117</v>
      </c>
      <c r="D11" s="13" t="s">
        <v>33</v>
      </c>
      <c r="E11" s="69" t="s">
        <v>45</v>
      </c>
      <c r="F11" s="69" t="s">
        <v>45</v>
      </c>
      <c r="G11" s="15" t="s">
        <v>35</v>
      </c>
      <c r="H11" s="14" t="s">
        <v>35</v>
      </c>
      <c r="I11" s="14" t="s">
        <v>118</v>
      </c>
      <c r="J11" s="14" t="s">
        <v>118</v>
      </c>
      <c r="K11" s="14" t="s">
        <v>118</v>
      </c>
      <c r="L11" s="14"/>
      <c r="M11" s="28">
        <v>10</v>
      </c>
      <c r="N11" s="28">
        <v>3</v>
      </c>
      <c r="O11" s="28">
        <v>7</v>
      </c>
      <c r="P11" s="29">
        <f t="shared" si="0"/>
        <v>10</v>
      </c>
      <c r="Q11" s="11"/>
      <c r="R11" s="11"/>
      <c r="S11" s="11">
        <v>10</v>
      </c>
      <c r="T11" s="11" t="s">
        <v>47</v>
      </c>
      <c r="U11" s="11" t="s">
        <v>137</v>
      </c>
      <c r="V11" s="11" t="s">
        <v>137</v>
      </c>
    </row>
    <row r="12" spans="1:22" ht="29.25">
      <c r="A12" s="12">
        <v>11</v>
      </c>
      <c r="B12" s="14" t="s">
        <v>153</v>
      </c>
      <c r="C12" s="13" t="s">
        <v>152</v>
      </c>
      <c r="D12" s="13" t="s">
        <v>17</v>
      </c>
      <c r="E12" s="69" t="s">
        <v>47</v>
      </c>
      <c r="F12" s="69" t="s">
        <v>24</v>
      </c>
      <c r="G12" s="15" t="s">
        <v>48</v>
      </c>
      <c r="H12" s="14" t="s">
        <v>48</v>
      </c>
      <c r="I12" s="14" t="s">
        <v>35</v>
      </c>
      <c r="J12" s="14" t="s">
        <v>35</v>
      </c>
      <c r="K12" s="14" t="s">
        <v>35</v>
      </c>
      <c r="L12" s="14"/>
      <c r="M12" s="28">
        <v>11</v>
      </c>
      <c r="N12" s="30">
        <v>13</v>
      </c>
      <c r="O12" s="28">
        <v>3</v>
      </c>
      <c r="P12" s="29">
        <f t="shared" si="0"/>
        <v>11</v>
      </c>
      <c r="Q12" s="11"/>
      <c r="R12" s="11"/>
      <c r="S12" s="11">
        <v>11</v>
      </c>
      <c r="T12" s="11" t="s">
        <v>59</v>
      </c>
      <c r="U12" s="11" t="s">
        <v>42</v>
      </c>
      <c r="V12" s="11" t="s">
        <v>42</v>
      </c>
    </row>
    <row r="13" spans="1:22" ht="29.25">
      <c r="A13" s="12">
        <v>12</v>
      </c>
      <c r="B13" s="14" t="s">
        <v>121</v>
      </c>
      <c r="C13" s="13" t="s">
        <v>120</v>
      </c>
      <c r="D13" s="13" t="s">
        <v>54</v>
      </c>
      <c r="E13" s="69" t="s">
        <v>59</v>
      </c>
      <c r="F13" s="69" t="s">
        <v>59</v>
      </c>
      <c r="G13" s="15" t="s">
        <v>118</v>
      </c>
      <c r="H13" s="14" t="s">
        <v>118</v>
      </c>
      <c r="I13" s="14" t="s">
        <v>135</v>
      </c>
      <c r="J13" s="14" t="s">
        <v>135</v>
      </c>
      <c r="K13" s="14" t="s">
        <v>135</v>
      </c>
      <c r="L13" s="14"/>
      <c r="M13" s="28">
        <v>12</v>
      </c>
      <c r="N13" s="30">
        <v>4</v>
      </c>
      <c r="O13" s="28">
        <v>8</v>
      </c>
      <c r="P13" s="29">
        <f t="shared" si="0"/>
        <v>12</v>
      </c>
      <c r="Q13" s="11"/>
      <c r="R13" s="11"/>
      <c r="S13" s="11">
        <v>12</v>
      </c>
      <c r="T13" s="11" t="s">
        <v>24</v>
      </c>
      <c r="U13" s="11" t="s">
        <v>48</v>
      </c>
      <c r="V13" s="11" t="s">
        <v>48</v>
      </c>
    </row>
    <row r="14" spans="1:22" ht="29.25">
      <c r="A14" s="12">
        <v>13</v>
      </c>
      <c r="B14" s="14" t="s">
        <v>156</v>
      </c>
      <c r="C14" s="13" t="s">
        <v>155</v>
      </c>
      <c r="D14" s="13" t="s">
        <v>155</v>
      </c>
      <c r="E14" s="69" t="s">
        <v>24</v>
      </c>
      <c r="F14" s="69" t="s">
        <v>138</v>
      </c>
      <c r="G14" s="15" t="s">
        <v>18</v>
      </c>
      <c r="H14" s="14" t="s">
        <v>139</v>
      </c>
      <c r="I14" s="14" t="s">
        <v>18</v>
      </c>
      <c r="J14" s="14" t="s">
        <v>18</v>
      </c>
      <c r="K14" s="14" t="s">
        <v>18</v>
      </c>
      <c r="L14" s="16" t="s">
        <v>157</v>
      </c>
      <c r="M14" s="28">
        <v>13</v>
      </c>
      <c r="N14" s="30">
        <v>18</v>
      </c>
      <c r="O14" s="28">
        <v>12</v>
      </c>
      <c r="P14" s="29">
        <f t="shared" si="0"/>
        <v>13</v>
      </c>
      <c r="Q14" s="11"/>
      <c r="R14" s="11"/>
      <c r="S14" s="11">
        <v>13</v>
      </c>
      <c r="T14" s="11" t="s">
        <v>86</v>
      </c>
      <c r="U14" s="11" t="s">
        <v>150</v>
      </c>
      <c r="V14" s="11" t="s">
        <v>150</v>
      </c>
    </row>
    <row r="15" spans="1:22" ht="29.25">
      <c r="A15" s="12">
        <v>14</v>
      </c>
      <c r="B15" s="14" t="s">
        <v>162</v>
      </c>
      <c r="C15" s="13" t="s">
        <v>80</v>
      </c>
      <c r="D15" s="13" t="s">
        <v>80</v>
      </c>
      <c r="E15" s="69" t="s">
        <v>86</v>
      </c>
      <c r="F15" s="69" t="s">
        <v>86</v>
      </c>
      <c r="G15" s="15" t="s">
        <v>162</v>
      </c>
      <c r="H15" s="14" t="s">
        <v>162</v>
      </c>
      <c r="I15" s="14" t="s">
        <v>162</v>
      </c>
      <c r="J15" s="14" t="s">
        <v>162</v>
      </c>
      <c r="K15" s="14" t="s">
        <v>162</v>
      </c>
      <c r="L15" s="14"/>
      <c r="M15" s="28">
        <v>14</v>
      </c>
      <c r="N15" s="28">
        <v>15</v>
      </c>
      <c r="O15" s="28">
        <v>4</v>
      </c>
      <c r="P15" s="29">
        <f t="shared" si="0"/>
        <v>14</v>
      </c>
      <c r="Q15" s="11"/>
      <c r="R15" s="11"/>
      <c r="S15" s="11">
        <v>14</v>
      </c>
      <c r="T15" s="11" t="s">
        <v>69</v>
      </c>
      <c r="U15" s="11" t="s">
        <v>162</v>
      </c>
      <c r="V15" s="11" t="s">
        <v>162</v>
      </c>
    </row>
    <row r="16" spans="1:22" ht="29.25">
      <c r="A16" s="22">
        <v>15</v>
      </c>
      <c r="B16" s="16" t="s">
        <v>174</v>
      </c>
      <c r="C16" s="23" t="s">
        <v>173</v>
      </c>
      <c r="D16" s="23" t="s">
        <v>62</v>
      </c>
      <c r="E16" s="119" t="s">
        <v>167</v>
      </c>
      <c r="F16" s="119" t="s">
        <v>69</v>
      </c>
      <c r="G16" s="25" t="s">
        <v>171</v>
      </c>
      <c r="H16" s="24" t="s">
        <v>169</v>
      </c>
      <c r="I16" s="24" t="s">
        <v>168</v>
      </c>
      <c r="J16" s="24" t="s">
        <v>169</v>
      </c>
      <c r="K16" s="24" t="s">
        <v>170</v>
      </c>
      <c r="L16" s="16" t="s">
        <v>172</v>
      </c>
      <c r="M16" s="28">
        <v>15</v>
      </c>
      <c r="N16" s="30">
        <v>20</v>
      </c>
      <c r="O16" s="28">
        <v>22</v>
      </c>
      <c r="P16" s="29">
        <f t="shared" si="0"/>
        <v>15</v>
      </c>
      <c r="Q16" s="11"/>
      <c r="R16" s="11"/>
      <c r="S16" s="11">
        <v>15</v>
      </c>
      <c r="T16" s="11" t="s">
        <v>71</v>
      </c>
      <c r="U16" s="11" t="s">
        <v>14</v>
      </c>
      <c r="V16" s="11" t="s">
        <v>116</v>
      </c>
    </row>
    <row r="17" spans="1:22" ht="29.25">
      <c r="A17" s="22">
        <v>16</v>
      </c>
      <c r="B17" s="17" t="s">
        <v>165</v>
      </c>
      <c r="C17" s="23" t="s">
        <v>133</v>
      </c>
      <c r="D17" s="23" t="s">
        <v>64</v>
      </c>
      <c r="E17" s="120" t="s">
        <v>71</v>
      </c>
      <c r="F17" s="120" t="s">
        <v>158</v>
      </c>
      <c r="G17" s="25" t="s">
        <v>189</v>
      </c>
      <c r="H17" s="24" t="s">
        <v>190</v>
      </c>
      <c r="I17" s="24" t="s">
        <v>65</v>
      </c>
      <c r="J17" s="24" t="s">
        <v>65</v>
      </c>
      <c r="K17" s="24" t="s">
        <v>65</v>
      </c>
      <c r="L17" s="16" t="s">
        <v>166</v>
      </c>
      <c r="M17" s="28">
        <v>16</v>
      </c>
      <c r="N17" s="30">
        <v>19</v>
      </c>
      <c r="O17" s="28">
        <v>6</v>
      </c>
      <c r="P17" s="29">
        <f t="shared" si="0"/>
        <v>16</v>
      </c>
      <c r="Q17" s="11"/>
      <c r="R17" s="11"/>
      <c r="S17" s="11">
        <v>16</v>
      </c>
      <c r="T17" s="11" t="s">
        <v>82</v>
      </c>
      <c r="U17" s="11" t="s">
        <v>16</v>
      </c>
      <c r="V17" s="11" t="s">
        <v>128</v>
      </c>
    </row>
    <row r="18" spans="1:22" ht="29.25">
      <c r="A18" s="22">
        <v>17</v>
      </c>
      <c r="B18" s="16" t="s">
        <v>182</v>
      </c>
      <c r="C18" s="23" t="s">
        <v>181</v>
      </c>
      <c r="D18" s="23" t="s">
        <v>77</v>
      </c>
      <c r="E18" s="119" t="s">
        <v>175</v>
      </c>
      <c r="F18" s="119" t="s">
        <v>82</v>
      </c>
      <c r="G18" s="25" t="s">
        <v>179</v>
      </c>
      <c r="H18" s="24" t="s">
        <v>177</v>
      </c>
      <c r="I18" s="24" t="s">
        <v>176</v>
      </c>
      <c r="J18" s="24" t="s">
        <v>177</v>
      </c>
      <c r="K18" s="24" t="s">
        <v>178</v>
      </c>
      <c r="L18" s="16" t="s">
        <v>180</v>
      </c>
      <c r="M18" s="28">
        <v>17</v>
      </c>
      <c r="N18" s="30">
        <v>21</v>
      </c>
      <c r="O18" s="28">
        <v>21</v>
      </c>
      <c r="P18" s="29">
        <f t="shared" si="0"/>
        <v>17</v>
      </c>
      <c r="Q18" s="11"/>
      <c r="R18" s="11"/>
      <c r="S18" s="11">
        <v>17</v>
      </c>
      <c r="T18" s="11" t="s">
        <v>92</v>
      </c>
      <c r="U18" s="11" t="s">
        <v>18</v>
      </c>
      <c r="V18" s="11" t="s">
        <v>139</v>
      </c>
    </row>
    <row r="19" spans="1:22" ht="29.25">
      <c r="A19" s="22">
        <v>18</v>
      </c>
      <c r="B19" s="16" t="s">
        <v>188</v>
      </c>
      <c r="C19" s="23" t="s">
        <v>187</v>
      </c>
      <c r="D19" s="23" t="s">
        <v>89</v>
      </c>
      <c r="E19" s="119" t="s">
        <v>183</v>
      </c>
      <c r="F19" s="119" t="s">
        <v>92</v>
      </c>
      <c r="G19" s="25" t="s">
        <v>185</v>
      </c>
      <c r="H19" s="24" t="s">
        <v>184</v>
      </c>
      <c r="I19" s="24" t="s">
        <v>184</v>
      </c>
      <c r="J19" s="24" t="s">
        <v>184</v>
      </c>
      <c r="K19" s="24" t="s">
        <v>184</v>
      </c>
      <c r="L19" s="16" t="s">
        <v>186</v>
      </c>
      <c r="M19" s="28">
        <v>18</v>
      </c>
      <c r="N19" s="28">
        <v>22</v>
      </c>
      <c r="O19" s="28">
        <v>16</v>
      </c>
      <c r="P19" s="29">
        <f t="shared" si="0"/>
        <v>18</v>
      </c>
      <c r="Q19" s="11"/>
      <c r="R19" s="11"/>
      <c r="S19" s="11">
        <v>18</v>
      </c>
      <c r="T19" s="11" t="s">
        <v>73</v>
      </c>
      <c r="U19" s="11" t="s">
        <v>622</v>
      </c>
      <c r="V19" s="11" t="s">
        <v>190</v>
      </c>
    </row>
    <row r="20" spans="1:22" ht="29.25">
      <c r="A20" s="12">
        <v>19</v>
      </c>
      <c r="B20" s="14" t="s">
        <v>132</v>
      </c>
      <c r="C20" s="13" t="s">
        <v>131</v>
      </c>
      <c r="D20" s="13" t="s">
        <v>62</v>
      </c>
      <c r="E20" s="69" t="s">
        <v>73</v>
      </c>
      <c r="F20" s="69" t="s">
        <v>73</v>
      </c>
      <c r="G20" s="15" t="s">
        <v>144</v>
      </c>
      <c r="H20" s="14" t="s">
        <v>144</v>
      </c>
      <c r="I20" s="14" t="s">
        <v>143</v>
      </c>
      <c r="J20" s="14" t="s">
        <v>144</v>
      </c>
      <c r="K20" s="14" t="s">
        <v>145</v>
      </c>
      <c r="L20" s="14"/>
      <c r="M20" s="28">
        <v>19</v>
      </c>
      <c r="N20" s="30">
        <v>8</v>
      </c>
      <c r="O20" s="28">
        <v>19</v>
      </c>
      <c r="P20" s="29">
        <f t="shared" si="0"/>
        <v>19</v>
      </c>
      <c r="Q20" s="11"/>
      <c r="R20" s="11"/>
      <c r="S20" s="11">
        <v>19</v>
      </c>
      <c r="T20" s="11" t="s">
        <v>75</v>
      </c>
      <c r="U20" s="11" t="s">
        <v>65</v>
      </c>
      <c r="V20" s="11" t="s">
        <v>169</v>
      </c>
    </row>
    <row r="21" spans="1:22" ht="29.25">
      <c r="A21" s="12">
        <v>20</v>
      </c>
      <c r="B21" s="14" t="s">
        <v>134</v>
      </c>
      <c r="C21" s="19" t="s">
        <v>133</v>
      </c>
      <c r="D21" s="18" t="s">
        <v>64</v>
      </c>
      <c r="E21" s="69" t="s">
        <v>75</v>
      </c>
      <c r="F21" s="69" t="s">
        <v>158</v>
      </c>
      <c r="G21" s="15" t="s">
        <v>159</v>
      </c>
      <c r="H21" s="14" t="s">
        <v>159</v>
      </c>
      <c r="I21" s="14" t="s">
        <v>67</v>
      </c>
      <c r="J21" s="14" t="s">
        <v>67</v>
      </c>
      <c r="K21" s="14" t="s">
        <v>67</v>
      </c>
      <c r="L21" s="14"/>
      <c r="M21" s="28">
        <v>20</v>
      </c>
      <c r="N21" s="30">
        <v>9</v>
      </c>
      <c r="O21" s="28">
        <v>5</v>
      </c>
      <c r="P21" s="29">
        <f t="shared" si="0"/>
        <v>20</v>
      </c>
      <c r="Q21" s="11"/>
      <c r="R21" s="11"/>
      <c r="S21" s="11">
        <v>20</v>
      </c>
      <c r="T21" s="11" t="s">
        <v>84</v>
      </c>
      <c r="U21" s="11" t="s">
        <v>170</v>
      </c>
      <c r="V21" s="11" t="s">
        <v>177</v>
      </c>
    </row>
    <row r="22" spans="1:22" ht="29.25">
      <c r="A22" s="12">
        <v>21</v>
      </c>
      <c r="B22" s="14" t="s">
        <v>161</v>
      </c>
      <c r="C22" s="13" t="s">
        <v>160</v>
      </c>
      <c r="D22" s="13" t="s">
        <v>77</v>
      </c>
      <c r="E22" s="69" t="s">
        <v>148</v>
      </c>
      <c r="F22" s="69" t="s">
        <v>84</v>
      </c>
      <c r="G22" s="15" t="s">
        <v>150</v>
      </c>
      <c r="H22" s="14" t="s">
        <v>150</v>
      </c>
      <c r="I22" s="14" t="s">
        <v>149</v>
      </c>
      <c r="J22" s="14" t="s">
        <v>150</v>
      </c>
      <c r="K22" s="14" t="s">
        <v>151</v>
      </c>
      <c r="L22" s="14"/>
      <c r="M22" s="28">
        <v>21</v>
      </c>
      <c r="N22" s="30">
        <v>14</v>
      </c>
      <c r="O22" s="28">
        <v>20</v>
      </c>
      <c r="P22" s="29">
        <f t="shared" si="0"/>
        <v>21</v>
      </c>
      <c r="Q22" s="11"/>
      <c r="R22" s="11"/>
      <c r="S22" s="11">
        <v>21</v>
      </c>
      <c r="T22" s="11" t="s">
        <v>94</v>
      </c>
      <c r="U22" s="11" t="s">
        <v>623</v>
      </c>
      <c r="V22" s="11" t="s">
        <v>184</v>
      </c>
    </row>
    <row r="23" spans="1:22" ht="29.25">
      <c r="A23" s="113">
        <v>22</v>
      </c>
      <c r="B23" s="98" t="s">
        <v>137</v>
      </c>
      <c r="C23" s="114" t="s">
        <v>136</v>
      </c>
      <c r="D23" s="116" t="s">
        <v>89</v>
      </c>
      <c r="E23" s="121" t="s">
        <v>154</v>
      </c>
      <c r="F23" s="121" t="s">
        <v>94</v>
      </c>
      <c r="G23" s="115" t="s">
        <v>137</v>
      </c>
      <c r="H23" s="98" t="s">
        <v>137</v>
      </c>
      <c r="I23" s="98" t="s">
        <v>137</v>
      </c>
      <c r="J23" s="98" t="s">
        <v>137</v>
      </c>
      <c r="K23" s="98" t="s">
        <v>137</v>
      </c>
      <c r="L23" s="98"/>
      <c r="M23" s="28">
        <v>22</v>
      </c>
      <c r="N23" s="30">
        <v>10</v>
      </c>
      <c r="O23" s="30">
        <v>15</v>
      </c>
      <c r="P23" s="31">
        <f t="shared" si="0"/>
        <v>22</v>
      </c>
      <c r="Q23" s="11"/>
      <c r="R23" s="11"/>
      <c r="S23" s="1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F410-D942-4137-A508-52E4711DF0D6}">
  <dimension ref="A1:BC101"/>
  <sheetViews>
    <sheetView workbookViewId="0"/>
  </sheetViews>
  <sheetFormatPr defaultRowHeight="26.25" outlineLevelCol="1"/>
  <cols>
    <col min="1" max="1" width="8.75" style="33" customWidth="1"/>
    <col min="2" max="2" width="14.375" style="33" customWidth="1"/>
    <col min="3" max="3" width="14.375" style="138" customWidth="1"/>
    <col min="4" max="5" width="14.375" customWidth="1"/>
    <col min="6" max="7" width="15.375" style="33" customWidth="1"/>
    <col min="8" max="8" width="16.75" customWidth="1"/>
    <col min="9" max="9" width="16.75" style="33" customWidth="1"/>
    <col min="10" max="10" width="16" style="33" customWidth="1"/>
    <col min="11" max="12" width="16" customWidth="1"/>
    <col min="13" max="13" width="20.75" style="33" customWidth="1"/>
    <col min="14" max="15" width="15.375" style="33" customWidth="1"/>
    <col min="18" max="18" width="15.375" style="33" customWidth="1"/>
    <col min="20" max="21" width="15.375" style="33" customWidth="1" outlineLevel="1"/>
    <col min="22" max="22" width="15.375" style="33" customWidth="1"/>
    <col min="23" max="23" width="8.75" style="33" customWidth="1"/>
    <col min="24" max="24" width="7.375" style="33" customWidth="1"/>
    <col min="25" max="26" width="15.125" style="33" customWidth="1"/>
    <col min="27" max="27" width="2.875" style="33" customWidth="1"/>
    <col min="28" max="28" width="13.75" style="34" bestFit="1" customWidth="1"/>
    <col min="29" max="29" width="9" style="35" customWidth="1" outlineLevel="1"/>
    <col min="30" max="30" width="9.25" style="35" customWidth="1" outlineLevel="1"/>
    <col min="31" max="31" width="16.75" style="34" customWidth="1"/>
    <col min="32" max="32" width="4.5" style="33" customWidth="1"/>
    <col min="33" max="33" width="51.75" style="36" customWidth="1"/>
    <col min="34" max="34" width="9" style="33"/>
    <col min="35" max="46" width="7.5" style="37" customWidth="1"/>
    <col min="47" max="52" width="19.375" style="38" bestFit="1" customWidth="1"/>
    <col min="53" max="55" width="19.875" style="38" customWidth="1"/>
    <col min="56" max="56" width="19.875" style="33" customWidth="1"/>
    <col min="57" max="16384" width="9" style="33"/>
  </cols>
  <sheetData>
    <row r="1" spans="1:55" ht="27" thickBot="1">
      <c r="D1" s="33"/>
      <c r="E1" s="33"/>
      <c r="H1" s="33"/>
      <c r="K1" s="33"/>
      <c r="L1" s="33"/>
      <c r="P1" s="33"/>
      <c r="Q1" s="33"/>
      <c r="S1" s="34"/>
      <c r="T1" s="35"/>
      <c r="U1" s="35"/>
      <c r="V1" s="34"/>
      <c r="X1" s="36"/>
      <c r="Z1" s="37"/>
      <c r="AA1" s="37"/>
      <c r="AB1" s="37"/>
      <c r="AC1" s="37"/>
      <c r="AD1" s="37"/>
      <c r="AE1" s="37"/>
      <c r="AF1" s="37"/>
      <c r="AG1" s="37"/>
      <c r="AH1" s="37"/>
      <c r="AL1" s="38"/>
      <c r="AM1" s="38"/>
      <c r="AN1" s="38"/>
      <c r="AO1" s="38"/>
      <c r="AP1" s="38"/>
      <c r="AQ1" s="38"/>
      <c r="AR1" s="38"/>
      <c r="AS1" s="38"/>
      <c r="AT1" s="38"/>
      <c r="AU1" s="33"/>
      <c r="AV1" s="33"/>
      <c r="AW1" s="33"/>
      <c r="AX1" s="33"/>
      <c r="AY1" s="33"/>
      <c r="AZ1" s="33"/>
      <c r="BA1" s="33"/>
      <c r="BB1" s="33"/>
      <c r="BC1" s="33"/>
    </row>
    <row r="2" spans="1:55" s="130" customFormat="1" ht="48.75" thickBot="1">
      <c r="A2" s="124" t="s">
        <v>192</v>
      </c>
      <c r="B2" s="125" t="s">
        <v>196</v>
      </c>
      <c r="C2" s="125" t="s">
        <v>209</v>
      </c>
      <c r="D2" s="125" t="s">
        <v>208</v>
      </c>
      <c r="E2" s="125" t="s">
        <v>210</v>
      </c>
      <c r="F2" s="126" t="s">
        <v>205</v>
      </c>
      <c r="G2" s="126" t="s">
        <v>206</v>
      </c>
      <c r="H2" s="127" t="s">
        <v>200</v>
      </c>
      <c r="I2" s="128" t="s">
        <v>202</v>
      </c>
      <c r="J2" s="128" t="s">
        <v>198</v>
      </c>
      <c r="K2" s="128" t="s">
        <v>199</v>
      </c>
      <c r="L2" s="128" t="s">
        <v>203</v>
      </c>
      <c r="M2" s="128" t="s">
        <v>211</v>
      </c>
      <c r="N2" s="128" t="s">
        <v>212</v>
      </c>
      <c r="O2" s="129"/>
      <c r="P2" s="128" t="s">
        <v>198</v>
      </c>
      <c r="Q2" s="128" t="s">
        <v>199</v>
      </c>
      <c r="S2" s="128" t="s">
        <v>198</v>
      </c>
      <c r="T2" s="131" t="s">
        <v>213</v>
      </c>
      <c r="U2" s="132" t="s">
        <v>214</v>
      </c>
      <c r="V2" s="128" t="s">
        <v>199</v>
      </c>
      <c r="X2" s="131"/>
      <c r="Z2" s="133"/>
      <c r="AA2" s="134"/>
      <c r="AB2" s="135" t="s">
        <v>215</v>
      </c>
      <c r="AC2" s="135" t="s">
        <v>216</v>
      </c>
      <c r="AD2" s="135"/>
      <c r="AE2" s="135" t="s">
        <v>217</v>
      </c>
      <c r="AF2" s="135" t="s">
        <v>218</v>
      </c>
      <c r="AG2" s="135" t="s">
        <v>219</v>
      </c>
      <c r="AH2" s="135" t="s">
        <v>220</v>
      </c>
      <c r="AI2" s="135" t="s">
        <v>221</v>
      </c>
      <c r="AJ2" s="135" t="s">
        <v>222</v>
      </c>
      <c r="AK2" s="136"/>
      <c r="AL2" s="137"/>
      <c r="AM2" s="137"/>
      <c r="AN2" s="137"/>
      <c r="AO2" s="137"/>
      <c r="AP2" s="137"/>
      <c r="AQ2" s="137"/>
      <c r="AR2" s="137"/>
      <c r="AS2" s="137"/>
      <c r="AT2" s="137"/>
    </row>
    <row r="3" spans="1:55" ht="35.25" thickBot="1">
      <c r="A3" s="40">
        <f xml:space="preserve"> ROW() - 3</f>
        <v>0</v>
      </c>
      <c r="B3" s="140" t="s">
        <v>223</v>
      </c>
      <c r="C3" s="139" t="s">
        <v>226</v>
      </c>
      <c r="D3" s="122" t="str">
        <f xml:space="preserve"> LEFT(韻母表[[#This Row],[十五音識別碼]],1)</f>
        <v>膠</v>
      </c>
      <c r="E3" s="122" t="s">
        <v>629</v>
      </c>
      <c r="F3" s="141" t="s">
        <v>743</v>
      </c>
      <c r="G3" s="141" t="s">
        <v>743</v>
      </c>
      <c r="H3" s="41" t="s">
        <v>224</v>
      </c>
      <c r="I3" s="41" t="s">
        <v>224</v>
      </c>
      <c r="J3" s="41" t="s">
        <v>224</v>
      </c>
      <c r="K3" s="41" t="s">
        <v>224</v>
      </c>
      <c r="L3" s="42" t="s">
        <v>224</v>
      </c>
      <c r="N3" s="43">
        <f t="shared" ref="N3:N34" si="0" xml:space="preserve"> LEN(K3)</f>
        <v>1</v>
      </c>
      <c r="O3" s="45"/>
      <c r="P3" s="41" t="str">
        <f t="shared" ref="P3:P17" si="1">J3</f>
        <v>a</v>
      </c>
      <c r="Q3" s="41" t="str">
        <f t="shared" ref="Q3:Q17" si="2">K3</f>
        <v>a</v>
      </c>
      <c r="S3" s="34" t="str">
        <f t="shared" ref="S3:S66" si="3" xml:space="preserve"> _xlfn.CONCAT(P3, "(\d)")</f>
        <v>a(\d)</v>
      </c>
      <c r="T3" s="35" t="s">
        <v>223</v>
      </c>
      <c r="U3" s="35">
        <f t="shared" ref="U3:U34" si="4" xml:space="preserve"> IFERROR( IF(T3="", "", SEARCH(T3, $P3)), "")</f>
        <v>1</v>
      </c>
      <c r="V3" s="34" t="str">
        <f t="shared" ref="V3:V66" si="5" xml:space="preserve"> IFERROR( _xlfn.CONCAT(LEFT(P3,U3-1), "》", MID(P3,U3,1), "${1}", RIGHT(P3, LEN(P3)-U3)), "" )</f>
        <v>》a${1}</v>
      </c>
      <c r="W3" s="44"/>
      <c r="X3" s="46" t="str">
        <f t="shared" ref="X3:X66" si="6" xml:space="preserve"> IF(AND(Q3&lt;&gt;"", P3&lt;&gt;""), "    - xform/》" &amp; S3 &amp;  "/"  &amp; V3 &amp;  "/", "")</f>
        <v xml:space="preserve">    - xform/》a(\d)/》a${1}/</v>
      </c>
      <c r="Z3" s="37" t="s">
        <v>223</v>
      </c>
      <c r="AA3" s="47" t="str">
        <f t="shared" ref="AA3:AJ4" si="7" xml:space="preserve"> _xlfn.CONCAT($Z3, IF(AA$2="", "", _xlfn.UNICHAR( HEX2DEC( RIGHT(AA$2,4)))))</f>
        <v>a</v>
      </c>
      <c r="AB3" s="47" t="str">
        <f t="shared" si="7"/>
        <v>á</v>
      </c>
      <c r="AC3" s="47" t="str">
        <f t="shared" si="7"/>
        <v>à</v>
      </c>
      <c r="AD3" s="47" t="str">
        <f t="shared" si="7"/>
        <v>a</v>
      </c>
      <c r="AE3" s="47" t="str">
        <f t="shared" si="7"/>
        <v>ǎ</v>
      </c>
      <c r="AF3" s="47" t="str">
        <f t="shared" si="7"/>
        <v>á</v>
      </c>
      <c r="AG3" s="47" t="str">
        <f t="shared" si="7"/>
        <v>ā</v>
      </c>
      <c r="AH3" s="47" t="str">
        <f t="shared" si="7"/>
        <v>a̍</v>
      </c>
      <c r="AI3" s="47" t="str">
        <f t="shared" si="7"/>
        <v>a̋</v>
      </c>
      <c r="AJ3" s="47" t="str">
        <f t="shared" si="7"/>
        <v>å</v>
      </c>
      <c r="AL3" s="48" t="str">
        <f xml:space="preserve"> _xlfn.CONCAT("    - xform/》", $Z3, [5]【調】韻母標調!AJ$1, "/", AA3, "/")</f>
        <v xml:space="preserve">    - xform/》a1/a/</v>
      </c>
      <c r="AM3" s="48" t="str">
        <f xml:space="preserve"> _xlfn.CONCAT("    - xform/》", $Z3, [5]【調】韻母標調!AK$1, "/", AB3, "/")</f>
        <v xml:space="preserve">    - xform/》a2/á/</v>
      </c>
      <c r="AN3" s="48" t="str">
        <f xml:space="preserve"> _xlfn.CONCAT("    - xform/》", $Z3, [5]【調】韻母標調!AL$1, "/", AC3, "/")</f>
        <v xml:space="preserve">    - xform/》a3/à/</v>
      </c>
      <c r="AO3" s="48" t="str">
        <f xml:space="preserve"> _xlfn.CONCAT("    - xform/》", $Z3, [5]【調】韻母標調!AM$1, "/", AD3, "/")</f>
        <v xml:space="preserve">    - xform/》a4/a/</v>
      </c>
      <c r="AP3" s="48" t="str">
        <f xml:space="preserve"> _xlfn.CONCAT("    - xform/》", $Z3, [5]【調】韻母標調!AN$1, "/", AE3, "/")</f>
        <v xml:space="preserve">    - xform/》a5/ǎ/</v>
      </c>
      <c r="AQ3" s="48" t="str">
        <f xml:space="preserve"> _xlfn.CONCAT("    - xform/》", $Z3, [5]【調】韻母標調!AO$1, "/", AF3, "/")</f>
        <v xml:space="preserve">    - xform/》a6/á/</v>
      </c>
      <c r="AR3" s="48" t="str">
        <f xml:space="preserve"> _xlfn.CONCAT("    - xform/》", $Z3, [5]【調】韻母標調!AP$1, "/", AG3, "/")</f>
        <v xml:space="preserve">    - xform/》a7/ā/</v>
      </c>
      <c r="AS3" s="48" t="str">
        <f xml:space="preserve"> _xlfn.CONCAT("    - xform/》", $Z3, [5]【調】韻母標調!AQ$1, "/", AH3, "/")</f>
        <v xml:space="preserve">    - xform/》a8/a̍/</v>
      </c>
      <c r="AT3" s="48" t="str">
        <f xml:space="preserve"> _xlfn.CONCAT("    - xform/》", $Z3, [5]【調】韻母標調!AR$1, "/", AI3, "/")</f>
        <v xml:space="preserve">    - xform/》a9/a̋/</v>
      </c>
      <c r="AU3" s="48" t="str">
        <f xml:space="preserve"> _xlfn.CONCAT("    - xform/》", $Z3, [5]【調】韻母標調!AS$1, "/", AJ3, "/")</f>
        <v xml:space="preserve">    - xform/》a9/å/</v>
      </c>
      <c r="AV3" s="47"/>
      <c r="AW3" s="47"/>
      <c r="AX3" s="37"/>
      <c r="AY3" s="33"/>
      <c r="AZ3" s="33"/>
      <c r="BA3" s="33"/>
      <c r="BB3" s="33"/>
      <c r="BC3" s="33"/>
    </row>
    <row r="4" spans="1:55" ht="35.25" thickBot="1">
      <c r="A4" s="40">
        <f t="shared" ref="A4:A88" si="8" xml:space="preserve"> ROW() - 3</f>
        <v>1</v>
      </c>
      <c r="B4" s="140" t="s">
        <v>227</v>
      </c>
      <c r="C4" s="139" t="s">
        <v>230</v>
      </c>
      <c r="D4" s="122" t="str">
        <f xml:space="preserve"> LEFT(韻母表[[#This Row],[十五音識別碼]],1)</f>
        <v>膠</v>
      </c>
      <c r="E4" s="122" t="s">
        <v>630</v>
      </c>
      <c r="F4" s="141" t="s">
        <v>744</v>
      </c>
      <c r="G4" s="141" t="s">
        <v>745</v>
      </c>
      <c r="H4" s="41" t="s">
        <v>228</v>
      </c>
      <c r="I4" s="41" t="s">
        <v>228</v>
      </c>
      <c r="J4" s="41" t="s">
        <v>228</v>
      </c>
      <c r="K4" s="41" t="s">
        <v>228</v>
      </c>
      <c r="L4" s="42" t="s">
        <v>228</v>
      </c>
      <c r="M4" s="41"/>
      <c r="N4" s="43">
        <f t="shared" si="0"/>
        <v>2</v>
      </c>
      <c r="O4" s="45"/>
      <c r="P4" s="41" t="str">
        <f t="shared" si="1"/>
        <v>ah</v>
      </c>
      <c r="Q4" s="41" t="str">
        <f t="shared" si="2"/>
        <v>ah</v>
      </c>
      <c r="S4" s="34" t="str">
        <f t="shared" si="3"/>
        <v>ah(\d)</v>
      </c>
      <c r="T4" s="35" t="s">
        <v>223</v>
      </c>
      <c r="U4" s="35">
        <f t="shared" si="4"/>
        <v>1</v>
      </c>
      <c r="V4" s="34" t="str">
        <f t="shared" si="5"/>
        <v>》a${1}h</v>
      </c>
      <c r="W4" s="44"/>
      <c r="X4" s="46" t="str">
        <f t="shared" si="6"/>
        <v xml:space="preserve">    - xform/》ah(\d)/》a${1}h/</v>
      </c>
      <c r="Z4" s="37" t="s">
        <v>231</v>
      </c>
      <c r="AA4" s="47" t="str">
        <f t="shared" si="7"/>
        <v>u</v>
      </c>
      <c r="AB4" s="47" t="str">
        <f t="shared" si="7"/>
        <v>ú</v>
      </c>
      <c r="AC4" s="47" t="str">
        <f t="shared" si="7"/>
        <v>ù</v>
      </c>
      <c r="AD4" s="47" t="str">
        <f t="shared" si="7"/>
        <v>u</v>
      </c>
      <c r="AE4" s="47" t="str">
        <f t="shared" si="7"/>
        <v>ǔ</v>
      </c>
      <c r="AF4" s="47" t="str">
        <f t="shared" si="7"/>
        <v>ú</v>
      </c>
      <c r="AG4" s="47" t="str">
        <f t="shared" si="7"/>
        <v>ū</v>
      </c>
      <c r="AH4" s="47" t="str">
        <f t="shared" si="7"/>
        <v>u̍</v>
      </c>
      <c r="AI4" s="47" t="str">
        <f t="shared" si="7"/>
        <v>ű</v>
      </c>
      <c r="AJ4" s="47" t="str">
        <f t="shared" si="7"/>
        <v>ů</v>
      </c>
      <c r="AL4" s="48" t="str">
        <f xml:space="preserve"> _xlfn.CONCAT("    - xform/》", $Z4, [5]【調】韻母標調!AJ$1, "/", AA4, "/")</f>
        <v xml:space="preserve">    - xform/》u1/u/</v>
      </c>
      <c r="AM4" s="48" t="str">
        <f xml:space="preserve"> _xlfn.CONCAT("    - xform/》", $Z4, [5]【調】韻母標調!AK$1, "/", AB4, "/")</f>
        <v xml:space="preserve">    - xform/》u2/ú/</v>
      </c>
      <c r="AN4" s="48" t="str">
        <f xml:space="preserve"> _xlfn.CONCAT("    - xform/》", $Z4, [5]【調】韻母標調!AL$1, "/", AC4, "/")</f>
        <v xml:space="preserve">    - xform/》u3/ù/</v>
      </c>
      <c r="AO4" s="48" t="str">
        <f xml:space="preserve"> _xlfn.CONCAT("    - xform/》", $Z4, [5]【調】韻母標調!AM$1, "/", AD4, "/")</f>
        <v xml:space="preserve">    - xform/》u4/u/</v>
      </c>
      <c r="AP4" s="48" t="str">
        <f xml:space="preserve"> _xlfn.CONCAT("    - xform/》", $Z4, [5]【調】韻母標調!AN$1, "/", AE4, "/")</f>
        <v xml:space="preserve">    - xform/》u5/ǔ/</v>
      </c>
      <c r="AQ4" s="48" t="str">
        <f xml:space="preserve"> _xlfn.CONCAT("    - xform/》", $Z4, [5]【調】韻母標調!AO$1, "/", AF4, "/")</f>
        <v xml:space="preserve">    - xform/》u6/ú/</v>
      </c>
      <c r="AR4" s="48" t="str">
        <f xml:space="preserve"> _xlfn.CONCAT("    - xform/》", $Z4, [5]【調】韻母標調!AP$1, "/", AG4, "/")</f>
        <v xml:space="preserve">    - xform/》u7/ū/</v>
      </c>
      <c r="AS4" s="48" t="str">
        <f xml:space="preserve"> _xlfn.CONCAT("    - xform/》", $Z4, [5]【調】韻母標調!AQ$1, "/", AH4, "/")</f>
        <v xml:space="preserve">    - xform/》u8/u̍/</v>
      </c>
      <c r="AT4" s="48" t="str">
        <f xml:space="preserve"> _xlfn.CONCAT("    - xform/》", $Z4, [5]【調】韻母標調!AR$1, "/", AI4, "/")</f>
        <v xml:space="preserve">    - xform/》u9/ű/</v>
      </c>
      <c r="AU4" s="48" t="str">
        <f xml:space="preserve"> _xlfn.CONCAT("    - xform/》", $Z4, [5]【調】韻母標調!AS$1, "/", AJ4, "/")</f>
        <v xml:space="preserve">    - xform/》u9/ů/</v>
      </c>
      <c r="AV4" s="47"/>
      <c r="AW4" s="47"/>
      <c r="AX4" s="37"/>
      <c r="AY4" s="33"/>
      <c r="AZ4" s="33"/>
      <c r="BA4" s="33"/>
      <c r="BB4" s="33"/>
      <c r="BC4" s="33"/>
    </row>
    <row r="5" spans="1:55" ht="35.25" thickBot="1">
      <c r="A5" s="40">
        <f t="shared" si="8"/>
        <v>2</v>
      </c>
      <c r="B5" s="140" t="s">
        <v>712</v>
      </c>
      <c r="C5" s="139" t="s">
        <v>234</v>
      </c>
      <c r="D5" s="122" t="str">
        <f xml:space="preserve"> LEFT(韻母表[[#This Row],[十五音識別碼]],1)</f>
        <v>皆</v>
      </c>
      <c r="E5" s="122" t="s">
        <v>631</v>
      </c>
      <c r="F5" s="141" t="s">
        <v>746</v>
      </c>
      <c r="G5" s="141" t="s">
        <v>746</v>
      </c>
      <c r="H5" s="41" t="s">
        <v>232</v>
      </c>
      <c r="I5" s="41" t="s">
        <v>232</v>
      </c>
      <c r="J5" s="41" t="s">
        <v>232</v>
      </c>
      <c r="K5" s="41" t="s">
        <v>232</v>
      </c>
      <c r="L5" s="42" t="s">
        <v>232</v>
      </c>
      <c r="M5" s="41"/>
      <c r="N5" s="43">
        <f t="shared" si="0"/>
        <v>2</v>
      </c>
      <c r="O5" s="45"/>
      <c r="P5" s="41" t="str">
        <f t="shared" si="1"/>
        <v>ai</v>
      </c>
      <c r="Q5" s="41" t="str">
        <f t="shared" si="2"/>
        <v>ai</v>
      </c>
      <c r="S5" s="34" t="str">
        <f t="shared" si="3"/>
        <v>ai(\d)</v>
      </c>
      <c r="T5" s="35" t="s">
        <v>235</v>
      </c>
      <c r="U5" s="35" t="str">
        <f t="shared" si="4"/>
        <v/>
      </c>
      <c r="V5" s="34" t="str">
        <f t="shared" si="5"/>
        <v/>
      </c>
      <c r="W5" s="44"/>
      <c r="X5" s="46" t="str">
        <f t="shared" si="6"/>
        <v xml:space="preserve">    - xform/》ai(\d)//</v>
      </c>
      <c r="Z5" s="37"/>
      <c r="AA5" s="37"/>
      <c r="AB5" s="37"/>
      <c r="AC5" s="37"/>
      <c r="AD5" s="37"/>
      <c r="AE5" s="37"/>
      <c r="AF5" s="37"/>
      <c r="AG5" s="37"/>
      <c r="AH5" s="37"/>
      <c r="AL5" s="38"/>
      <c r="AM5" s="38"/>
      <c r="AN5" s="38"/>
      <c r="AO5" s="38"/>
      <c r="AP5" s="38"/>
      <c r="AQ5" s="38"/>
      <c r="AR5" s="38"/>
      <c r="AS5" s="38"/>
      <c r="AT5" s="38"/>
      <c r="AU5" s="33"/>
      <c r="AV5" s="33"/>
      <c r="AW5" s="33"/>
      <c r="AX5" s="33"/>
      <c r="AY5" s="33"/>
      <c r="AZ5" s="33"/>
      <c r="BA5" s="33"/>
      <c r="BB5" s="33"/>
      <c r="BC5" s="33"/>
    </row>
    <row r="6" spans="1:55" ht="35.25" thickBot="1">
      <c r="A6" s="40">
        <f t="shared" si="8"/>
        <v>3</v>
      </c>
      <c r="B6" s="140" t="s">
        <v>713</v>
      </c>
      <c r="C6" s="139" t="s">
        <v>239</v>
      </c>
      <c r="D6" s="122" t="str">
        <f xml:space="preserve"> LEFT(韻母表[[#This Row],[十五音識別碼]],1)</f>
        <v>皆</v>
      </c>
      <c r="E6" s="122" t="s">
        <v>632</v>
      </c>
      <c r="F6" s="142" t="s">
        <v>747</v>
      </c>
      <c r="G6" s="142" t="s">
        <v>238</v>
      </c>
      <c r="H6" s="49" t="s">
        <v>237</v>
      </c>
      <c r="I6" s="49" t="s">
        <v>237</v>
      </c>
      <c r="J6" s="50" t="s">
        <v>237</v>
      </c>
      <c r="K6" s="49" t="s">
        <v>237</v>
      </c>
      <c r="L6" s="49" t="s">
        <v>236</v>
      </c>
      <c r="M6" s="41"/>
      <c r="N6" s="43">
        <f t="shared" si="0"/>
        <v>3</v>
      </c>
      <c r="O6" s="45"/>
      <c r="P6" s="41" t="str">
        <f t="shared" si="1"/>
        <v>aih</v>
      </c>
      <c r="Q6" s="41" t="str">
        <f t="shared" si="2"/>
        <v>aih</v>
      </c>
      <c r="S6" s="34" t="str">
        <f t="shared" si="3"/>
        <v>aih(\d)</v>
      </c>
      <c r="T6" s="35" t="s">
        <v>223</v>
      </c>
      <c r="U6" s="35">
        <f t="shared" si="4"/>
        <v>1</v>
      </c>
      <c r="V6" s="34" t="str">
        <f t="shared" si="5"/>
        <v>》a${1}ih</v>
      </c>
      <c r="W6" s="44"/>
      <c r="X6" s="46" t="str">
        <f t="shared" si="6"/>
        <v xml:space="preserve">    - xform/》aih(\d)/》a${1}ih/</v>
      </c>
      <c r="Z6" s="37"/>
      <c r="AA6" s="37"/>
      <c r="AB6" s="37"/>
      <c r="AC6" s="37"/>
      <c r="AD6" s="37"/>
      <c r="AE6" s="37"/>
      <c r="AF6" s="37"/>
      <c r="AG6" s="37"/>
      <c r="AH6" s="37"/>
      <c r="AL6" s="38"/>
      <c r="AM6" s="38"/>
      <c r="AN6" s="38"/>
      <c r="AO6" s="38"/>
      <c r="AP6" s="38"/>
      <c r="AQ6" s="38"/>
      <c r="AR6" s="38"/>
      <c r="AS6" s="38"/>
      <c r="AT6" s="38"/>
      <c r="AU6" s="33"/>
      <c r="AV6" s="33"/>
      <c r="AW6" s="33"/>
      <c r="AX6" s="33"/>
      <c r="AY6" s="33"/>
      <c r="AZ6" s="33"/>
      <c r="BA6" s="33"/>
      <c r="BB6" s="33"/>
      <c r="BC6" s="33"/>
    </row>
    <row r="7" spans="1:55" ht="35.25" thickBot="1">
      <c r="A7" s="40">
        <f t="shared" si="8"/>
        <v>4</v>
      </c>
      <c r="B7" s="140" t="s">
        <v>714</v>
      </c>
      <c r="C7" s="139" t="s">
        <v>244</v>
      </c>
      <c r="D7" s="122" t="str">
        <f xml:space="preserve"> LEFT(韻母表[[#This Row],[十五音識別碼]],1)</f>
        <v>閒</v>
      </c>
      <c r="E7" s="122" t="s">
        <v>633</v>
      </c>
      <c r="F7" s="141" t="s">
        <v>243</v>
      </c>
      <c r="G7" s="141" t="s">
        <v>748</v>
      </c>
      <c r="H7" s="41" t="s">
        <v>240</v>
      </c>
      <c r="I7" s="41" t="s">
        <v>241</v>
      </c>
      <c r="J7" s="41" t="s">
        <v>240</v>
      </c>
      <c r="K7" s="41" t="s">
        <v>240</v>
      </c>
      <c r="L7" s="42" t="s">
        <v>242</v>
      </c>
      <c r="M7" s="51" t="s">
        <v>245</v>
      </c>
      <c r="N7" s="43">
        <f t="shared" si="0"/>
        <v>4</v>
      </c>
      <c r="O7" s="45"/>
      <c r="P7" s="41" t="str">
        <f t="shared" si="1"/>
        <v>ainn</v>
      </c>
      <c r="Q7" s="41" t="str">
        <f t="shared" si="2"/>
        <v>ainn</v>
      </c>
      <c r="S7" s="34" t="str">
        <f t="shared" si="3"/>
        <v>ainn(\d)</v>
      </c>
      <c r="T7" s="35" t="s">
        <v>223</v>
      </c>
      <c r="U7" s="35">
        <f t="shared" si="4"/>
        <v>1</v>
      </c>
      <c r="V7" s="34" t="str">
        <f t="shared" si="5"/>
        <v>》a${1}inn</v>
      </c>
      <c r="W7" s="44"/>
      <c r="X7" s="46" t="str">
        <f t="shared" si="6"/>
        <v xml:space="preserve">    - xform/》ainn(\d)/》a${1}inn/</v>
      </c>
      <c r="Z7" s="37"/>
      <c r="AA7" s="37"/>
      <c r="AB7" s="37"/>
      <c r="AC7" s="37"/>
      <c r="AD7" s="37"/>
      <c r="AE7" s="37"/>
      <c r="AF7" s="37"/>
      <c r="AG7" s="37"/>
      <c r="AH7" s="37"/>
      <c r="AL7" s="38"/>
      <c r="AM7" s="38"/>
      <c r="AN7" s="38"/>
      <c r="AO7" s="38"/>
      <c r="AP7" s="38"/>
      <c r="AQ7" s="38"/>
      <c r="AR7" s="38"/>
      <c r="AS7" s="38"/>
      <c r="AT7" s="38"/>
      <c r="AU7" s="33"/>
      <c r="AV7" s="33"/>
      <c r="AW7" s="33"/>
      <c r="AX7" s="33"/>
      <c r="AY7" s="33"/>
      <c r="AZ7" s="33"/>
      <c r="BA7" s="33"/>
      <c r="BB7" s="33"/>
      <c r="BC7" s="33"/>
    </row>
    <row r="8" spans="1:55" ht="35.25" thickBot="1">
      <c r="A8" s="40">
        <f t="shared" si="8"/>
        <v>5</v>
      </c>
      <c r="B8" s="140" t="str">
        <f>_xlfn.CONCAT("a","k",_xlfn.UNICHAR(794))</f>
        <v>ak̚</v>
      </c>
      <c r="C8" s="139" t="s">
        <v>247</v>
      </c>
      <c r="D8" s="122" t="str">
        <f xml:space="preserve"> LEFT(韻母表[[#This Row],[十五音識別碼]],1)</f>
        <v>江</v>
      </c>
      <c r="E8" s="122" t="s">
        <v>634</v>
      </c>
      <c r="F8" s="141" t="s">
        <v>749</v>
      </c>
      <c r="G8" s="141" t="s">
        <v>750</v>
      </c>
      <c r="H8" s="41" t="s">
        <v>246</v>
      </c>
      <c r="I8" s="41" t="s">
        <v>246</v>
      </c>
      <c r="J8" s="52" t="s">
        <v>246</v>
      </c>
      <c r="K8" s="41" t="s">
        <v>246</v>
      </c>
      <c r="L8" s="42" t="s">
        <v>246</v>
      </c>
      <c r="M8" s="41"/>
      <c r="N8" s="43">
        <f t="shared" si="0"/>
        <v>2</v>
      </c>
      <c r="O8" s="45"/>
      <c r="P8" s="41" t="str">
        <f t="shared" si="1"/>
        <v>ak</v>
      </c>
      <c r="Q8" s="41" t="str">
        <f t="shared" si="2"/>
        <v>ak</v>
      </c>
      <c r="S8" s="34" t="str">
        <f t="shared" si="3"/>
        <v>ak(\d)</v>
      </c>
      <c r="T8" s="35" t="s">
        <v>249</v>
      </c>
      <c r="U8" s="35" t="str">
        <f t="shared" si="4"/>
        <v/>
      </c>
      <c r="V8" s="34" t="str">
        <f t="shared" si="5"/>
        <v/>
      </c>
      <c r="W8" s="44"/>
      <c r="X8" s="46" t="str">
        <f t="shared" si="6"/>
        <v xml:space="preserve">    - xform/》ak(\d)//</v>
      </c>
      <c r="Z8" s="37"/>
      <c r="AA8" s="37"/>
      <c r="AB8" s="37"/>
      <c r="AC8" s="37"/>
      <c r="AD8" s="37"/>
      <c r="AE8" s="37"/>
      <c r="AF8" s="37"/>
      <c r="AG8" s="37"/>
      <c r="AH8" s="37"/>
      <c r="AL8" s="38"/>
      <c r="AM8" s="38"/>
      <c r="AN8" s="38"/>
      <c r="AO8" s="38"/>
      <c r="AP8" s="38"/>
      <c r="AQ8" s="38"/>
      <c r="AR8" s="38"/>
      <c r="AS8" s="38"/>
      <c r="AT8" s="38"/>
      <c r="AU8" s="33"/>
      <c r="AV8" s="33"/>
      <c r="AW8" s="33"/>
      <c r="AX8" s="33"/>
      <c r="AY8" s="33"/>
      <c r="AZ8" s="33"/>
      <c r="BA8" s="33"/>
      <c r="BB8" s="33"/>
      <c r="BC8" s="33"/>
    </row>
    <row r="9" spans="1:55" ht="35.25" thickBot="1">
      <c r="A9" s="40">
        <f t="shared" si="8"/>
        <v>6</v>
      </c>
      <c r="B9" s="140" t="s">
        <v>250</v>
      </c>
      <c r="C9" s="139" t="s">
        <v>253</v>
      </c>
      <c r="D9" s="122" t="str">
        <f xml:space="preserve"> LEFT(韻母表[[#This Row],[十五音識別碼]],1)</f>
        <v>甘</v>
      </c>
      <c r="E9" s="122" t="s">
        <v>635</v>
      </c>
      <c r="F9" s="141" t="s">
        <v>252</v>
      </c>
      <c r="G9" s="141" t="s">
        <v>751</v>
      </c>
      <c r="H9" s="41" t="s">
        <v>251</v>
      </c>
      <c r="I9" s="41" t="s">
        <v>251</v>
      </c>
      <c r="J9" s="41" t="s">
        <v>251</v>
      </c>
      <c r="K9" s="41" t="s">
        <v>251</v>
      </c>
      <c r="L9" s="42" t="s">
        <v>251</v>
      </c>
      <c r="M9" s="41"/>
      <c r="N9" s="43">
        <f t="shared" si="0"/>
        <v>2</v>
      </c>
      <c r="O9" s="45"/>
      <c r="P9" s="41" t="str">
        <f t="shared" si="1"/>
        <v>am</v>
      </c>
      <c r="Q9" s="41" t="str">
        <f t="shared" si="2"/>
        <v>am</v>
      </c>
      <c r="S9" s="34" t="str">
        <f t="shared" si="3"/>
        <v>am(\d)</v>
      </c>
      <c r="T9" s="35" t="s">
        <v>223</v>
      </c>
      <c r="U9" s="35">
        <f t="shared" si="4"/>
        <v>1</v>
      </c>
      <c r="V9" s="34" t="str">
        <f t="shared" si="5"/>
        <v>》a${1}m</v>
      </c>
      <c r="W9" s="44"/>
      <c r="X9" s="46" t="str">
        <f t="shared" si="6"/>
        <v xml:space="preserve">    - xform/》am(\d)/》a${1}m/</v>
      </c>
      <c r="Z9" s="37" t="s">
        <v>235</v>
      </c>
      <c r="AA9" s="47" t="str">
        <f t="shared" ref="AA9:AJ13" si="9" xml:space="preserve"> _xlfn.CONCAT($Z9, IF(AA$2="", "", _xlfn.UNICHAR( HEX2DEC( RIGHT(AA$2,4)))))</f>
        <v>o</v>
      </c>
      <c r="AB9" s="47" t="str">
        <f t="shared" si="9"/>
        <v>ó</v>
      </c>
      <c r="AC9" s="47" t="str">
        <f t="shared" si="9"/>
        <v>ò</v>
      </c>
      <c r="AD9" s="47" t="str">
        <f t="shared" si="9"/>
        <v>o</v>
      </c>
      <c r="AE9" s="47" t="str">
        <f t="shared" si="9"/>
        <v>ǒ</v>
      </c>
      <c r="AF9" s="47" t="str">
        <f t="shared" si="9"/>
        <v>ó</v>
      </c>
      <c r="AG9" s="47" t="str">
        <f t="shared" si="9"/>
        <v>ō</v>
      </c>
      <c r="AH9" s="47" t="str">
        <f t="shared" si="9"/>
        <v>o̍</v>
      </c>
      <c r="AI9" s="47" t="str">
        <f t="shared" si="9"/>
        <v>ő</v>
      </c>
      <c r="AJ9" s="47" t="str">
        <f t="shared" si="9"/>
        <v>o̊</v>
      </c>
      <c r="AL9" s="48" t="str">
        <f xml:space="preserve"> _xlfn.CONCAT("    - xform/》", $Z9, [5]【調】韻母標調!AJ$1, "/", AA9, "/")</f>
        <v xml:space="preserve">    - xform/》o1/o/</v>
      </c>
      <c r="AM9" s="48" t="str">
        <f xml:space="preserve"> _xlfn.CONCAT("    - xform/》", $Z9, [5]【調】韻母標調!AK$1, "/", AB9, "/")</f>
        <v xml:space="preserve">    - xform/》o2/ó/</v>
      </c>
      <c r="AN9" s="48" t="str">
        <f xml:space="preserve"> _xlfn.CONCAT("    - xform/》", $Z9, [5]【調】韻母標調!AL$1, "/", AC9, "/")</f>
        <v xml:space="preserve">    - xform/》o3/ò/</v>
      </c>
      <c r="AO9" s="48" t="str">
        <f xml:space="preserve"> _xlfn.CONCAT("    - xform/》", $Z9, [5]【調】韻母標調!AM$1, "/", AD9, "/")</f>
        <v xml:space="preserve">    - xform/》o4/o/</v>
      </c>
      <c r="AP9" s="48" t="str">
        <f xml:space="preserve"> _xlfn.CONCAT("    - xform/》", $Z9, [5]【調】韻母標調!AN$1, "/", AE9, "/")</f>
        <v xml:space="preserve">    - xform/》o5/ǒ/</v>
      </c>
      <c r="AQ9" s="48" t="str">
        <f xml:space="preserve"> _xlfn.CONCAT("    - xform/》", $Z9, [5]【調】韻母標調!AO$1, "/", AF9, "/")</f>
        <v xml:space="preserve">    - xform/》o6/ó/</v>
      </c>
      <c r="AR9" s="48" t="str">
        <f xml:space="preserve"> _xlfn.CONCAT("    - xform/》", $Z9, [5]【調】韻母標調!AP$1, "/", AG9, "/")</f>
        <v xml:space="preserve">    - xform/》o7/ō/</v>
      </c>
      <c r="AS9" s="48" t="str">
        <f xml:space="preserve"> _xlfn.CONCAT("    - xform/》", $Z9, [5]【調】韻母標調!AQ$1, "/", AH9, "/")</f>
        <v xml:space="preserve">    - xform/》o8/o̍/</v>
      </c>
      <c r="AT9" s="48" t="str">
        <f xml:space="preserve"> _xlfn.CONCAT("    - xform/》", $Z9, [5]【調】韻母標調!AR$1, "/", AI9, "/")</f>
        <v xml:space="preserve">    - xform/》o9/ő/</v>
      </c>
      <c r="AU9" s="48" t="str">
        <f xml:space="preserve"> _xlfn.CONCAT("    - xform/》", $Z9, [5]【調】韻母標調!AS$1, "/", AJ9, "/")</f>
        <v xml:space="preserve">    - xform/》o9/o̊/</v>
      </c>
      <c r="AV9" s="47"/>
      <c r="AW9" s="47"/>
      <c r="AX9" s="37"/>
      <c r="AY9" s="33"/>
      <c r="AZ9" s="33"/>
      <c r="BA9" s="33"/>
      <c r="BB9" s="33"/>
      <c r="BC9" s="33"/>
    </row>
    <row r="10" spans="1:55" ht="35.25" thickBot="1">
      <c r="A10" s="40">
        <f t="shared" si="8"/>
        <v>7</v>
      </c>
      <c r="B10" s="140" t="s">
        <v>254</v>
      </c>
      <c r="C10" s="139" t="s">
        <v>257</v>
      </c>
      <c r="D10" s="122" t="str">
        <f xml:space="preserve"> LEFT(韻母表[[#This Row],[十五音識別碼]],1)</f>
        <v>干</v>
      </c>
      <c r="E10" s="122" t="s">
        <v>636</v>
      </c>
      <c r="F10" s="141" t="s">
        <v>752</v>
      </c>
      <c r="G10" s="141" t="s">
        <v>752</v>
      </c>
      <c r="H10" s="41" t="s">
        <v>255</v>
      </c>
      <c r="I10" s="41" t="s">
        <v>255</v>
      </c>
      <c r="J10" s="41" t="s">
        <v>255</v>
      </c>
      <c r="K10" s="41" t="s">
        <v>255</v>
      </c>
      <c r="L10" s="42" t="s">
        <v>255</v>
      </c>
      <c r="M10" s="41"/>
      <c r="N10" s="43">
        <f t="shared" si="0"/>
        <v>2</v>
      </c>
      <c r="O10" s="45"/>
      <c r="P10" s="41" t="str">
        <f t="shared" si="1"/>
        <v>an</v>
      </c>
      <c r="Q10" s="41" t="str">
        <f t="shared" si="2"/>
        <v>an</v>
      </c>
      <c r="S10" s="34" t="str">
        <f t="shared" si="3"/>
        <v>an(\d)</v>
      </c>
      <c r="T10" s="35" t="s">
        <v>223</v>
      </c>
      <c r="U10" s="35">
        <f t="shared" si="4"/>
        <v>1</v>
      </c>
      <c r="V10" s="34" t="str">
        <f t="shared" si="5"/>
        <v>》a${1}n</v>
      </c>
      <c r="W10" s="44"/>
      <c r="X10" s="46" t="str">
        <f t="shared" si="6"/>
        <v xml:space="preserve">    - xform/》an(\d)/》a${1}n/</v>
      </c>
      <c r="Z10" s="37" t="s">
        <v>193</v>
      </c>
      <c r="AA10" s="47" t="str">
        <f t="shared" si="9"/>
        <v>m</v>
      </c>
      <c r="AB10" s="47" t="str">
        <f t="shared" si="9"/>
        <v>ḿ</v>
      </c>
      <c r="AC10" s="47" t="str">
        <f t="shared" si="9"/>
        <v>m̀</v>
      </c>
      <c r="AD10" s="47" t="str">
        <f t="shared" si="9"/>
        <v>m</v>
      </c>
      <c r="AE10" s="47" t="str">
        <f t="shared" si="9"/>
        <v>m̌</v>
      </c>
      <c r="AF10" s="47" t="str">
        <f t="shared" si="9"/>
        <v>ḿ</v>
      </c>
      <c r="AG10" s="47" t="str">
        <f t="shared" si="9"/>
        <v>m̄</v>
      </c>
      <c r="AH10" s="47" t="str">
        <f t="shared" si="9"/>
        <v>m̍</v>
      </c>
      <c r="AI10" s="47" t="str">
        <f t="shared" si="9"/>
        <v>m̋</v>
      </c>
      <c r="AJ10" s="47" t="str">
        <f t="shared" si="9"/>
        <v>m̊</v>
      </c>
      <c r="AL10" s="48" t="str">
        <f xml:space="preserve"> _xlfn.CONCAT("    - xform/》", $Z10, [5]【調】韻母標調!AJ$1, "/", AA10, "/")</f>
        <v xml:space="preserve">    - xform/》m1/m/</v>
      </c>
      <c r="AM10" s="48" t="str">
        <f xml:space="preserve"> _xlfn.CONCAT("    - xform/》", $Z10, [5]【調】韻母標調!AK$1, "/", AB10, "/")</f>
        <v xml:space="preserve">    - xform/》m2/ḿ/</v>
      </c>
      <c r="AN10" s="48" t="str">
        <f xml:space="preserve"> _xlfn.CONCAT("    - xform/》", $Z10, [5]【調】韻母標調!AL$1, "/", AC10, "/")</f>
        <v xml:space="preserve">    - xform/》m3/m̀/</v>
      </c>
      <c r="AO10" s="48" t="str">
        <f xml:space="preserve"> _xlfn.CONCAT("    - xform/》", $Z10, [5]【調】韻母標調!AM$1, "/", AD10, "/")</f>
        <v xml:space="preserve">    - xform/》m4/m/</v>
      </c>
      <c r="AP10" s="48" t="str">
        <f xml:space="preserve"> _xlfn.CONCAT("    - xform/》", $Z10, [5]【調】韻母標調!AN$1, "/", AE10, "/")</f>
        <v xml:space="preserve">    - xform/》m5/m̌/</v>
      </c>
      <c r="AQ10" s="48" t="str">
        <f xml:space="preserve"> _xlfn.CONCAT("    - xform/》", $Z10, [5]【調】韻母標調!AO$1, "/", AF10, "/")</f>
        <v xml:space="preserve">    - xform/》m6/ḿ/</v>
      </c>
      <c r="AR10" s="48" t="str">
        <f xml:space="preserve"> _xlfn.CONCAT("    - xform/》", $Z10, [5]【調】韻母標調!AP$1, "/", AG10, "/")</f>
        <v xml:space="preserve">    - xform/》m7/m̄/</v>
      </c>
      <c r="AS10" s="48" t="str">
        <f xml:space="preserve"> _xlfn.CONCAT("    - xform/》", $Z10, [5]【調】韻母標調!AQ$1, "/", AH10, "/")</f>
        <v xml:space="preserve">    - xform/》m8/m̍/</v>
      </c>
      <c r="AT10" s="48" t="str">
        <f xml:space="preserve"> _xlfn.CONCAT("    - xform/》", $Z10, [5]【調】韻母標調!AR$1, "/", AI10, "/")</f>
        <v xml:space="preserve">    - xform/》m9/m̋/</v>
      </c>
      <c r="AU10" s="48" t="str">
        <f xml:space="preserve"> _xlfn.CONCAT("    - xform/》", $Z10, [5]【調】韻母標調!AS$1, "/", AJ10, "/")</f>
        <v xml:space="preserve">    - xform/》m9/m̊/</v>
      </c>
      <c r="AV10" s="47"/>
      <c r="AW10" s="47"/>
      <c r="AX10" s="37"/>
      <c r="AY10" s="33"/>
      <c r="AZ10" s="33"/>
      <c r="BA10" s="33"/>
      <c r="BB10" s="33"/>
      <c r="BC10" s="33"/>
    </row>
    <row r="11" spans="1:55" ht="35.25" thickBot="1">
      <c r="A11" s="40">
        <f t="shared" si="8"/>
        <v>8</v>
      </c>
      <c r="B11" s="140" t="s">
        <v>715</v>
      </c>
      <c r="C11" s="139" t="s">
        <v>260</v>
      </c>
      <c r="D11" s="122" t="str">
        <f xml:space="preserve"> LEFT(韻母表[[#This Row],[十五音識別碼]],1)</f>
        <v>江</v>
      </c>
      <c r="E11" s="122" t="s">
        <v>637</v>
      </c>
      <c r="F11" s="141" t="s">
        <v>753</v>
      </c>
      <c r="G11" s="141" t="s">
        <v>753</v>
      </c>
      <c r="H11" s="41" t="s">
        <v>258</v>
      </c>
      <c r="I11" s="41" t="s">
        <v>258</v>
      </c>
      <c r="J11" s="41" t="s">
        <v>258</v>
      </c>
      <c r="K11" s="41" t="s">
        <v>258</v>
      </c>
      <c r="L11" s="42" t="s">
        <v>258</v>
      </c>
      <c r="M11" s="41"/>
      <c r="N11" s="43">
        <f t="shared" si="0"/>
        <v>3</v>
      </c>
      <c r="O11" s="45"/>
      <c r="P11" s="41" t="str">
        <f t="shared" si="1"/>
        <v>ang</v>
      </c>
      <c r="Q11" s="41" t="str">
        <f t="shared" si="2"/>
        <v>ang</v>
      </c>
      <c r="S11" s="34" t="str">
        <f t="shared" si="3"/>
        <v>ang(\d)</v>
      </c>
      <c r="T11" s="35" t="s">
        <v>223</v>
      </c>
      <c r="U11" s="35">
        <f t="shared" si="4"/>
        <v>1</v>
      </c>
      <c r="V11" s="34" t="str">
        <f t="shared" si="5"/>
        <v>》a${1}ng</v>
      </c>
      <c r="W11" s="44"/>
      <c r="X11" s="46" t="str">
        <f t="shared" si="6"/>
        <v xml:space="preserve">    - xform/》ang(\d)/》a${1}ng/</v>
      </c>
      <c r="Z11" s="37" t="s">
        <v>194</v>
      </c>
      <c r="AA11" s="47" t="str">
        <f t="shared" si="9"/>
        <v>n</v>
      </c>
      <c r="AB11" s="47" t="str">
        <f t="shared" si="9"/>
        <v>ń</v>
      </c>
      <c r="AC11" s="47" t="str">
        <f t="shared" si="9"/>
        <v>ǹ</v>
      </c>
      <c r="AD11" s="47" t="str">
        <f t="shared" si="9"/>
        <v>n</v>
      </c>
      <c r="AE11" s="47" t="str">
        <f t="shared" si="9"/>
        <v>ň</v>
      </c>
      <c r="AF11" s="47" t="str">
        <f t="shared" si="9"/>
        <v>ń</v>
      </c>
      <c r="AG11" s="47" t="str">
        <f t="shared" si="9"/>
        <v>n̄</v>
      </c>
      <c r="AH11" s="47" t="str">
        <f t="shared" si="9"/>
        <v>n̍</v>
      </c>
      <c r="AI11" s="47" t="str">
        <f t="shared" si="9"/>
        <v>n̋</v>
      </c>
      <c r="AJ11" s="47" t="str">
        <f t="shared" si="9"/>
        <v>n̊</v>
      </c>
      <c r="AL11" s="48" t="str">
        <f xml:space="preserve"> _xlfn.CONCAT("    - xform/》", $Z11, [5]【調】韻母標調!AJ$1, "/", AA11, "/")</f>
        <v xml:space="preserve">    - xform/》n1/n/</v>
      </c>
      <c r="AM11" s="48" t="str">
        <f xml:space="preserve"> _xlfn.CONCAT("    - xform/》", $Z11, [5]【調】韻母標調!AK$1, "/", AB11, "/")</f>
        <v xml:space="preserve">    - xform/》n2/ń/</v>
      </c>
      <c r="AN11" s="48" t="str">
        <f xml:space="preserve"> _xlfn.CONCAT("    - xform/》", $Z11, [5]【調】韻母標調!AL$1, "/", AC11, "/")</f>
        <v xml:space="preserve">    - xform/》n3/ǹ/</v>
      </c>
      <c r="AO11" s="48" t="str">
        <f xml:space="preserve"> _xlfn.CONCAT("    - xform/》", $Z11, [5]【調】韻母標調!AM$1, "/", AD11, "/")</f>
        <v xml:space="preserve">    - xform/》n4/n/</v>
      </c>
      <c r="AP11" s="48" t="str">
        <f xml:space="preserve"> _xlfn.CONCAT("    - xform/》", $Z11, [5]【調】韻母標調!AN$1, "/", AE11, "/")</f>
        <v xml:space="preserve">    - xform/》n5/ň/</v>
      </c>
      <c r="AQ11" s="48" t="str">
        <f xml:space="preserve"> _xlfn.CONCAT("    - xform/》", $Z11, [5]【調】韻母標調!AO$1, "/", AF11, "/")</f>
        <v xml:space="preserve">    - xform/》n6/ń/</v>
      </c>
      <c r="AR11" s="48" t="str">
        <f xml:space="preserve"> _xlfn.CONCAT("    - xform/》", $Z11, [5]【調】韻母標調!AP$1, "/", AG11, "/")</f>
        <v xml:space="preserve">    - xform/》n7/n̄/</v>
      </c>
      <c r="AS11" s="48" t="str">
        <f xml:space="preserve"> _xlfn.CONCAT("    - xform/》", $Z11, [5]【調】韻母標調!AQ$1, "/", AH11, "/")</f>
        <v xml:space="preserve">    - xform/》n8/n̍/</v>
      </c>
      <c r="AT11" s="48" t="str">
        <f xml:space="preserve"> _xlfn.CONCAT("    - xform/》", $Z11, [5]【調】韻母標調!AR$1, "/", AI11, "/")</f>
        <v xml:space="preserve">    - xform/》n9/n̋/</v>
      </c>
      <c r="AU11" s="48" t="str">
        <f xml:space="preserve"> _xlfn.CONCAT("    - xform/》", $Z11, [5]【調】韻母標調!AS$1, "/", AJ11, "/")</f>
        <v xml:space="preserve">    - xform/》n9/n̊/</v>
      </c>
      <c r="AV11" s="47"/>
      <c r="AW11" s="47"/>
      <c r="AX11" s="37"/>
      <c r="AY11" s="33"/>
      <c r="AZ11" s="33"/>
      <c r="BA11" s="33"/>
      <c r="BB11" s="33"/>
      <c r="BC11" s="33"/>
    </row>
    <row r="12" spans="1:55" ht="35.25" thickBot="1">
      <c r="A12" s="40">
        <f t="shared" si="8"/>
        <v>9</v>
      </c>
      <c r="B12" s="140" t="s">
        <v>261</v>
      </c>
      <c r="C12" s="139" t="s">
        <v>266</v>
      </c>
      <c r="D12" s="122" t="str">
        <f xml:space="preserve"> LEFT(韻母表[[#This Row],[十五音識別碼]],1)</f>
        <v>監</v>
      </c>
      <c r="E12" s="122" t="s">
        <v>638</v>
      </c>
      <c r="F12" s="141" t="s">
        <v>265</v>
      </c>
      <c r="G12" s="141" t="s">
        <v>754</v>
      </c>
      <c r="H12" s="41" t="s">
        <v>262</v>
      </c>
      <c r="I12" s="41" t="s">
        <v>263</v>
      </c>
      <c r="J12" s="41" t="s">
        <v>262</v>
      </c>
      <c r="K12" s="41" t="s">
        <v>262</v>
      </c>
      <c r="L12" s="42" t="s">
        <v>264</v>
      </c>
      <c r="M12" s="51" t="s">
        <v>245</v>
      </c>
      <c r="N12" s="43">
        <f t="shared" si="0"/>
        <v>3</v>
      </c>
      <c r="O12" s="45"/>
      <c r="P12" s="41" t="str">
        <f t="shared" si="1"/>
        <v>ann</v>
      </c>
      <c r="Q12" s="41" t="str">
        <f t="shared" si="2"/>
        <v>ann</v>
      </c>
      <c r="S12" s="34" t="str">
        <f t="shared" si="3"/>
        <v>ann(\d)</v>
      </c>
      <c r="T12" s="53" t="s">
        <v>223</v>
      </c>
      <c r="U12" s="35">
        <f t="shared" si="4"/>
        <v>1</v>
      </c>
      <c r="V12" s="34" t="str">
        <f t="shared" si="5"/>
        <v>》a${1}nn</v>
      </c>
      <c r="W12" s="44"/>
      <c r="X12" s="46" t="str">
        <f t="shared" si="6"/>
        <v xml:space="preserve">    - xform/》ann(\d)/》a${1}nn/</v>
      </c>
      <c r="Z12" s="37" t="s">
        <v>267</v>
      </c>
      <c r="AA12" s="47" t="str">
        <f t="shared" si="9"/>
        <v>i</v>
      </c>
      <c r="AB12" s="47" t="str">
        <f t="shared" si="9"/>
        <v>í</v>
      </c>
      <c r="AC12" s="47" t="str">
        <f t="shared" si="9"/>
        <v>ì</v>
      </c>
      <c r="AD12" s="47" t="str">
        <f t="shared" si="9"/>
        <v>i</v>
      </c>
      <c r="AE12" s="47" t="str">
        <f t="shared" si="9"/>
        <v>ǐ</v>
      </c>
      <c r="AF12" s="47" t="str">
        <f t="shared" si="9"/>
        <v>í</v>
      </c>
      <c r="AG12" s="47" t="str">
        <f t="shared" si="9"/>
        <v>ī</v>
      </c>
      <c r="AH12" s="47" t="str">
        <f t="shared" si="9"/>
        <v>i̍</v>
      </c>
      <c r="AI12" s="47" t="str">
        <f t="shared" si="9"/>
        <v>i̋</v>
      </c>
      <c r="AJ12" s="47" t="str">
        <f t="shared" si="9"/>
        <v>i̊</v>
      </c>
      <c r="AL12" s="48" t="str">
        <f xml:space="preserve"> _xlfn.CONCAT("    - xform/》", $Z12, [5]【調】韻母標調!AJ$1, "/", AA12, "/")</f>
        <v xml:space="preserve">    - xform/》i1/i/</v>
      </c>
      <c r="AM12" s="48" t="str">
        <f xml:space="preserve"> _xlfn.CONCAT("    - xform/》", $Z12, [5]【調】韻母標調!AK$1, "/", AB12, "/")</f>
        <v xml:space="preserve">    - xform/》i2/í/</v>
      </c>
      <c r="AN12" s="48" t="str">
        <f xml:space="preserve"> _xlfn.CONCAT("    - xform/》", $Z12, [5]【調】韻母標調!AL$1, "/", AC12, "/")</f>
        <v xml:space="preserve">    - xform/》i3/ì/</v>
      </c>
      <c r="AO12" s="48" t="str">
        <f xml:space="preserve"> _xlfn.CONCAT("    - xform/》", $Z12, [5]【調】韻母標調!AM$1, "/", AD12, "/")</f>
        <v xml:space="preserve">    - xform/》i4/i/</v>
      </c>
      <c r="AP12" s="48" t="str">
        <f xml:space="preserve"> _xlfn.CONCAT("    - xform/》", $Z12, [5]【調】韻母標調!AN$1, "/", AE12, "/")</f>
        <v xml:space="preserve">    - xform/》i5/ǐ/</v>
      </c>
      <c r="AQ12" s="48" t="str">
        <f xml:space="preserve"> _xlfn.CONCAT("    - xform/》", $Z12, [5]【調】韻母標調!AO$1, "/", AF12, "/")</f>
        <v xml:space="preserve">    - xform/》i6/í/</v>
      </c>
      <c r="AR12" s="48" t="str">
        <f xml:space="preserve"> _xlfn.CONCAT("    - xform/》", $Z12, [5]【調】韻母標調!AP$1, "/", AG12, "/")</f>
        <v xml:space="preserve">    - xform/》i7/ī/</v>
      </c>
      <c r="AS12" s="48" t="str">
        <f xml:space="preserve"> _xlfn.CONCAT("    - xform/》", $Z12, [5]【調】韻母標調!AQ$1, "/", AH12, "/")</f>
        <v xml:space="preserve">    - xform/》i8/i̍/</v>
      </c>
      <c r="AT12" s="48" t="str">
        <f xml:space="preserve"> _xlfn.CONCAT("    - xform/》", $Z12, [5]【調】韻母標調!AR$1, "/", AI12, "/")</f>
        <v xml:space="preserve">    - xform/》i9/i̋/</v>
      </c>
      <c r="AU12" s="48" t="str">
        <f xml:space="preserve"> _xlfn.CONCAT("    - xform/》", $Z12, [5]【調】韻母標調!AS$1, "/", AJ12, "/")</f>
        <v xml:space="preserve">    - xform/》i9/i̊/</v>
      </c>
      <c r="AV12" s="47"/>
      <c r="AW12" s="47"/>
      <c r="AX12" s="37"/>
      <c r="AY12" s="33"/>
      <c r="AZ12" s="33"/>
      <c r="BA12" s="33"/>
      <c r="BB12" s="33"/>
      <c r="BC12" s="33"/>
    </row>
    <row r="13" spans="1:55" ht="54.75" thickBot="1">
      <c r="A13" s="40">
        <f t="shared" si="8"/>
        <v>10</v>
      </c>
      <c r="B13" s="140" t="s">
        <v>268</v>
      </c>
      <c r="C13" s="139" t="s">
        <v>274</v>
      </c>
      <c r="D13" s="122" t="str">
        <f xml:space="preserve"> LEFT(韻母表[[#This Row],[十五音識別碼]],1)</f>
        <v>監</v>
      </c>
      <c r="E13" s="122" t="s">
        <v>639</v>
      </c>
      <c r="F13" s="141" t="s">
        <v>273</v>
      </c>
      <c r="G13" s="141" t="s">
        <v>755</v>
      </c>
      <c r="H13" s="41" t="s">
        <v>269</v>
      </c>
      <c r="I13" s="49" t="s">
        <v>271</v>
      </c>
      <c r="J13" s="41" t="s">
        <v>269</v>
      </c>
      <c r="K13" s="41" t="s">
        <v>270</v>
      </c>
      <c r="L13" s="42" t="s">
        <v>272</v>
      </c>
      <c r="M13" s="51" t="s">
        <v>245</v>
      </c>
      <c r="N13" s="43">
        <f t="shared" si="0"/>
        <v>4</v>
      </c>
      <c r="O13" s="45"/>
      <c r="P13" s="41" t="str">
        <f t="shared" si="1"/>
        <v>annh</v>
      </c>
      <c r="Q13" s="41" t="str">
        <f t="shared" si="2"/>
        <v>annh</v>
      </c>
      <c r="S13" s="34" t="str">
        <f t="shared" si="3"/>
        <v>annh(\d)</v>
      </c>
      <c r="T13" s="35" t="s">
        <v>223</v>
      </c>
      <c r="U13" s="35">
        <f t="shared" si="4"/>
        <v>1</v>
      </c>
      <c r="V13" s="34" t="str">
        <f t="shared" si="5"/>
        <v>》a${1}nnh</v>
      </c>
      <c r="W13" s="44"/>
      <c r="X13" s="46" t="str">
        <f t="shared" si="6"/>
        <v xml:space="preserve">    - xform/》annh(\d)/》a${1}nnh/</v>
      </c>
      <c r="Z13" s="37" t="s">
        <v>249</v>
      </c>
      <c r="AA13" s="47" t="str">
        <f t="shared" si="9"/>
        <v>e</v>
      </c>
      <c r="AB13" s="47" t="str">
        <f t="shared" si="9"/>
        <v>é</v>
      </c>
      <c r="AC13" s="47" t="str">
        <f t="shared" si="9"/>
        <v>è</v>
      </c>
      <c r="AD13" s="47" t="str">
        <f t="shared" si="9"/>
        <v>e</v>
      </c>
      <c r="AE13" s="47" t="str">
        <f t="shared" si="9"/>
        <v>ě</v>
      </c>
      <c r="AF13" s="47" t="str">
        <f t="shared" si="9"/>
        <v>é</v>
      </c>
      <c r="AG13" s="47" t="str">
        <f t="shared" si="9"/>
        <v>ē</v>
      </c>
      <c r="AH13" s="47" t="str">
        <f t="shared" si="9"/>
        <v>e̍</v>
      </c>
      <c r="AI13" s="47" t="str">
        <f t="shared" si="9"/>
        <v>e̋</v>
      </c>
      <c r="AJ13" s="47" t="str">
        <f t="shared" si="9"/>
        <v>e̊</v>
      </c>
      <c r="AL13" s="48" t="str">
        <f xml:space="preserve"> _xlfn.CONCAT("    - xform/》", $Z13, [5]【調】韻母標調!AJ$1, "/", AA13, "/")</f>
        <v xml:space="preserve">    - xform/》e1/e/</v>
      </c>
      <c r="AM13" s="48" t="str">
        <f xml:space="preserve"> _xlfn.CONCAT("    - xform/》", $Z13, [5]【調】韻母標調!AK$1, "/", AB13, "/")</f>
        <v xml:space="preserve">    - xform/》e2/é/</v>
      </c>
      <c r="AN13" s="48" t="str">
        <f xml:space="preserve"> _xlfn.CONCAT("    - xform/》", $Z13, [5]【調】韻母標調!AL$1, "/", AC13, "/")</f>
        <v xml:space="preserve">    - xform/》e3/è/</v>
      </c>
      <c r="AO13" s="48" t="str">
        <f xml:space="preserve"> _xlfn.CONCAT("    - xform/》", $Z13, [5]【調】韻母標調!AM$1, "/", AD13, "/")</f>
        <v xml:space="preserve">    - xform/》e4/e/</v>
      </c>
      <c r="AP13" s="48" t="str">
        <f xml:space="preserve"> _xlfn.CONCAT("    - xform/》", $Z13, [5]【調】韻母標調!AN$1, "/", AE13, "/")</f>
        <v xml:space="preserve">    - xform/》e5/ě/</v>
      </c>
      <c r="AQ13" s="48" t="str">
        <f xml:space="preserve"> _xlfn.CONCAT("    - xform/》", $Z13, [5]【調】韻母標調!AO$1, "/", AF13, "/")</f>
        <v xml:space="preserve">    - xform/》e6/é/</v>
      </c>
      <c r="AR13" s="48" t="str">
        <f xml:space="preserve"> _xlfn.CONCAT("    - xform/》", $Z13, [5]【調】韻母標調!AP$1, "/", AG13, "/")</f>
        <v xml:space="preserve">    - xform/》e7/ē/</v>
      </c>
      <c r="AS13" s="48" t="str">
        <f xml:space="preserve"> _xlfn.CONCAT("    - xform/》", $Z13, [5]【調】韻母標調!AQ$1, "/", AH13, "/")</f>
        <v xml:space="preserve">    - xform/》e8/e̍/</v>
      </c>
      <c r="AT13" s="48" t="str">
        <f xml:space="preserve"> _xlfn.CONCAT("    - xform/》", $Z13, [5]【調】韻母標調!AR$1, "/", AI13, "/")</f>
        <v xml:space="preserve">    - xform/》e9/e̋/</v>
      </c>
      <c r="AU13" s="48" t="str">
        <f xml:space="preserve"> _xlfn.CONCAT("    - xform/》", $Z13, [5]【調】韻母標調!AS$1, "/", AJ13, "/")</f>
        <v xml:space="preserve">    - xform/》e9/e̊/</v>
      </c>
      <c r="AV13" s="47"/>
      <c r="AW13" s="47"/>
      <c r="AX13" s="37"/>
      <c r="AY13" s="33"/>
      <c r="AZ13" s="33"/>
      <c r="BA13" s="33"/>
      <c r="BB13" s="33"/>
      <c r="BC13" s="33"/>
    </row>
    <row r="14" spans="1:55" ht="35.25" thickBot="1">
      <c r="A14" s="40">
        <f t="shared" si="8"/>
        <v>11</v>
      </c>
      <c r="B14" s="140" t="str">
        <f>_xlfn.CONCAT("a","p",_xlfn.UNICHAR(794))</f>
        <v>ap̚</v>
      </c>
      <c r="C14" s="139" t="s">
        <v>277</v>
      </c>
      <c r="D14" s="122" t="str">
        <f xml:space="preserve"> LEFT(韻母表[[#This Row],[十五音識別碼]],1)</f>
        <v>甘</v>
      </c>
      <c r="E14" s="122" t="s">
        <v>640</v>
      </c>
      <c r="F14" s="141" t="s">
        <v>756</v>
      </c>
      <c r="G14" s="141" t="s">
        <v>757</v>
      </c>
      <c r="H14" s="41" t="s">
        <v>275</v>
      </c>
      <c r="I14" s="41" t="s">
        <v>275</v>
      </c>
      <c r="J14" s="41" t="s">
        <v>275</v>
      </c>
      <c r="K14" s="41" t="s">
        <v>275</v>
      </c>
      <c r="L14" s="42" t="s">
        <v>275</v>
      </c>
      <c r="M14" s="41"/>
      <c r="N14" s="43">
        <f t="shared" si="0"/>
        <v>2</v>
      </c>
      <c r="O14" s="45"/>
      <c r="P14" s="41" t="str">
        <f t="shared" si="1"/>
        <v>ap</v>
      </c>
      <c r="Q14" s="41" t="str">
        <f t="shared" si="2"/>
        <v>ap</v>
      </c>
      <c r="S14" s="34" t="str">
        <f xml:space="preserve"> _xlfn.CONCAT(P14, "(\d)")</f>
        <v>ap(\d)</v>
      </c>
      <c r="T14" s="35" t="s">
        <v>223</v>
      </c>
      <c r="U14" s="35">
        <f t="shared" si="4"/>
        <v>1</v>
      </c>
      <c r="V14" s="34" t="str">
        <f xml:space="preserve"> IFERROR( _xlfn.CONCAT(LEFT(P14,U14-1), "》", MID(P14,U14,1), "${1}", RIGHT(P14, LEN(P14)-U14)), "" )</f>
        <v>》a${1}p</v>
      </c>
      <c r="W14" s="44"/>
      <c r="X14" s="46" t="str">
        <f xml:space="preserve"> IF(AND(Q14&lt;&gt;"", P14&lt;&gt;""), "    - xform/》" &amp; S14 &amp;  "/"  &amp; V14 &amp;  "/", "")</f>
        <v xml:space="preserve">    - xform/》ap(\d)/》a${1}p/</v>
      </c>
      <c r="Z14" s="37"/>
      <c r="AA14" s="37"/>
      <c r="AB14" s="37"/>
      <c r="AC14" s="37"/>
      <c r="AD14" s="37"/>
      <c r="AE14" s="37"/>
      <c r="AF14" s="37"/>
      <c r="AG14" s="37"/>
      <c r="AH14" s="37"/>
      <c r="AL14" s="38"/>
      <c r="AM14" s="38"/>
      <c r="AN14" s="38"/>
      <c r="AO14" s="38"/>
      <c r="AP14" s="38"/>
      <c r="AQ14" s="38"/>
      <c r="AR14" s="38"/>
      <c r="AS14" s="38"/>
      <c r="AT14" s="38"/>
      <c r="AU14" s="33"/>
      <c r="AV14" s="33"/>
      <c r="AW14" s="33"/>
      <c r="AX14" s="33"/>
      <c r="AY14" s="33"/>
      <c r="AZ14" s="33"/>
      <c r="BA14" s="33"/>
      <c r="BB14" s="33"/>
      <c r="BC14" s="33"/>
    </row>
    <row r="15" spans="1:55" ht="35.25" thickBot="1">
      <c r="A15" s="40">
        <f t="shared" si="8"/>
        <v>12</v>
      </c>
      <c r="B15" s="140" t="str">
        <f>_xlfn.CONCAT("a","t",_xlfn.UNICHAR(794))</f>
        <v>at̚</v>
      </c>
      <c r="C15" s="139" t="s">
        <v>280</v>
      </c>
      <c r="D15" s="122" t="str">
        <f xml:space="preserve"> LEFT(韻母表[[#This Row],[十五音識別碼]],1)</f>
        <v>干</v>
      </c>
      <c r="E15" s="122" t="s">
        <v>641</v>
      </c>
      <c r="F15" s="141" t="s">
        <v>758</v>
      </c>
      <c r="G15" s="141" t="s">
        <v>759</v>
      </c>
      <c r="H15" s="41" t="s">
        <v>278</v>
      </c>
      <c r="I15" s="41" t="s">
        <v>278</v>
      </c>
      <c r="J15" s="41" t="s">
        <v>278</v>
      </c>
      <c r="K15" s="41" t="s">
        <v>278</v>
      </c>
      <c r="L15" s="42" t="s">
        <v>278</v>
      </c>
      <c r="M15" s="41"/>
      <c r="N15" s="43">
        <f t="shared" si="0"/>
        <v>2</v>
      </c>
      <c r="O15" s="45"/>
      <c r="P15" s="41" t="str">
        <f t="shared" si="1"/>
        <v>at</v>
      </c>
      <c r="Q15" s="41" t="str">
        <f t="shared" si="2"/>
        <v>at</v>
      </c>
      <c r="S15" s="34" t="str">
        <f xml:space="preserve"> _xlfn.CONCAT(P15, "(\d)")</f>
        <v>at(\d)</v>
      </c>
      <c r="T15" s="35" t="s">
        <v>235</v>
      </c>
      <c r="U15" s="35" t="str">
        <f t="shared" si="4"/>
        <v/>
      </c>
      <c r="V15" s="34" t="str">
        <f xml:space="preserve"> IFERROR( _xlfn.CONCAT(LEFT(P15,U15-1), "》", MID(P15,U15,1), "${1}", RIGHT(P15, LEN(P15)-U15)), "" )</f>
        <v/>
      </c>
      <c r="W15" s="44"/>
      <c r="X15" s="46" t="str">
        <f xml:space="preserve"> IF(AND(Q15&lt;&gt;"", P15&lt;&gt;""), "    - xform/》" &amp; S15 &amp;  "/"  &amp; V15 &amp;  "/", "")</f>
        <v xml:space="preserve">    - xform/》at(\d)//</v>
      </c>
      <c r="Z15" s="37"/>
      <c r="AA15" s="37"/>
      <c r="AB15" s="37"/>
      <c r="AC15" s="37"/>
      <c r="AD15" s="37"/>
      <c r="AE15" s="37"/>
      <c r="AF15" s="37"/>
      <c r="AG15" s="37"/>
      <c r="AH15" s="37"/>
      <c r="AL15" s="38"/>
      <c r="AM15" s="38"/>
      <c r="AN15" s="38"/>
      <c r="AO15" s="38"/>
      <c r="AP15" s="38"/>
      <c r="AQ15" s="38"/>
      <c r="AR15" s="38"/>
      <c r="AS15" s="38"/>
      <c r="AT15" s="38"/>
      <c r="AU15" s="33"/>
      <c r="AV15" s="33"/>
      <c r="AW15" s="33"/>
      <c r="AX15" s="33"/>
      <c r="AY15" s="33"/>
      <c r="AZ15" s="33"/>
      <c r="BA15" s="33"/>
      <c r="BB15" s="33"/>
      <c r="BC15" s="33"/>
    </row>
    <row r="16" spans="1:55" ht="35.25" thickBot="1">
      <c r="A16" s="40">
        <f t="shared" si="8"/>
        <v>13</v>
      </c>
      <c r="B16" s="140" t="s">
        <v>716</v>
      </c>
      <c r="C16" s="139" t="s">
        <v>284</v>
      </c>
      <c r="D16" s="122" t="str">
        <f xml:space="preserve"> LEFT(韻母表[[#This Row],[十五音識別碼]],1)</f>
        <v>交</v>
      </c>
      <c r="E16" s="122" t="s">
        <v>642</v>
      </c>
      <c r="F16" s="141" t="s">
        <v>760</v>
      </c>
      <c r="G16" s="141" t="s">
        <v>760</v>
      </c>
      <c r="H16" s="41" t="s">
        <v>281</v>
      </c>
      <c r="I16" s="41" t="s">
        <v>282</v>
      </c>
      <c r="J16" s="41" t="s">
        <v>281</v>
      </c>
      <c r="K16" s="41" t="s">
        <v>281</v>
      </c>
      <c r="L16" s="42" t="s">
        <v>281</v>
      </c>
      <c r="M16" s="41"/>
      <c r="N16" s="43">
        <f t="shared" si="0"/>
        <v>2</v>
      </c>
      <c r="O16" s="45"/>
      <c r="P16" s="41" t="str">
        <f t="shared" si="1"/>
        <v>au</v>
      </c>
      <c r="Q16" s="41" t="str">
        <f t="shared" si="2"/>
        <v>au</v>
      </c>
      <c r="S16" s="34" t="str">
        <f xml:space="preserve"> _xlfn.CONCAT(P16, "(\d)")</f>
        <v>au(\d)</v>
      </c>
      <c r="T16" s="35" t="s">
        <v>223</v>
      </c>
      <c r="U16" s="35">
        <f t="shared" si="4"/>
        <v>1</v>
      </c>
      <c r="V16" s="34" t="str">
        <f xml:space="preserve"> IFERROR( _xlfn.CONCAT(LEFT(P16,U16-1), "》", MID(P16,U16,1), "${1}", RIGHT(P16, LEN(P16)-U16)), "" )</f>
        <v>》a${1}u</v>
      </c>
      <c r="W16" s="44"/>
      <c r="X16" s="46" t="str">
        <f xml:space="preserve"> IF(AND(Q16&lt;&gt;"", P16&lt;&gt;""), "    - xform/》" &amp; S16 &amp;  "/"  &amp; V16 &amp;  "/", "")</f>
        <v xml:space="preserve">    - xform/》au(\d)/》a${1}u/</v>
      </c>
      <c r="Z16" s="37"/>
      <c r="AA16" s="37"/>
      <c r="AB16" s="37"/>
      <c r="AC16" s="37"/>
      <c r="AD16" s="37"/>
      <c r="AE16" s="37"/>
      <c r="AF16" s="37"/>
      <c r="AG16" s="37"/>
      <c r="AH16" s="37"/>
      <c r="AL16" s="38"/>
      <c r="AM16" s="38"/>
      <c r="AN16" s="38"/>
      <c r="AO16" s="38"/>
      <c r="AP16" s="38"/>
      <c r="AQ16" s="38"/>
      <c r="AR16" s="38"/>
      <c r="AS16" s="38"/>
      <c r="AT16" s="38"/>
      <c r="AU16" s="33"/>
      <c r="AV16" s="33"/>
      <c r="AW16" s="33"/>
      <c r="AX16" s="33"/>
      <c r="AY16" s="33"/>
      <c r="AZ16" s="33"/>
      <c r="BA16" s="33"/>
      <c r="BB16" s="33"/>
      <c r="BC16" s="33"/>
    </row>
    <row r="17" spans="1:55" ht="35.25" thickBot="1">
      <c r="A17" s="40">
        <f t="shared" si="8"/>
        <v>14</v>
      </c>
      <c r="B17" s="140" t="s">
        <v>285</v>
      </c>
      <c r="C17" s="139" t="s">
        <v>288</v>
      </c>
      <c r="D17" s="122" t="str">
        <f xml:space="preserve"> LEFT(韻母表[[#This Row],[十五音識別碼]],1)</f>
        <v>交</v>
      </c>
      <c r="E17" s="122" t="s">
        <v>643</v>
      </c>
      <c r="F17" s="141" t="s">
        <v>761</v>
      </c>
      <c r="G17" s="141" t="s">
        <v>762</v>
      </c>
      <c r="H17" s="41" t="s">
        <v>286</v>
      </c>
      <c r="I17" s="41" t="s">
        <v>287</v>
      </c>
      <c r="J17" s="52" t="s">
        <v>286</v>
      </c>
      <c r="K17" s="41" t="s">
        <v>286</v>
      </c>
      <c r="L17" s="42" t="s">
        <v>286</v>
      </c>
      <c r="M17" s="41"/>
      <c r="N17" s="43">
        <f t="shared" si="0"/>
        <v>3</v>
      </c>
      <c r="O17" s="45"/>
      <c r="P17" s="41" t="str">
        <f t="shared" si="1"/>
        <v>auh</v>
      </c>
      <c r="Q17" s="41" t="str">
        <f t="shared" si="2"/>
        <v>auh</v>
      </c>
      <c r="S17" s="34" t="str">
        <f xml:space="preserve"> _xlfn.CONCAT(P17, "(\d)")</f>
        <v>auh(\d)</v>
      </c>
      <c r="T17" s="35" t="s">
        <v>223</v>
      </c>
      <c r="U17" s="35">
        <f t="shared" si="4"/>
        <v>1</v>
      </c>
      <c r="V17" s="34" t="str">
        <f xml:space="preserve"> IFERROR( _xlfn.CONCAT(LEFT(P17,U17-1), "》", MID(P17,U17,1), "${1}", RIGHT(P17, LEN(P17)-U17)), "" )</f>
        <v>》a${1}uh</v>
      </c>
      <c r="W17" s="44"/>
      <c r="X17" s="46" t="str">
        <f xml:space="preserve"> IF(AND(Q17&lt;&gt;"", P17&lt;&gt;""), "    - xform/》" &amp; S17 &amp;  "/"  &amp; V17 &amp;  "/", "")</f>
        <v xml:space="preserve">    - xform/》auh(\d)/》a${1}uh/</v>
      </c>
      <c r="Z17" s="37"/>
      <c r="AA17" s="37"/>
      <c r="AB17" s="37"/>
      <c r="AC17" s="37"/>
      <c r="AD17" s="37"/>
      <c r="AE17" s="37"/>
      <c r="AF17" s="37"/>
      <c r="AG17" s="37"/>
      <c r="AH17" s="37"/>
      <c r="AL17" s="38"/>
      <c r="AM17" s="38"/>
      <c r="AN17" s="38"/>
      <c r="AO17" s="38"/>
      <c r="AP17" s="38"/>
      <c r="AQ17" s="38"/>
      <c r="AR17" s="38"/>
      <c r="AS17" s="38"/>
      <c r="AT17" s="38"/>
      <c r="AU17" s="33"/>
      <c r="AV17" s="33"/>
      <c r="AW17" s="33"/>
      <c r="AX17" s="33"/>
      <c r="AY17" s="33"/>
      <c r="AZ17" s="33"/>
      <c r="BA17" s="33"/>
      <c r="BB17" s="33"/>
      <c r="BC17" s="33"/>
    </row>
    <row r="18" spans="1:55" ht="35.25" thickBot="1">
      <c r="A18" s="40">
        <f t="shared" si="8"/>
        <v>15</v>
      </c>
      <c r="B18" s="140" t="s">
        <v>249</v>
      </c>
      <c r="C18" s="139" t="s">
        <v>293</v>
      </c>
      <c r="D18" s="122" t="str">
        <f xml:space="preserve"> LEFT(韻母表[[#This Row],[十五音識別碼]],1)</f>
        <v>稽</v>
      </c>
      <c r="E18" s="122" t="s">
        <v>644</v>
      </c>
      <c r="F18" s="141" t="s">
        <v>291</v>
      </c>
      <c r="G18" s="141" t="s">
        <v>763</v>
      </c>
      <c r="H18" s="41" t="s">
        <v>289</v>
      </c>
      <c r="I18" s="41" t="s">
        <v>289</v>
      </c>
      <c r="J18" s="41" t="s">
        <v>289</v>
      </c>
      <c r="K18" s="41" t="s">
        <v>290</v>
      </c>
      <c r="L18" s="42" t="s">
        <v>248</v>
      </c>
      <c r="M18" s="41"/>
      <c r="N18" s="43">
        <f t="shared" si="0"/>
        <v>2</v>
      </c>
      <c r="O18" s="45"/>
      <c r="P18" s="41" t="str">
        <f>J26</f>
        <v>i</v>
      </c>
      <c r="Q18" s="41" t="str">
        <f>K26</f>
        <v>i</v>
      </c>
      <c r="S18" s="34" t="str">
        <f t="shared" si="3"/>
        <v>i(\d)</v>
      </c>
      <c r="T18" s="35" t="s">
        <v>235</v>
      </c>
      <c r="U18" s="35" t="str">
        <f t="shared" si="4"/>
        <v/>
      </c>
      <c r="V18" s="34" t="str">
        <f t="shared" si="5"/>
        <v/>
      </c>
      <c r="W18" s="44"/>
      <c r="X18" s="46" t="str">
        <f t="shared" si="6"/>
        <v xml:space="preserve">    - xform/》i(\d)//</v>
      </c>
      <c r="Z18" s="37"/>
      <c r="AA18" s="37"/>
      <c r="AB18" s="37"/>
      <c r="AC18" s="37"/>
      <c r="AD18" s="37"/>
      <c r="AE18" s="37"/>
      <c r="AF18" s="37"/>
      <c r="AG18" s="37"/>
      <c r="AH18" s="37"/>
      <c r="AL18" s="38"/>
      <c r="AM18" s="38"/>
      <c r="AN18" s="38"/>
      <c r="AO18" s="38"/>
      <c r="AP18" s="38"/>
      <c r="AQ18" s="38"/>
      <c r="AR18" s="38"/>
      <c r="AS18" s="38"/>
      <c r="AT18" s="38"/>
      <c r="AU18" s="33"/>
      <c r="AV18" s="33"/>
      <c r="AW18" s="33"/>
      <c r="AX18" s="33"/>
      <c r="AY18" s="33"/>
      <c r="AZ18" s="33"/>
      <c r="BA18" s="33"/>
      <c r="BB18" s="33"/>
      <c r="BC18" s="33"/>
    </row>
    <row r="19" spans="1:55" ht="27.75" thickBot="1">
      <c r="A19" s="40">
        <f t="shared" si="8"/>
        <v>16</v>
      </c>
      <c r="B19" s="140" t="s">
        <v>717</v>
      </c>
      <c r="C19" s="139" t="s">
        <v>626</v>
      </c>
      <c r="D19" s="122" t="str">
        <f xml:space="preserve"> LEFT(韻母表[[#This Row],[十五音識別碼]],1)</f>
        <v>嘉</v>
      </c>
      <c r="E19" s="122" t="s">
        <v>645</v>
      </c>
      <c r="F19" s="142" t="s">
        <v>764</v>
      </c>
      <c r="G19" s="142" t="s">
        <v>765</v>
      </c>
      <c r="H19" s="54"/>
      <c r="I19" s="54"/>
      <c r="J19" s="55" t="s">
        <v>294</v>
      </c>
      <c r="K19" s="49" t="s">
        <v>294</v>
      </c>
      <c r="L19" s="54"/>
      <c r="M19" s="41"/>
      <c r="N19" s="43">
        <f t="shared" si="0"/>
        <v>2</v>
      </c>
      <c r="O19" s="45"/>
      <c r="P19" s="41" t="str">
        <f>J18</f>
        <v>e</v>
      </c>
      <c r="Q19" s="41" t="str">
        <f>K18</f>
        <v>ei</v>
      </c>
      <c r="S19" s="34" t="str">
        <f xml:space="preserve"> _xlfn.CONCAT(P19, "(\d)")</f>
        <v>e(\d)</v>
      </c>
      <c r="T19" s="35" t="s">
        <v>267</v>
      </c>
      <c r="U19" s="35" t="str">
        <f t="shared" si="4"/>
        <v/>
      </c>
      <c r="V19" s="34" t="str">
        <f xml:space="preserve"> IFERROR( _xlfn.CONCAT(LEFT(P19,U19-1), "》", MID(P19,U19,1), "${1}", RIGHT(P19, LEN(P19)-U19)), "" )</f>
        <v/>
      </c>
      <c r="W19" s="44"/>
      <c r="X19" s="46" t="str">
        <f xml:space="preserve"> IF(AND(Q19&lt;&gt;"", P19&lt;&gt;""), "    - xform/》" &amp; S19 &amp;  "/"  &amp; V19 &amp;  "/", "")</f>
        <v xml:space="preserve">    - xform/》e(\d)//</v>
      </c>
      <c r="Z19" s="37"/>
      <c r="AA19" s="37"/>
      <c r="AB19" s="37"/>
      <c r="AC19" s="37"/>
      <c r="AD19" s="37"/>
      <c r="AE19" s="37"/>
      <c r="AF19" s="37"/>
      <c r="AG19" s="37"/>
      <c r="AH19" s="37"/>
      <c r="AL19" s="38"/>
      <c r="AM19" s="38"/>
      <c r="AN19" s="38"/>
      <c r="AO19" s="38"/>
      <c r="AP19" s="38"/>
      <c r="AQ19" s="38"/>
      <c r="AR19" s="38"/>
      <c r="AS19" s="38"/>
      <c r="AT19" s="38"/>
      <c r="AU19" s="33"/>
      <c r="AV19" s="33"/>
      <c r="AW19" s="33"/>
      <c r="AX19" s="33"/>
      <c r="AY19" s="33"/>
      <c r="AZ19" s="33"/>
      <c r="BA19" s="33"/>
      <c r="BB19" s="33"/>
      <c r="BC19" s="33"/>
    </row>
    <row r="20" spans="1:55" ht="35.25" thickBot="1">
      <c r="A20" s="40">
        <f t="shared" si="8"/>
        <v>17</v>
      </c>
      <c r="B20" s="140" t="str">
        <f xml:space="preserve"> _xlfn.CONCAT(B19, "ʔ")</f>
        <v>ɛʔ</v>
      </c>
      <c r="C20" s="139" t="s">
        <v>627</v>
      </c>
      <c r="D20" s="122" t="str">
        <f xml:space="preserve"> LEFT(韻母表[[#This Row],[十五音識別碼]],1)</f>
        <v>嘉</v>
      </c>
      <c r="E20" s="122" t="s">
        <v>646</v>
      </c>
      <c r="F20" s="142" t="s">
        <v>766</v>
      </c>
      <c r="G20" s="142" t="s">
        <v>767</v>
      </c>
      <c r="H20" s="54"/>
      <c r="I20" s="54"/>
      <c r="J20" s="55" t="s">
        <v>295</v>
      </c>
      <c r="K20" s="49" t="s">
        <v>295</v>
      </c>
      <c r="L20" s="54"/>
      <c r="M20" s="41"/>
      <c r="N20" s="43">
        <f t="shared" si="0"/>
        <v>3</v>
      </c>
      <c r="O20" s="45"/>
      <c r="P20" s="41" t="str">
        <f>J24</f>
        <v>enn</v>
      </c>
      <c r="Q20" s="41" t="str">
        <f>K24</f>
        <v>enn</v>
      </c>
      <c r="S20" s="34" t="str">
        <f xml:space="preserve"> _xlfn.CONCAT(P20, "(\d)")</f>
        <v>enn(\d)</v>
      </c>
      <c r="T20" s="35" t="s">
        <v>267</v>
      </c>
      <c r="U20" s="35" t="str">
        <f t="shared" si="4"/>
        <v/>
      </c>
      <c r="V20" s="34" t="str">
        <f xml:space="preserve"> IFERROR( _xlfn.CONCAT(LEFT(P20,U20-1), "》", MID(P20,U20,1), "${1}", RIGHT(P20, LEN(P20)-U20)), "" )</f>
        <v/>
      </c>
      <c r="W20" s="44"/>
      <c r="X20" s="46" t="str">
        <f xml:space="preserve"> IF(AND(Q20&lt;&gt;"", P20&lt;&gt;""), "    - xform/》" &amp; S20 &amp;  "/"  &amp; V20 &amp;  "/", "")</f>
        <v xml:space="preserve">    - xform/》enn(\d)//</v>
      </c>
      <c r="Z20" s="37"/>
      <c r="AA20" s="37"/>
      <c r="AB20" s="37"/>
      <c r="AC20" s="37"/>
      <c r="AD20" s="37"/>
      <c r="AE20" s="37"/>
      <c r="AF20" s="37"/>
      <c r="AG20" s="37"/>
      <c r="AH20" s="37"/>
      <c r="AL20" s="38"/>
      <c r="AM20" s="38"/>
      <c r="AN20" s="38"/>
      <c r="AO20" s="38"/>
      <c r="AP20" s="38"/>
      <c r="AQ20" s="38"/>
      <c r="AR20" s="38"/>
      <c r="AS20" s="38"/>
      <c r="AT20" s="38"/>
      <c r="AU20" s="33"/>
      <c r="AV20" s="33"/>
      <c r="AW20" s="33"/>
      <c r="AX20" s="33"/>
      <c r="AY20" s="33"/>
      <c r="AZ20" s="33"/>
      <c r="BA20" s="33"/>
      <c r="BB20" s="33"/>
      <c r="BC20" s="33"/>
    </row>
    <row r="21" spans="1:55" ht="35.25" thickBot="1">
      <c r="A21" s="40">
        <f t="shared" si="8"/>
        <v>18</v>
      </c>
      <c r="B21" s="140" t="s">
        <v>296</v>
      </c>
      <c r="C21" s="139" t="s">
        <v>299</v>
      </c>
      <c r="D21" s="122" t="str">
        <f xml:space="preserve"> LEFT(韻母表[[#This Row],[十五音識別碼]],1)</f>
        <v>伽</v>
      </c>
      <c r="E21" s="122" t="s">
        <v>647</v>
      </c>
      <c r="F21" s="141" t="s">
        <v>298</v>
      </c>
      <c r="G21" s="141" t="s">
        <v>768</v>
      </c>
      <c r="H21" s="41" t="s">
        <v>297</v>
      </c>
      <c r="I21" s="41" t="s">
        <v>297</v>
      </c>
      <c r="J21" s="41" t="s">
        <v>297</v>
      </c>
      <c r="K21" s="41" t="s">
        <v>297</v>
      </c>
      <c r="L21" s="42" t="s">
        <v>297</v>
      </c>
      <c r="M21" s="41"/>
      <c r="N21" s="43">
        <f t="shared" si="0"/>
        <v>2</v>
      </c>
      <c r="O21" s="45"/>
      <c r="P21" s="41" t="str">
        <f>J40</f>
        <v>ih</v>
      </c>
      <c r="Q21" s="41" t="str">
        <f>K40</f>
        <v>ih</v>
      </c>
      <c r="S21" s="34" t="str">
        <f xml:space="preserve"> _xlfn.CONCAT(P21, "(\d)")</f>
        <v>ih(\d)</v>
      </c>
      <c r="T21" s="35" t="s">
        <v>223</v>
      </c>
      <c r="U21" s="35" t="str">
        <f t="shared" si="4"/>
        <v/>
      </c>
      <c r="V21" s="34" t="str">
        <f xml:space="preserve"> IFERROR( _xlfn.CONCAT(LEFT(P21,U21-1), "》", MID(P21,U21,1), "${1}", RIGHT(P21, LEN(P21)-U21)), "" )</f>
        <v/>
      </c>
      <c r="W21" s="44"/>
      <c r="X21" s="46" t="str">
        <f xml:space="preserve"> IF(AND(Q21&lt;&gt;"", P21&lt;&gt;""), "    - xform/》" &amp; S21 &amp;  "/"  &amp; V21 &amp;  "/", "")</f>
        <v xml:space="preserve">    - xform/》ih(\d)//</v>
      </c>
      <c r="Z21" s="37"/>
      <c r="AA21" s="37"/>
      <c r="AB21" s="37"/>
      <c r="AC21" s="37"/>
      <c r="AD21" s="37"/>
      <c r="AE21" s="37"/>
      <c r="AF21" s="37"/>
      <c r="AG21" s="37"/>
      <c r="AH21" s="37"/>
      <c r="AL21" s="38"/>
      <c r="AM21" s="38"/>
      <c r="AN21" s="38"/>
      <c r="AO21" s="38"/>
      <c r="AP21" s="38"/>
      <c r="AQ21" s="38"/>
      <c r="AR21" s="38"/>
      <c r="AS21" s="38"/>
      <c r="AT21" s="38"/>
      <c r="AU21" s="33"/>
      <c r="AV21" s="33"/>
      <c r="AW21" s="33"/>
      <c r="AX21" s="33"/>
      <c r="AY21" s="33"/>
      <c r="AZ21" s="33"/>
      <c r="BA21" s="33"/>
      <c r="BB21" s="33"/>
      <c r="BC21" s="33"/>
    </row>
    <row r="22" spans="1:55" ht="54.75" thickBot="1">
      <c r="A22" s="40">
        <f t="shared" si="8"/>
        <v>19</v>
      </c>
      <c r="B22" s="140" t="str">
        <f xml:space="preserve"> _xlfn.CONCAT("ɪ",, "k")</f>
        <v>ɪk</v>
      </c>
      <c r="C22" s="139" t="s">
        <v>628</v>
      </c>
      <c r="D22" s="122" t="str">
        <f xml:space="preserve"> LEFT(韻母表[[#This Row],[十五音識別碼]],1)</f>
        <v>經</v>
      </c>
      <c r="E22" s="122" t="s">
        <v>648</v>
      </c>
      <c r="F22" s="142" t="s">
        <v>769</v>
      </c>
      <c r="G22" s="142" t="s">
        <v>770</v>
      </c>
      <c r="H22" s="54"/>
      <c r="I22" s="54"/>
      <c r="J22" s="56" t="s">
        <v>300</v>
      </c>
      <c r="K22" s="49" t="s">
        <v>300</v>
      </c>
      <c r="L22" s="54"/>
      <c r="M22" s="41"/>
      <c r="N22" s="43">
        <f t="shared" si="0"/>
        <v>2</v>
      </c>
      <c r="O22" s="45"/>
      <c r="P22" s="41" t="str">
        <f>J25</f>
        <v>ennh</v>
      </c>
      <c r="Q22" s="41" t="str">
        <f>K25</f>
        <v>ennh</v>
      </c>
      <c r="S22" s="34" t="str">
        <f xml:space="preserve"> _xlfn.CONCAT(P22, "(\d)")</f>
        <v>ennh(\d)</v>
      </c>
      <c r="T22" s="35" t="s">
        <v>267</v>
      </c>
      <c r="U22" s="35" t="str">
        <f t="shared" si="4"/>
        <v/>
      </c>
      <c r="V22" s="34" t="str">
        <f xml:space="preserve"> IFERROR( _xlfn.CONCAT(LEFT(P22,U22-1), "》", MID(P22,U22,1), "${1}", RIGHT(P22, LEN(P22)-U22)), "" )</f>
        <v/>
      </c>
      <c r="W22" s="44"/>
      <c r="X22" s="46" t="str">
        <f xml:space="preserve"> IF(AND(Q22&lt;&gt;"", P22&lt;&gt;""), "    - xform/》" &amp; S22 &amp;  "/"  &amp; V22 &amp;  "/", "")</f>
        <v xml:space="preserve">    - xform/》ennh(\d)//</v>
      </c>
      <c r="Z22" s="37"/>
      <c r="AA22" s="37"/>
      <c r="AB22" s="37"/>
      <c r="AC22" s="37"/>
      <c r="AD22" s="37"/>
      <c r="AE22" s="37"/>
      <c r="AF22" s="37"/>
      <c r="AG22" s="37"/>
      <c r="AH22" s="37"/>
      <c r="AL22" s="38"/>
      <c r="AM22" s="38"/>
      <c r="AN22" s="38"/>
      <c r="AO22" s="38"/>
      <c r="AP22" s="38"/>
      <c r="AQ22" s="38"/>
      <c r="AR22" s="38"/>
      <c r="AS22" s="38"/>
      <c r="AT22" s="38"/>
      <c r="AU22" s="33"/>
      <c r="AV22" s="33"/>
      <c r="AW22" s="33"/>
      <c r="AX22" s="33"/>
      <c r="AY22" s="33"/>
      <c r="AZ22" s="33"/>
      <c r="BA22" s="33"/>
      <c r="BB22" s="33"/>
      <c r="BC22" s="33"/>
    </row>
    <row r="23" spans="1:55" ht="35.25" thickBot="1">
      <c r="A23" s="40">
        <f t="shared" si="8"/>
        <v>20</v>
      </c>
      <c r="B23" s="140" t="str">
        <f xml:space="preserve"> _xlfn.CONCAT("ɪ", "ŋ")</f>
        <v>ɪŋ</v>
      </c>
      <c r="C23" s="139" t="s">
        <v>628</v>
      </c>
      <c r="D23" s="122" t="str">
        <f xml:space="preserve"> LEFT(韻母表[[#This Row],[十五音識別碼]],1)</f>
        <v>經</v>
      </c>
      <c r="E23" s="122" t="s">
        <v>649</v>
      </c>
      <c r="F23" s="142" t="s">
        <v>771</v>
      </c>
      <c r="G23" s="142" t="s">
        <v>772</v>
      </c>
      <c r="H23" s="54"/>
      <c r="I23" s="54"/>
      <c r="J23" s="56" t="s">
        <v>301</v>
      </c>
      <c r="K23" s="49" t="s">
        <v>301</v>
      </c>
      <c r="L23" s="54"/>
      <c r="M23" s="41"/>
      <c r="N23" s="43">
        <f t="shared" si="0"/>
        <v>3</v>
      </c>
      <c r="O23" s="45"/>
      <c r="P23" s="41" t="str">
        <f>J21</f>
        <v>eh</v>
      </c>
      <c r="Q23" s="41" t="str">
        <f>K21</f>
        <v>eh</v>
      </c>
      <c r="S23" s="34" t="str">
        <f xml:space="preserve"> _xlfn.CONCAT(P23, "(\d)")</f>
        <v>eh(\d)</v>
      </c>
      <c r="T23" s="35" t="s">
        <v>223</v>
      </c>
      <c r="U23" s="35" t="str">
        <f t="shared" si="4"/>
        <v/>
      </c>
      <c r="V23" s="34" t="str">
        <f xml:space="preserve"> IFERROR( _xlfn.CONCAT(LEFT(P23,U23-1), "》", MID(P23,U23,1), "${1}", RIGHT(P23, LEN(P23)-U23)), "" )</f>
        <v/>
      </c>
      <c r="W23" s="44"/>
      <c r="X23" s="46" t="str">
        <f xml:space="preserve"> IF(AND(Q23&lt;&gt;"", P23&lt;&gt;""), "    - xform/》" &amp; S23 &amp;  "/"  &amp; V23 &amp;  "/", "")</f>
        <v xml:space="preserve">    - xform/》eh(\d)//</v>
      </c>
      <c r="Z23" s="37"/>
      <c r="AA23" s="37"/>
      <c r="AB23" s="37"/>
      <c r="AC23" s="37"/>
      <c r="AD23" s="37"/>
      <c r="AE23" s="37"/>
      <c r="AF23" s="37"/>
      <c r="AG23" s="37"/>
      <c r="AH23" s="37"/>
      <c r="AL23" s="38"/>
      <c r="AM23" s="38"/>
      <c r="AN23" s="38"/>
      <c r="AO23" s="38"/>
      <c r="AP23" s="38"/>
      <c r="AQ23" s="38"/>
      <c r="AR23" s="38"/>
      <c r="AS23" s="38"/>
      <c r="AT23" s="38"/>
      <c r="AU23" s="33"/>
      <c r="AV23" s="33"/>
      <c r="AW23" s="33"/>
      <c r="AX23" s="33"/>
      <c r="AY23" s="33"/>
      <c r="AZ23" s="33"/>
      <c r="BA23" s="33"/>
      <c r="BB23" s="33"/>
      <c r="BC23" s="33"/>
    </row>
    <row r="24" spans="1:55" ht="35.25" thickBot="1">
      <c r="A24" s="40">
        <f t="shared" si="8"/>
        <v>21</v>
      </c>
      <c r="B24" s="140" t="s">
        <v>302</v>
      </c>
      <c r="C24" s="139" t="s">
        <v>307</v>
      </c>
      <c r="D24" s="122" t="str">
        <f xml:space="preserve"> LEFT(韻母表[[#This Row],[十五音識別碼]],1)</f>
        <v>更</v>
      </c>
      <c r="E24" s="122" t="s">
        <v>650</v>
      </c>
      <c r="F24" s="141" t="s">
        <v>306</v>
      </c>
      <c r="G24" s="141" t="s">
        <v>773</v>
      </c>
      <c r="H24" s="41" t="s">
        <v>303</v>
      </c>
      <c r="I24" s="41" t="s">
        <v>304</v>
      </c>
      <c r="J24" s="41" t="s">
        <v>303</v>
      </c>
      <c r="K24" s="41" t="s">
        <v>303</v>
      </c>
      <c r="L24" s="42" t="s">
        <v>305</v>
      </c>
      <c r="M24" s="51" t="s">
        <v>245</v>
      </c>
      <c r="N24" s="43">
        <f t="shared" si="0"/>
        <v>3</v>
      </c>
      <c r="O24" s="45"/>
      <c r="P24" s="41" t="str">
        <f>J45</f>
        <v>inn</v>
      </c>
      <c r="Q24" s="41" t="str">
        <f>K45</f>
        <v>inn</v>
      </c>
      <c r="S24" s="34" t="str">
        <f t="shared" si="3"/>
        <v>inn(\d)</v>
      </c>
      <c r="T24" s="35" t="s">
        <v>235</v>
      </c>
      <c r="U24" s="35" t="str">
        <f t="shared" si="4"/>
        <v/>
      </c>
      <c r="V24" s="34" t="str">
        <f t="shared" si="5"/>
        <v/>
      </c>
      <c r="W24" s="44"/>
      <c r="X24" s="46" t="str">
        <f t="shared" si="6"/>
        <v xml:space="preserve">    - xform/》inn(\d)//</v>
      </c>
      <c r="Z24" s="37"/>
      <c r="AA24" s="37"/>
      <c r="AB24" s="37"/>
      <c r="AC24" s="37"/>
      <c r="AD24" s="37"/>
      <c r="AE24" s="37"/>
      <c r="AF24" s="37"/>
      <c r="AG24" s="37"/>
      <c r="AH24" s="37"/>
      <c r="AL24" s="38"/>
      <c r="AM24" s="38"/>
      <c r="AN24" s="38"/>
      <c r="AO24" s="38"/>
      <c r="AP24" s="38"/>
      <c r="AQ24" s="38"/>
      <c r="AR24" s="38"/>
      <c r="AS24" s="38"/>
      <c r="AT24" s="38"/>
      <c r="AU24" s="33"/>
      <c r="AV24" s="33"/>
      <c r="AW24" s="33"/>
      <c r="AX24" s="33"/>
      <c r="AY24" s="33"/>
      <c r="AZ24" s="33"/>
      <c r="BA24" s="33"/>
      <c r="BB24" s="33"/>
      <c r="BC24" s="33"/>
    </row>
    <row r="25" spans="1:55" ht="35.25" thickBot="1">
      <c r="A25" s="40">
        <f t="shared" si="8"/>
        <v>22</v>
      </c>
      <c r="B25" s="140" t="s">
        <v>308</v>
      </c>
      <c r="C25" s="139" t="s">
        <v>313</v>
      </c>
      <c r="D25" s="122" t="str">
        <f xml:space="preserve"> LEFT(韻母表[[#This Row],[十五音識別碼]],1)</f>
        <v>更</v>
      </c>
      <c r="E25" s="122" t="s">
        <v>651</v>
      </c>
      <c r="F25" s="142" t="s">
        <v>312</v>
      </c>
      <c r="G25" s="142" t="s">
        <v>774</v>
      </c>
      <c r="H25" s="49" t="s">
        <v>310</v>
      </c>
      <c r="I25" s="49" t="s">
        <v>310</v>
      </c>
      <c r="J25" s="58" t="s">
        <v>309</v>
      </c>
      <c r="K25" s="49" t="s">
        <v>310</v>
      </c>
      <c r="L25" s="49" t="s">
        <v>311</v>
      </c>
      <c r="M25" s="51" t="s">
        <v>245</v>
      </c>
      <c r="N25" s="43">
        <f t="shared" si="0"/>
        <v>4</v>
      </c>
      <c r="O25" s="45"/>
      <c r="P25" s="41" t="str">
        <f>J42</f>
        <v>im</v>
      </c>
      <c r="Q25" s="41" t="str">
        <f>K42</f>
        <v>im</v>
      </c>
      <c r="S25" s="34" t="str">
        <f t="shared" si="3"/>
        <v>im(\d)</v>
      </c>
      <c r="T25" s="35" t="s">
        <v>249</v>
      </c>
      <c r="U25" s="35" t="str">
        <f t="shared" si="4"/>
        <v/>
      </c>
      <c r="V25" s="34" t="str">
        <f t="shared" si="5"/>
        <v/>
      </c>
      <c r="W25" s="44"/>
      <c r="X25" s="46" t="str">
        <f t="shared" si="6"/>
        <v xml:space="preserve">    - xform/》im(\d)//</v>
      </c>
      <c r="Z25" s="37"/>
      <c r="AA25" s="37"/>
      <c r="AB25" s="37"/>
      <c r="AC25" s="37"/>
      <c r="AD25" s="37"/>
      <c r="AE25" s="37"/>
      <c r="AF25" s="37"/>
      <c r="AG25" s="37"/>
      <c r="AH25" s="37"/>
      <c r="AL25" s="38"/>
      <c r="AM25" s="38"/>
      <c r="AN25" s="38"/>
      <c r="AO25" s="38"/>
      <c r="AP25" s="38"/>
      <c r="AQ25" s="38"/>
      <c r="AR25" s="38"/>
      <c r="AS25" s="38"/>
      <c r="AT25" s="38"/>
      <c r="AU25" s="33"/>
      <c r="AV25" s="33"/>
      <c r="AW25" s="33"/>
      <c r="AX25" s="33"/>
      <c r="AY25" s="33"/>
      <c r="AZ25" s="33"/>
      <c r="BA25" s="33"/>
      <c r="BB25" s="33"/>
      <c r="BC25" s="33"/>
    </row>
    <row r="26" spans="1:55" ht="35.25" thickBot="1">
      <c r="A26" s="40">
        <f t="shared" si="8"/>
        <v>23</v>
      </c>
      <c r="B26" s="140" t="s">
        <v>267</v>
      </c>
      <c r="C26" s="139" t="s">
        <v>316</v>
      </c>
      <c r="D26" s="122" t="str">
        <f xml:space="preserve"> LEFT(韻母表[[#This Row],[十五音識別碼]],1)</f>
        <v>居</v>
      </c>
      <c r="E26" s="122" t="s">
        <v>652</v>
      </c>
      <c r="F26" s="141" t="s">
        <v>775</v>
      </c>
      <c r="G26" s="141" t="s">
        <v>775</v>
      </c>
      <c r="H26" s="41" t="s">
        <v>314</v>
      </c>
      <c r="I26" s="41" t="s">
        <v>314</v>
      </c>
      <c r="J26" s="41" t="s">
        <v>314</v>
      </c>
      <c r="K26" s="41" t="s">
        <v>314</v>
      </c>
      <c r="L26" s="42" t="s">
        <v>314</v>
      </c>
      <c r="M26" s="41"/>
      <c r="N26" s="43">
        <f t="shared" si="0"/>
        <v>1</v>
      </c>
      <c r="O26" s="45"/>
      <c r="P26" s="41" t="str">
        <f>J43</f>
        <v>in</v>
      </c>
      <c r="Q26" s="41" t="str">
        <f>K43</f>
        <v>in</v>
      </c>
      <c r="S26" s="34" t="str">
        <f t="shared" si="3"/>
        <v>in(\d)</v>
      </c>
      <c r="T26" s="35" t="s">
        <v>223</v>
      </c>
      <c r="U26" s="35" t="str">
        <f t="shared" si="4"/>
        <v/>
      </c>
      <c r="V26" s="34" t="str">
        <f t="shared" si="5"/>
        <v/>
      </c>
      <c r="W26" s="44"/>
      <c r="X26" s="46" t="str">
        <f t="shared" si="6"/>
        <v xml:space="preserve">    - xform/》in(\d)//</v>
      </c>
      <c r="Z26" s="37"/>
      <c r="AA26" s="37"/>
      <c r="AB26" s="37"/>
      <c r="AC26" s="37"/>
      <c r="AD26" s="37"/>
      <c r="AE26" s="37"/>
      <c r="AF26" s="37"/>
      <c r="AG26" s="37"/>
      <c r="AH26" s="37"/>
      <c r="AL26" s="38"/>
      <c r="AM26" s="38"/>
      <c r="AN26" s="38"/>
      <c r="AO26" s="38"/>
      <c r="AP26" s="38"/>
      <c r="AQ26" s="38"/>
      <c r="AR26" s="38"/>
      <c r="AS26" s="38"/>
      <c r="AT26" s="38"/>
      <c r="AU26" s="33"/>
      <c r="AV26" s="33"/>
      <c r="AW26" s="33"/>
      <c r="AX26" s="33"/>
      <c r="AY26" s="33"/>
      <c r="AZ26" s="33"/>
      <c r="BA26" s="33"/>
      <c r="BB26" s="33"/>
      <c r="BC26" s="33"/>
    </row>
    <row r="27" spans="1:55" ht="35.25" thickBot="1">
      <c r="A27" s="40">
        <f t="shared" si="8"/>
        <v>24</v>
      </c>
      <c r="B27" s="140" t="s">
        <v>718</v>
      </c>
      <c r="C27" s="139" t="s">
        <v>319</v>
      </c>
      <c r="D27" s="122" t="str">
        <f xml:space="preserve"> LEFT(韻母表[[#This Row],[十五音識別碼]],1)</f>
        <v>迦</v>
      </c>
      <c r="E27" s="122" t="s">
        <v>653</v>
      </c>
      <c r="F27" s="141" t="s">
        <v>776</v>
      </c>
      <c r="G27" s="141" t="s">
        <v>776</v>
      </c>
      <c r="H27" s="41" t="s">
        <v>317</v>
      </c>
      <c r="I27" s="41" t="s">
        <v>317</v>
      </c>
      <c r="J27" s="41" t="s">
        <v>317</v>
      </c>
      <c r="K27" s="41" t="s">
        <v>317</v>
      </c>
      <c r="L27" s="42" t="s">
        <v>317</v>
      </c>
      <c r="M27" s="41"/>
      <c r="N27" s="43">
        <f t="shared" si="0"/>
        <v>2</v>
      </c>
      <c r="O27" s="45"/>
      <c r="P27" s="41" t="str">
        <f>J30</f>
        <v>iam</v>
      </c>
      <c r="Q27" s="41" t="str">
        <f>K30</f>
        <v>iam</v>
      </c>
      <c r="S27" s="34" t="str">
        <f t="shared" si="3"/>
        <v>iam(\d)</v>
      </c>
      <c r="T27" s="35" t="s">
        <v>267</v>
      </c>
      <c r="U27" s="35">
        <f t="shared" si="4"/>
        <v>1</v>
      </c>
      <c r="V27" s="34" t="str">
        <f t="shared" si="5"/>
        <v>》i${1}am</v>
      </c>
      <c r="W27" s="44"/>
      <c r="X27" s="46" t="str">
        <f t="shared" si="6"/>
        <v xml:space="preserve">    - xform/》iam(\d)/》i${1}am/</v>
      </c>
      <c r="Z27" s="37"/>
      <c r="AA27" s="37"/>
      <c r="AB27" s="37"/>
      <c r="AC27" s="37"/>
      <c r="AD27" s="37"/>
      <c r="AE27" s="37"/>
      <c r="AF27" s="37"/>
      <c r="AG27" s="37"/>
      <c r="AH27" s="37"/>
      <c r="AL27" s="38"/>
      <c r="AM27" s="38"/>
      <c r="AN27" s="38"/>
      <c r="AO27" s="38"/>
      <c r="AP27" s="38"/>
      <c r="AQ27" s="38"/>
      <c r="AR27" s="38"/>
      <c r="AS27" s="38"/>
      <c r="AT27" s="38"/>
      <c r="AU27" s="33"/>
      <c r="AV27" s="33"/>
      <c r="AW27" s="33"/>
      <c r="AX27" s="33"/>
      <c r="AY27" s="33"/>
      <c r="AZ27" s="33"/>
      <c r="BA27" s="33"/>
      <c r="BB27" s="33"/>
      <c r="BC27" s="33"/>
    </row>
    <row r="28" spans="1:55" ht="35.25" thickBot="1">
      <c r="A28" s="40">
        <f t="shared" si="8"/>
        <v>25</v>
      </c>
      <c r="B28" s="140" t="str">
        <f xml:space="preserve"> _xlfn.CONCAT(B27, "ʔ")</f>
        <v>ɪaʔ</v>
      </c>
      <c r="C28" s="139" t="s">
        <v>322</v>
      </c>
      <c r="D28" s="122" t="str">
        <f xml:space="preserve"> LEFT(韻母表[[#This Row],[十五音識別碼]],1)</f>
        <v>迦</v>
      </c>
      <c r="E28" s="122" t="s">
        <v>654</v>
      </c>
      <c r="F28" s="141" t="s">
        <v>777</v>
      </c>
      <c r="G28" s="141" t="s">
        <v>778</v>
      </c>
      <c r="H28" s="41" t="s">
        <v>320</v>
      </c>
      <c r="I28" s="41" t="s">
        <v>320</v>
      </c>
      <c r="J28" s="41" t="s">
        <v>320</v>
      </c>
      <c r="K28" s="41" t="s">
        <v>320</v>
      </c>
      <c r="L28" s="42" t="s">
        <v>320</v>
      </c>
      <c r="M28" s="41"/>
      <c r="N28" s="43">
        <f t="shared" si="0"/>
        <v>3</v>
      </c>
      <c r="O28" s="45"/>
      <c r="P28" s="41" t="str">
        <f>J32</f>
        <v>iang</v>
      </c>
      <c r="Q28" s="41" t="str">
        <f>K32</f>
        <v>iang</v>
      </c>
      <c r="S28" s="34" t="str">
        <f t="shared" si="3"/>
        <v>iang(\d)</v>
      </c>
      <c r="T28" s="35" t="s">
        <v>267</v>
      </c>
      <c r="U28" s="35">
        <f t="shared" si="4"/>
        <v>1</v>
      </c>
      <c r="V28" s="34" t="str">
        <f t="shared" si="5"/>
        <v>》i${1}ang</v>
      </c>
      <c r="W28" s="44"/>
      <c r="X28" s="46" t="str">
        <f t="shared" si="6"/>
        <v xml:space="preserve">    - xform/》iang(\d)/》i${1}ang/</v>
      </c>
      <c r="Z28" s="37"/>
      <c r="AA28" s="37"/>
      <c r="AB28" s="37"/>
      <c r="AC28" s="37"/>
      <c r="AD28" s="37"/>
      <c r="AE28" s="37"/>
      <c r="AF28" s="37"/>
      <c r="AG28" s="37"/>
      <c r="AH28" s="37"/>
      <c r="AL28" s="38"/>
      <c r="AM28" s="38"/>
      <c r="AN28" s="38"/>
      <c r="AO28" s="38"/>
      <c r="AP28" s="38"/>
      <c r="AQ28" s="38"/>
      <c r="AR28" s="38"/>
      <c r="AS28" s="38"/>
      <c r="AT28" s="38"/>
      <c r="AU28" s="33"/>
      <c r="AV28" s="33"/>
      <c r="AW28" s="33"/>
      <c r="AX28" s="33"/>
      <c r="AY28" s="33"/>
      <c r="AZ28" s="33"/>
      <c r="BA28" s="33"/>
      <c r="BB28" s="33"/>
      <c r="BC28" s="33"/>
    </row>
    <row r="29" spans="1:55" ht="35.25" thickBot="1">
      <c r="A29" s="40">
        <f t="shared" si="8"/>
        <v>26</v>
      </c>
      <c r="B29" s="140" t="s">
        <v>719</v>
      </c>
      <c r="C29" s="139" t="s">
        <v>325</v>
      </c>
      <c r="D29" s="122" t="str">
        <f xml:space="preserve"> LEFT(韻母表[[#This Row],[十五音識別碼]],1)</f>
        <v>姜</v>
      </c>
      <c r="E29" s="122" t="s">
        <v>655</v>
      </c>
      <c r="F29" s="141" t="s">
        <v>779</v>
      </c>
      <c r="G29" s="141" t="s">
        <v>780</v>
      </c>
      <c r="H29" s="41" t="s">
        <v>323</v>
      </c>
      <c r="I29" s="41" t="s">
        <v>323</v>
      </c>
      <c r="J29" s="41" t="s">
        <v>323</v>
      </c>
      <c r="K29" s="41" t="s">
        <v>323</v>
      </c>
      <c r="L29" s="42" t="s">
        <v>323</v>
      </c>
      <c r="M29" s="41"/>
      <c r="N29" s="43">
        <f t="shared" si="0"/>
        <v>3</v>
      </c>
      <c r="O29" s="45"/>
      <c r="P29" s="41" t="str">
        <f>J46</f>
        <v>io</v>
      </c>
      <c r="Q29" s="41" t="str">
        <f>K46</f>
        <v>io</v>
      </c>
      <c r="S29" s="34" t="str">
        <f t="shared" si="3"/>
        <v>io(\d)</v>
      </c>
      <c r="T29" s="35" t="s">
        <v>223</v>
      </c>
      <c r="U29" s="35" t="str">
        <f t="shared" si="4"/>
        <v/>
      </c>
      <c r="V29" s="34" t="str">
        <f t="shared" si="5"/>
        <v/>
      </c>
      <c r="W29" s="44"/>
      <c r="X29" s="46" t="str">
        <f t="shared" si="6"/>
        <v xml:space="preserve">    - xform/》io(\d)//</v>
      </c>
      <c r="Z29" s="37"/>
      <c r="AA29" s="37"/>
      <c r="AB29" s="37"/>
      <c r="AC29" s="37"/>
      <c r="AD29" s="37"/>
      <c r="AE29" s="37"/>
      <c r="AF29" s="37"/>
      <c r="AG29" s="37"/>
      <c r="AH29" s="37"/>
      <c r="AL29" s="38"/>
      <c r="AM29" s="38"/>
      <c r="AN29" s="38"/>
      <c r="AO29" s="38"/>
      <c r="AP29" s="38"/>
      <c r="AQ29" s="38"/>
      <c r="AR29" s="38"/>
      <c r="AS29" s="38"/>
      <c r="AT29" s="38"/>
      <c r="AU29" s="33"/>
      <c r="AV29" s="33"/>
      <c r="AW29" s="33"/>
      <c r="AX29" s="33"/>
      <c r="AY29" s="33"/>
      <c r="AZ29" s="33"/>
      <c r="BA29" s="33"/>
      <c r="BB29" s="33"/>
      <c r="BC29" s="33"/>
    </row>
    <row r="30" spans="1:55" ht="35.25" thickBot="1">
      <c r="A30" s="40">
        <f t="shared" si="8"/>
        <v>27</v>
      </c>
      <c r="B30" s="140" t="s">
        <v>720</v>
      </c>
      <c r="C30" s="139" t="s">
        <v>328</v>
      </c>
      <c r="D30" s="122" t="str">
        <f xml:space="preserve"> LEFT(韻母表[[#This Row],[十五音識別碼]],1)</f>
        <v>兼</v>
      </c>
      <c r="E30" s="122" t="s">
        <v>656</v>
      </c>
      <c r="F30" s="141" t="s">
        <v>781</v>
      </c>
      <c r="G30" s="141" t="s">
        <v>782</v>
      </c>
      <c r="H30" s="41" t="s">
        <v>326</v>
      </c>
      <c r="I30" s="41" t="s">
        <v>326</v>
      </c>
      <c r="J30" s="41" t="s">
        <v>326</v>
      </c>
      <c r="K30" s="41" t="s">
        <v>326</v>
      </c>
      <c r="L30" s="42" t="s">
        <v>326</v>
      </c>
      <c r="M30" s="41"/>
      <c r="N30" s="43">
        <f t="shared" si="0"/>
        <v>3</v>
      </c>
      <c r="O30" s="45"/>
      <c r="P30" s="41" t="str">
        <f>J36</f>
        <v>iat</v>
      </c>
      <c r="Q30" s="41" t="str">
        <f>K36</f>
        <v>iat</v>
      </c>
      <c r="S30" s="34" t="str">
        <f t="shared" si="3"/>
        <v>iat(\d)</v>
      </c>
      <c r="T30" s="35" t="s">
        <v>249</v>
      </c>
      <c r="U30" s="35" t="str">
        <f t="shared" si="4"/>
        <v/>
      </c>
      <c r="V30" s="34" t="str">
        <f t="shared" si="5"/>
        <v/>
      </c>
      <c r="W30" s="44"/>
      <c r="X30" s="46" t="str">
        <f t="shared" si="6"/>
        <v xml:space="preserve">    - xform/》iat(\d)//</v>
      </c>
      <c r="Z30" s="37"/>
      <c r="AA30" s="37"/>
      <c r="AB30" s="37"/>
      <c r="AC30" s="37"/>
      <c r="AD30" s="37"/>
      <c r="AE30" s="37"/>
      <c r="AF30" s="37"/>
      <c r="AG30" s="37"/>
      <c r="AH30" s="37"/>
      <c r="AL30" s="38"/>
      <c r="AM30" s="38"/>
      <c r="AN30" s="38"/>
      <c r="AO30" s="38"/>
      <c r="AP30" s="38"/>
      <c r="AQ30" s="38"/>
      <c r="AR30" s="38"/>
      <c r="AS30" s="38"/>
      <c r="AT30" s="38"/>
      <c r="AU30" s="33"/>
      <c r="AV30" s="33"/>
      <c r="AW30" s="33"/>
      <c r="AX30" s="33"/>
      <c r="AY30" s="33"/>
      <c r="AZ30" s="33"/>
      <c r="BA30" s="33"/>
      <c r="BB30" s="33"/>
      <c r="BC30" s="33"/>
    </row>
    <row r="31" spans="1:55" ht="35.25" thickBot="1">
      <c r="A31" s="40">
        <f t="shared" si="8"/>
        <v>28</v>
      </c>
      <c r="B31" s="140" t="s">
        <v>721</v>
      </c>
      <c r="C31" s="139" t="s">
        <v>331</v>
      </c>
      <c r="D31" s="122" t="str">
        <f xml:space="preserve"> LEFT(韻母表[[#This Row],[十五音識別碼]],1)</f>
        <v>堅</v>
      </c>
      <c r="E31" s="122" t="s">
        <v>657</v>
      </c>
      <c r="F31" s="141" t="s">
        <v>783</v>
      </c>
      <c r="G31" s="141" t="s">
        <v>783</v>
      </c>
      <c r="H31" s="41" t="s">
        <v>329</v>
      </c>
      <c r="I31" s="41" t="s">
        <v>329</v>
      </c>
      <c r="J31" s="41" t="s">
        <v>329</v>
      </c>
      <c r="K31" s="41" t="s">
        <v>329</v>
      </c>
      <c r="L31" s="42" t="s">
        <v>329</v>
      </c>
      <c r="M31" s="41"/>
      <c r="N31" s="43">
        <f t="shared" si="0"/>
        <v>3</v>
      </c>
      <c r="O31" s="45"/>
      <c r="P31" s="41" t="str">
        <f>J29</f>
        <v>iak</v>
      </c>
      <c r="Q31" s="41" t="str">
        <f>K29</f>
        <v>iak</v>
      </c>
      <c r="S31" s="34" t="str">
        <f t="shared" si="3"/>
        <v>iak(\d)</v>
      </c>
      <c r="T31" s="35" t="s">
        <v>194</v>
      </c>
      <c r="U31" s="35" t="str">
        <f t="shared" si="4"/>
        <v/>
      </c>
      <c r="V31" s="34" t="str">
        <f t="shared" si="5"/>
        <v/>
      </c>
      <c r="W31" s="44"/>
      <c r="X31" s="46" t="str">
        <f t="shared" si="6"/>
        <v xml:space="preserve">    - xform/》iak(\d)//</v>
      </c>
      <c r="Z31" s="37"/>
      <c r="AA31" s="37"/>
      <c r="AB31" s="37"/>
      <c r="AC31" s="37"/>
      <c r="AD31" s="37"/>
      <c r="AE31" s="37"/>
      <c r="AF31" s="37"/>
      <c r="AG31" s="37"/>
      <c r="AH31" s="37"/>
      <c r="AL31" s="38"/>
      <c r="AM31" s="38"/>
      <c r="AN31" s="38"/>
      <c r="AO31" s="38"/>
      <c r="AP31" s="38"/>
      <c r="AQ31" s="38"/>
      <c r="AR31" s="38"/>
      <c r="AS31" s="38"/>
      <c r="AT31" s="38"/>
      <c r="AU31" s="33"/>
      <c r="AV31" s="33"/>
      <c r="AW31" s="33"/>
      <c r="AX31" s="33"/>
      <c r="AY31" s="33"/>
      <c r="AZ31" s="33"/>
      <c r="BA31" s="33"/>
      <c r="BB31" s="33"/>
      <c r="BC31" s="33"/>
    </row>
    <row r="32" spans="1:55" ht="35.25" thickBot="1">
      <c r="A32" s="40">
        <f t="shared" si="8"/>
        <v>29</v>
      </c>
      <c r="B32" s="140" t="s">
        <v>722</v>
      </c>
      <c r="C32" s="139" t="s">
        <v>334</v>
      </c>
      <c r="D32" s="122" t="str">
        <f xml:space="preserve"> LEFT(韻母表[[#This Row],[十五音識別碼]],1)</f>
        <v>姜</v>
      </c>
      <c r="E32" s="122" t="s">
        <v>658</v>
      </c>
      <c r="F32" s="141" t="s">
        <v>784</v>
      </c>
      <c r="G32" s="141" t="s">
        <v>784</v>
      </c>
      <c r="H32" s="41" t="s">
        <v>332</v>
      </c>
      <c r="I32" s="41" t="s">
        <v>332</v>
      </c>
      <c r="J32" s="41" t="s">
        <v>332</v>
      </c>
      <c r="K32" s="41" t="s">
        <v>332</v>
      </c>
      <c r="L32" s="42" t="s">
        <v>332</v>
      </c>
      <c r="M32" s="41"/>
      <c r="N32" s="43">
        <f t="shared" si="0"/>
        <v>4</v>
      </c>
      <c r="O32" s="45"/>
      <c r="P32" s="41" t="str">
        <f>J37</f>
        <v>iau</v>
      </c>
      <c r="Q32" s="41" t="str">
        <f>K37</f>
        <v>iau</v>
      </c>
      <c r="S32" s="34" t="str">
        <f t="shared" si="3"/>
        <v>iau(\d)</v>
      </c>
      <c r="T32" s="35" t="s">
        <v>235</v>
      </c>
      <c r="U32" s="35" t="str">
        <f t="shared" si="4"/>
        <v/>
      </c>
      <c r="V32" s="34" t="str">
        <f t="shared" si="5"/>
        <v/>
      </c>
      <c r="W32" s="44"/>
      <c r="X32" s="46" t="str">
        <f t="shared" si="6"/>
        <v xml:space="preserve">    - xform/》iau(\d)//</v>
      </c>
      <c r="Z32" s="37"/>
      <c r="AA32" s="37"/>
      <c r="AB32" s="37"/>
      <c r="AC32" s="37"/>
      <c r="AD32" s="37"/>
      <c r="AE32" s="37"/>
      <c r="AF32" s="37"/>
      <c r="AG32" s="37"/>
      <c r="AH32" s="37"/>
      <c r="AL32" s="38"/>
      <c r="AM32" s="38"/>
      <c r="AN32" s="38"/>
      <c r="AO32" s="38"/>
      <c r="AP32" s="38"/>
      <c r="AQ32" s="38"/>
      <c r="AR32" s="38"/>
      <c r="AS32" s="38"/>
      <c r="AT32" s="38"/>
      <c r="AU32" s="33"/>
      <c r="AV32" s="33"/>
      <c r="AW32" s="33"/>
      <c r="AX32" s="33"/>
      <c r="AY32" s="33"/>
      <c r="AZ32" s="33"/>
      <c r="BA32" s="33"/>
      <c r="BB32" s="33"/>
      <c r="BC32" s="33"/>
    </row>
    <row r="33" spans="1:55" ht="35.25" thickBot="1">
      <c r="A33" s="40">
        <f t="shared" si="8"/>
        <v>30</v>
      </c>
      <c r="B33" s="140" t="str">
        <f>_xlfn.CONCAT("ɪ", "a", _xlfn.UNICHAR(771), "")</f>
        <v>ɪã</v>
      </c>
      <c r="C33" s="139" t="s">
        <v>239</v>
      </c>
      <c r="D33" s="122" t="str">
        <f xml:space="preserve"> LEFT(韻母表[[#This Row],[十五音識別碼]],1)</f>
        <v>驚</v>
      </c>
      <c r="E33" s="122" t="s">
        <v>659</v>
      </c>
      <c r="F33" s="141" t="s">
        <v>785</v>
      </c>
      <c r="G33" s="141" t="s">
        <v>786</v>
      </c>
      <c r="H33" s="41" t="s">
        <v>335</v>
      </c>
      <c r="I33" s="41" t="s">
        <v>336</v>
      </c>
      <c r="J33" s="41" t="s">
        <v>335</v>
      </c>
      <c r="K33" s="41" t="s">
        <v>335</v>
      </c>
      <c r="L33" s="42" t="s">
        <v>337</v>
      </c>
      <c r="M33" s="51" t="s">
        <v>245</v>
      </c>
      <c r="N33" s="43">
        <f t="shared" si="0"/>
        <v>4</v>
      </c>
      <c r="O33" s="45"/>
      <c r="P33" s="41" t="str">
        <f>J31</f>
        <v>ian</v>
      </c>
      <c r="Q33" s="41" t="str">
        <f>K31</f>
        <v>ian</v>
      </c>
      <c r="S33" s="34" t="str">
        <f t="shared" si="3"/>
        <v>ian(\d)</v>
      </c>
      <c r="T33" s="35" t="s">
        <v>267</v>
      </c>
      <c r="U33" s="35">
        <f t="shared" si="4"/>
        <v>1</v>
      </c>
      <c r="V33" s="34" t="str">
        <f t="shared" si="5"/>
        <v>》i${1}an</v>
      </c>
      <c r="W33" s="44"/>
      <c r="X33" s="46" t="str">
        <f t="shared" si="6"/>
        <v xml:space="preserve">    - xform/》ian(\d)/》i${1}an/</v>
      </c>
      <c r="Z33" s="37"/>
      <c r="AA33" s="37"/>
      <c r="AB33" s="37"/>
      <c r="AC33" s="37"/>
      <c r="AD33" s="37"/>
      <c r="AE33" s="37"/>
      <c r="AF33" s="37"/>
      <c r="AG33" s="37"/>
      <c r="AH33" s="37"/>
      <c r="AL33" s="38"/>
      <c r="AM33" s="38"/>
      <c r="AN33" s="38"/>
      <c r="AO33" s="38"/>
      <c r="AP33" s="38"/>
      <c r="AQ33" s="38"/>
      <c r="AR33" s="38"/>
      <c r="AS33" s="38"/>
      <c r="AT33" s="38"/>
      <c r="AU33" s="33"/>
      <c r="AV33" s="33"/>
      <c r="AW33" s="33"/>
      <c r="AX33" s="33"/>
      <c r="AY33" s="33"/>
      <c r="AZ33" s="33"/>
      <c r="BA33" s="33"/>
      <c r="BB33" s="33"/>
      <c r="BC33" s="33"/>
    </row>
    <row r="34" spans="1:55" ht="35.25" thickBot="1">
      <c r="A34" s="40">
        <f t="shared" si="8"/>
        <v>31</v>
      </c>
      <c r="B34" s="140" t="str">
        <f xml:space="preserve"> _xlfn.CONCAT(B33, "ʔ")</f>
        <v>ɪãʔ</v>
      </c>
      <c r="C34" s="139" t="s">
        <v>342</v>
      </c>
      <c r="D34" s="122" t="str">
        <f xml:space="preserve"> LEFT(韻母表[[#This Row],[十五音識別碼]],1)</f>
        <v>迦</v>
      </c>
      <c r="E34" s="122" t="s">
        <v>654</v>
      </c>
      <c r="F34" s="142" t="s">
        <v>787</v>
      </c>
      <c r="G34" s="142" t="s">
        <v>788</v>
      </c>
      <c r="H34" s="49" t="s">
        <v>340</v>
      </c>
      <c r="I34" s="49" t="s">
        <v>340</v>
      </c>
      <c r="J34" s="50" t="s">
        <v>339</v>
      </c>
      <c r="K34" s="49" t="s">
        <v>340</v>
      </c>
      <c r="L34" s="49" t="s">
        <v>341</v>
      </c>
      <c r="M34" s="51" t="s">
        <v>245</v>
      </c>
      <c r="N34" s="43">
        <f t="shared" si="0"/>
        <v>5</v>
      </c>
      <c r="O34" s="45"/>
      <c r="P34" s="41" t="str">
        <f>J35</f>
        <v>iap</v>
      </c>
      <c r="Q34" s="41" t="str">
        <f>K35</f>
        <v>iap</v>
      </c>
      <c r="S34" s="34" t="str">
        <f t="shared" si="3"/>
        <v>iap(\d)</v>
      </c>
      <c r="T34" s="35" t="s">
        <v>267</v>
      </c>
      <c r="U34" s="35">
        <f t="shared" si="4"/>
        <v>1</v>
      </c>
      <c r="V34" s="34" t="str">
        <f t="shared" si="5"/>
        <v>》i${1}ap</v>
      </c>
      <c r="W34" s="44"/>
      <c r="X34" s="46" t="str">
        <f t="shared" si="6"/>
        <v xml:space="preserve">    - xform/》iap(\d)/》i${1}ap/</v>
      </c>
      <c r="Z34" s="37"/>
      <c r="AA34" s="37"/>
      <c r="AB34" s="37"/>
      <c r="AC34" s="37"/>
      <c r="AD34" s="37"/>
      <c r="AE34" s="37"/>
      <c r="AF34" s="37"/>
      <c r="AG34" s="37"/>
      <c r="AH34" s="37"/>
      <c r="AL34" s="38"/>
      <c r="AM34" s="38"/>
      <c r="AN34" s="38"/>
      <c r="AO34" s="38"/>
      <c r="AP34" s="38"/>
      <c r="AQ34" s="38"/>
      <c r="AR34" s="38"/>
      <c r="AS34" s="38"/>
      <c r="AT34" s="38"/>
      <c r="AU34" s="33"/>
      <c r="AV34" s="33"/>
      <c r="AW34" s="33"/>
      <c r="AX34" s="33"/>
      <c r="AY34" s="33"/>
      <c r="AZ34" s="33"/>
      <c r="BA34" s="33"/>
      <c r="BB34" s="33"/>
      <c r="BC34" s="33"/>
    </row>
    <row r="35" spans="1:55" ht="54.75" thickBot="1">
      <c r="A35" s="40">
        <f t="shared" si="8"/>
        <v>32</v>
      </c>
      <c r="B35" s="140" t="s">
        <v>723</v>
      </c>
      <c r="C35" s="139" t="s">
        <v>345</v>
      </c>
      <c r="D35" s="122" t="str">
        <f xml:space="preserve"> LEFT(韻母表[[#This Row],[十五音識別碼]],1)</f>
        <v>兼</v>
      </c>
      <c r="E35" s="122" t="s">
        <v>660</v>
      </c>
      <c r="F35" s="141" t="s">
        <v>789</v>
      </c>
      <c r="G35" s="141" t="s">
        <v>790</v>
      </c>
      <c r="H35" s="41" t="s">
        <v>343</v>
      </c>
      <c r="I35" s="41" t="s">
        <v>343</v>
      </c>
      <c r="J35" s="41" t="s">
        <v>343</v>
      </c>
      <c r="K35" s="41" t="s">
        <v>343</v>
      </c>
      <c r="L35" s="42" t="s">
        <v>343</v>
      </c>
      <c r="M35" s="41"/>
      <c r="N35" s="43">
        <f t="shared" ref="N35:N66" si="10" xml:space="preserve"> LEN(K35)</f>
        <v>3</v>
      </c>
      <c r="O35" s="45"/>
      <c r="P35" s="41" t="str">
        <f>J39</f>
        <v>iaunn</v>
      </c>
      <c r="Q35" s="41" t="str">
        <f>K39</f>
        <v>iaunn</v>
      </c>
      <c r="S35" s="34" t="str">
        <f t="shared" si="3"/>
        <v>iaunn(\d)</v>
      </c>
      <c r="T35" s="35" t="s">
        <v>235</v>
      </c>
      <c r="U35" s="35" t="str">
        <f t="shared" ref="U35:U55" si="11" xml:space="preserve"> IFERROR( IF(T35="", "", SEARCH(T35, $P35)), "")</f>
        <v/>
      </c>
      <c r="V35" s="34" t="str">
        <f t="shared" si="5"/>
        <v/>
      </c>
      <c r="W35" s="44"/>
      <c r="X35" s="46" t="str">
        <f t="shared" si="6"/>
        <v xml:space="preserve">    - xform/》iaunn(\d)//</v>
      </c>
      <c r="Z35" s="37"/>
      <c r="AA35" s="37"/>
      <c r="AB35" s="37"/>
      <c r="AC35" s="37"/>
      <c r="AD35" s="37"/>
      <c r="AE35" s="37"/>
      <c r="AF35" s="37"/>
      <c r="AG35" s="37"/>
      <c r="AH35" s="37"/>
      <c r="AL35" s="38"/>
      <c r="AM35" s="38"/>
      <c r="AN35" s="38"/>
      <c r="AO35" s="38"/>
      <c r="AP35" s="38"/>
      <c r="AQ35" s="38"/>
      <c r="AR35" s="38"/>
      <c r="AS35" s="38"/>
      <c r="AT35" s="38"/>
      <c r="AU35" s="33"/>
      <c r="AV35" s="33"/>
      <c r="AW35" s="33"/>
      <c r="AX35" s="33"/>
      <c r="AY35" s="33"/>
      <c r="AZ35" s="33"/>
      <c r="BA35" s="33"/>
      <c r="BB35" s="33"/>
      <c r="BC35" s="33"/>
    </row>
    <row r="36" spans="1:55" ht="35.25" thickBot="1">
      <c r="A36" s="40">
        <f t="shared" si="8"/>
        <v>33</v>
      </c>
      <c r="B36" s="140" t="s">
        <v>724</v>
      </c>
      <c r="C36" s="139" t="s">
        <v>348</v>
      </c>
      <c r="D36" s="122" t="str">
        <f xml:space="preserve"> LEFT(韻母表[[#This Row],[十五音識別碼]],1)</f>
        <v>堅</v>
      </c>
      <c r="E36" s="122" t="s">
        <v>661</v>
      </c>
      <c r="F36" s="141" t="s">
        <v>791</v>
      </c>
      <c r="G36" s="141" t="s">
        <v>792</v>
      </c>
      <c r="H36" s="41" t="s">
        <v>346</v>
      </c>
      <c r="I36" s="41" t="s">
        <v>346</v>
      </c>
      <c r="J36" s="41" t="s">
        <v>346</v>
      </c>
      <c r="K36" s="41" t="s">
        <v>346</v>
      </c>
      <c r="L36" s="42" t="s">
        <v>346</v>
      </c>
      <c r="M36" s="41"/>
      <c r="N36" s="43">
        <f t="shared" si="10"/>
        <v>3</v>
      </c>
      <c r="O36" s="45"/>
      <c r="P36" s="41" t="str">
        <f>J38</f>
        <v>iauh</v>
      </c>
      <c r="Q36" s="41" t="str">
        <f>K38</f>
        <v>iauh</v>
      </c>
      <c r="S36" s="34" t="str">
        <f t="shared" si="3"/>
        <v>iauh(\d)</v>
      </c>
      <c r="T36" s="35" t="s">
        <v>235</v>
      </c>
      <c r="U36" s="35" t="str">
        <f t="shared" si="11"/>
        <v/>
      </c>
      <c r="V36" s="34" t="str">
        <f t="shared" si="5"/>
        <v/>
      </c>
      <c r="W36" s="44"/>
      <c r="X36" s="46" t="str">
        <f t="shared" si="6"/>
        <v xml:space="preserve">    - xform/》iauh(\d)//</v>
      </c>
      <c r="Z36" s="37"/>
      <c r="AA36" s="37"/>
      <c r="AB36" s="37"/>
      <c r="AC36" s="37"/>
      <c r="AD36" s="37"/>
      <c r="AE36" s="37"/>
      <c r="AF36" s="37"/>
      <c r="AG36" s="37"/>
      <c r="AH36" s="37"/>
      <c r="AL36" s="38"/>
      <c r="AM36" s="38"/>
      <c r="AN36" s="38"/>
      <c r="AO36" s="38"/>
      <c r="AP36" s="38"/>
      <c r="AQ36" s="38"/>
      <c r="AR36" s="38"/>
      <c r="AS36" s="38"/>
      <c r="AT36" s="38"/>
      <c r="AU36" s="33"/>
      <c r="AV36" s="33"/>
      <c r="AW36" s="33"/>
      <c r="AX36" s="33"/>
      <c r="AY36" s="33"/>
      <c r="AZ36" s="33"/>
      <c r="BA36" s="33"/>
      <c r="BB36" s="33"/>
      <c r="BC36" s="33"/>
    </row>
    <row r="37" spans="1:55" ht="35.25" thickBot="1">
      <c r="A37" s="40">
        <f t="shared" si="8"/>
        <v>34</v>
      </c>
      <c r="B37" s="140" t="s">
        <v>725</v>
      </c>
      <c r="C37" s="139" t="s">
        <v>352</v>
      </c>
      <c r="D37" s="122" t="str">
        <f xml:space="preserve"> LEFT(韻母表[[#This Row],[十五音識別碼]],1)</f>
        <v>嬌</v>
      </c>
      <c r="E37" s="122" t="s">
        <v>662</v>
      </c>
      <c r="F37" s="141" t="s">
        <v>793</v>
      </c>
      <c r="G37" s="141" t="s">
        <v>793</v>
      </c>
      <c r="H37" s="41" t="s">
        <v>349</v>
      </c>
      <c r="I37" s="41" t="s">
        <v>350</v>
      </c>
      <c r="J37" s="41" t="s">
        <v>349</v>
      </c>
      <c r="K37" s="41" t="s">
        <v>349</v>
      </c>
      <c r="L37" s="42" t="s">
        <v>349</v>
      </c>
      <c r="M37" s="41"/>
      <c r="N37" s="43">
        <f t="shared" si="10"/>
        <v>3</v>
      </c>
      <c r="O37" s="45"/>
      <c r="P37" s="41" t="str">
        <f>J52</f>
        <v>ionn</v>
      </c>
      <c r="Q37" s="41" t="str">
        <f>K52</f>
        <v>ionn</v>
      </c>
      <c r="S37" s="34" t="str">
        <f t="shared" si="3"/>
        <v>ionn(\d)</v>
      </c>
      <c r="T37" s="35" t="s">
        <v>223</v>
      </c>
      <c r="U37" s="35" t="str">
        <f t="shared" si="11"/>
        <v/>
      </c>
      <c r="V37" s="34" t="str">
        <f t="shared" si="5"/>
        <v/>
      </c>
      <c r="W37" s="44"/>
      <c r="X37" s="46" t="str">
        <f t="shared" si="6"/>
        <v xml:space="preserve">    - xform/》ionn(\d)//</v>
      </c>
      <c r="Z37" s="37"/>
      <c r="AA37" s="37"/>
      <c r="AB37" s="37"/>
      <c r="AC37" s="37"/>
      <c r="AD37" s="37"/>
      <c r="AE37" s="37"/>
      <c r="AF37" s="37"/>
      <c r="AG37" s="37"/>
      <c r="AH37" s="37"/>
      <c r="AL37" s="38"/>
      <c r="AM37" s="38"/>
      <c r="AN37" s="38"/>
      <c r="AO37" s="38"/>
      <c r="AP37" s="38"/>
      <c r="AQ37" s="38"/>
      <c r="AR37" s="38"/>
      <c r="AS37" s="38"/>
      <c r="AT37" s="38"/>
      <c r="AU37" s="33"/>
      <c r="AV37" s="33"/>
      <c r="AW37" s="33"/>
      <c r="AX37" s="33"/>
      <c r="AY37" s="33"/>
      <c r="AZ37" s="33"/>
      <c r="BA37" s="33"/>
      <c r="BB37" s="33"/>
      <c r="BC37" s="33"/>
    </row>
    <row r="38" spans="1:55" ht="35.25" thickBot="1">
      <c r="A38" s="40">
        <f t="shared" si="8"/>
        <v>35</v>
      </c>
      <c r="B38" s="140" t="str">
        <f xml:space="preserve"> _xlfn.CONCAT(B37, "ʔ")</f>
        <v>ɪaʊʔ</v>
      </c>
      <c r="C38" s="139" t="s">
        <v>356</v>
      </c>
      <c r="D38" s="122" t="str">
        <f xml:space="preserve"> LEFT(韻母表[[#This Row],[十五音識別碼]],1)</f>
        <v>嬌</v>
      </c>
      <c r="E38" s="122" t="s">
        <v>663</v>
      </c>
      <c r="F38" s="141" t="s">
        <v>794</v>
      </c>
      <c r="G38" s="141" t="s">
        <v>795</v>
      </c>
      <c r="H38" s="41" t="s">
        <v>353</v>
      </c>
      <c r="I38" s="41" t="s">
        <v>354</v>
      </c>
      <c r="J38" s="41" t="s">
        <v>353</v>
      </c>
      <c r="K38" s="41" t="s">
        <v>353</v>
      </c>
      <c r="L38" s="42" t="s">
        <v>353</v>
      </c>
      <c r="M38" s="41"/>
      <c r="N38" s="43">
        <f t="shared" si="10"/>
        <v>4</v>
      </c>
      <c r="O38" s="45"/>
      <c r="P38" s="41" t="str">
        <f>J49</f>
        <v>iong</v>
      </c>
      <c r="Q38" s="41" t="str">
        <f>K49</f>
        <v>iong</v>
      </c>
      <c r="S38" s="34" t="str">
        <f t="shared" si="3"/>
        <v>iong(\d)</v>
      </c>
      <c r="T38" s="35" t="s">
        <v>223</v>
      </c>
      <c r="U38" s="35" t="str">
        <f t="shared" si="11"/>
        <v/>
      </c>
      <c r="V38" s="34" t="str">
        <f t="shared" si="5"/>
        <v/>
      </c>
      <c r="W38" s="44"/>
      <c r="X38" s="46" t="str">
        <f t="shared" si="6"/>
        <v xml:space="preserve">    - xform/》iong(\d)//</v>
      </c>
      <c r="Z38" s="37"/>
      <c r="AA38" s="37"/>
      <c r="AB38" s="37"/>
      <c r="AC38" s="37"/>
      <c r="AD38" s="37"/>
      <c r="AE38" s="37"/>
      <c r="AF38" s="37"/>
      <c r="AG38" s="37"/>
      <c r="AH38" s="37"/>
      <c r="AL38" s="38"/>
      <c r="AM38" s="38"/>
      <c r="AN38" s="38"/>
      <c r="AO38" s="38"/>
      <c r="AP38" s="38"/>
      <c r="AQ38" s="38"/>
      <c r="AR38" s="38"/>
      <c r="AS38" s="38"/>
      <c r="AT38" s="38"/>
      <c r="AU38" s="33"/>
      <c r="AV38" s="33"/>
      <c r="AW38" s="33"/>
      <c r="AX38" s="33"/>
      <c r="AY38" s="33"/>
      <c r="AZ38" s="33"/>
      <c r="BA38" s="33"/>
      <c r="BB38" s="33"/>
      <c r="BC38" s="33"/>
    </row>
    <row r="39" spans="1:55" ht="35.25" thickBot="1">
      <c r="A39" s="40">
        <f t="shared" si="8"/>
        <v>36</v>
      </c>
      <c r="B39" s="140" t="str">
        <f>_xlfn.CONCAT("ɪ", "a", _xlfn.UNICHAR(771), "ʊ")</f>
        <v>ɪãʊ</v>
      </c>
      <c r="C39" s="139" t="s">
        <v>361</v>
      </c>
      <c r="D39" s="122" t="str">
        <f xml:space="preserve"> LEFT(韻母表[[#This Row],[十五音識別碼]],1)</f>
        <v>嘄</v>
      </c>
      <c r="E39" s="122" t="s">
        <v>664</v>
      </c>
      <c r="F39" s="141" t="s">
        <v>796</v>
      </c>
      <c r="G39" s="141" t="s">
        <v>797</v>
      </c>
      <c r="H39" s="41" t="s">
        <v>357</v>
      </c>
      <c r="I39" s="41" t="s">
        <v>358</v>
      </c>
      <c r="J39" s="41" t="s">
        <v>357</v>
      </c>
      <c r="K39" s="41" t="s">
        <v>357</v>
      </c>
      <c r="L39" s="42" t="s">
        <v>359</v>
      </c>
      <c r="M39" s="51" t="s">
        <v>245</v>
      </c>
      <c r="N39" s="43">
        <f t="shared" si="10"/>
        <v>5</v>
      </c>
      <c r="O39" s="45"/>
      <c r="P39" s="41" t="str">
        <f>J47</f>
        <v>ioh</v>
      </c>
      <c r="Q39" s="41" t="str">
        <f>K47</f>
        <v>ioh</v>
      </c>
      <c r="S39" s="34" t="str">
        <f t="shared" si="3"/>
        <v>ioh(\d)</v>
      </c>
      <c r="T39" s="35" t="s">
        <v>223</v>
      </c>
      <c r="U39" s="35" t="str">
        <f t="shared" si="11"/>
        <v/>
      </c>
      <c r="V39" s="34" t="str">
        <f t="shared" si="5"/>
        <v/>
      </c>
      <c r="W39" s="44"/>
      <c r="X39" s="46" t="str">
        <f t="shared" si="6"/>
        <v xml:space="preserve">    - xform/》ioh(\d)//</v>
      </c>
      <c r="Z39" s="37"/>
      <c r="AA39" s="37"/>
      <c r="AB39" s="37"/>
      <c r="AC39" s="37"/>
      <c r="AD39" s="37"/>
      <c r="AE39" s="37"/>
      <c r="AF39" s="37"/>
      <c r="AG39" s="37"/>
      <c r="AH39" s="37"/>
      <c r="AL39" s="38"/>
      <c r="AM39" s="38"/>
      <c r="AN39" s="38"/>
      <c r="AO39" s="38"/>
      <c r="AP39" s="38"/>
      <c r="AQ39" s="38"/>
      <c r="AR39" s="38"/>
      <c r="AS39" s="38"/>
      <c r="AT39" s="38"/>
      <c r="AU39" s="33"/>
      <c r="AV39" s="33"/>
      <c r="AW39" s="33"/>
      <c r="AX39" s="33"/>
      <c r="AY39" s="33"/>
      <c r="AZ39" s="33"/>
      <c r="BA39" s="33"/>
      <c r="BB39" s="33"/>
      <c r="BC39" s="33"/>
    </row>
    <row r="40" spans="1:55" ht="35.25" thickBot="1">
      <c r="A40" s="40">
        <f t="shared" si="8"/>
        <v>37</v>
      </c>
      <c r="B40" s="140" t="s">
        <v>362</v>
      </c>
      <c r="C40" s="139" t="s">
        <v>365</v>
      </c>
      <c r="D40" s="122" t="str">
        <f xml:space="preserve"> LEFT(韻母表[[#This Row],[十五音識別碼]],1)</f>
        <v>居</v>
      </c>
      <c r="E40" s="122" t="s">
        <v>665</v>
      </c>
      <c r="F40" s="141" t="s">
        <v>798</v>
      </c>
      <c r="G40" s="141" t="s">
        <v>799</v>
      </c>
      <c r="H40" s="41" t="s">
        <v>363</v>
      </c>
      <c r="I40" s="41" t="s">
        <v>363</v>
      </c>
      <c r="J40" s="41" t="s">
        <v>363</v>
      </c>
      <c r="K40" s="41" t="s">
        <v>363</v>
      </c>
      <c r="L40" s="42" t="s">
        <v>363</v>
      </c>
      <c r="M40" s="41"/>
      <c r="N40" s="43">
        <f t="shared" si="10"/>
        <v>2</v>
      </c>
      <c r="O40" s="45"/>
      <c r="P40" s="41" t="str">
        <f>J50</f>
        <v>ip</v>
      </c>
      <c r="Q40" s="41" t="str">
        <f>K50</f>
        <v>ip</v>
      </c>
      <c r="S40" s="34" t="str">
        <f t="shared" si="3"/>
        <v>ip(\d)</v>
      </c>
      <c r="T40" s="35" t="s">
        <v>223</v>
      </c>
      <c r="U40" s="35" t="str">
        <f t="shared" si="11"/>
        <v/>
      </c>
      <c r="V40" s="34" t="str">
        <f t="shared" si="5"/>
        <v/>
      </c>
      <c r="W40" s="44"/>
      <c r="X40" s="46" t="str">
        <f t="shared" si="6"/>
        <v xml:space="preserve">    - xform/》ip(\d)//</v>
      </c>
      <c r="Z40" s="37"/>
      <c r="AA40" s="37"/>
      <c r="AB40" s="37"/>
      <c r="AC40" s="37"/>
      <c r="AD40" s="37"/>
      <c r="AE40" s="37"/>
      <c r="AF40" s="37"/>
      <c r="AG40" s="37"/>
      <c r="AH40" s="37"/>
      <c r="AL40" s="38"/>
      <c r="AM40" s="38"/>
      <c r="AN40" s="38"/>
      <c r="AO40" s="38"/>
      <c r="AP40" s="38"/>
      <c r="AQ40" s="38"/>
      <c r="AR40" s="38"/>
      <c r="AS40" s="38"/>
      <c r="AT40" s="38"/>
      <c r="AU40" s="33"/>
      <c r="AV40" s="33"/>
      <c r="AW40" s="33"/>
      <c r="AX40" s="33"/>
      <c r="AY40" s="33"/>
      <c r="AZ40" s="33"/>
      <c r="BA40" s="33"/>
      <c r="BB40" s="33"/>
      <c r="BC40" s="33"/>
    </row>
    <row r="41" spans="1:55" ht="54.75" thickBot="1">
      <c r="A41" s="40">
        <f t="shared" si="8"/>
        <v>38</v>
      </c>
      <c r="B41" s="140" t="s">
        <v>366</v>
      </c>
      <c r="C41" s="139" t="s">
        <v>371</v>
      </c>
      <c r="D41" s="122" t="str">
        <f xml:space="preserve"> LEFT(韻母表[[#This Row],[十五音識別碼]],1)</f>
        <v>經</v>
      </c>
      <c r="E41" s="122" t="s">
        <v>648</v>
      </c>
      <c r="F41" s="141" t="s">
        <v>800</v>
      </c>
      <c r="G41" s="141" t="s">
        <v>801</v>
      </c>
      <c r="H41" s="41" t="s">
        <v>368</v>
      </c>
      <c r="I41" s="41" t="s">
        <v>367</v>
      </c>
      <c r="J41" s="41" t="s">
        <v>367</v>
      </c>
      <c r="K41" s="41" t="s">
        <v>367</v>
      </c>
      <c r="L41" s="42" t="s">
        <v>369</v>
      </c>
      <c r="M41" s="41"/>
      <c r="N41" s="43">
        <f t="shared" si="10"/>
        <v>2</v>
      </c>
      <c r="O41" s="45"/>
      <c r="P41" s="41" t="str">
        <f>J34</f>
        <v>iannh</v>
      </c>
      <c r="Q41" s="41" t="str">
        <f>K34</f>
        <v>iannh</v>
      </c>
      <c r="S41" s="34" t="str">
        <f t="shared" si="3"/>
        <v>iannh(\d)</v>
      </c>
      <c r="T41" s="35" t="s">
        <v>223</v>
      </c>
      <c r="U41" s="35">
        <f t="shared" si="11"/>
        <v>2</v>
      </c>
      <c r="V41" s="34" t="str">
        <f t="shared" si="5"/>
        <v>i》a${1}nnh</v>
      </c>
      <c r="W41" s="44"/>
      <c r="X41" s="46" t="str">
        <f t="shared" si="6"/>
        <v xml:space="preserve">    - xform/》iannh(\d)/i》a${1}nnh/</v>
      </c>
      <c r="Z41" s="37"/>
      <c r="AA41" s="37"/>
      <c r="AB41" s="37"/>
      <c r="AC41" s="37"/>
      <c r="AD41" s="37"/>
      <c r="AE41" s="37"/>
      <c r="AF41" s="37"/>
      <c r="AG41" s="37"/>
      <c r="AH41" s="37"/>
      <c r="AL41" s="38"/>
      <c r="AM41" s="38"/>
      <c r="AN41" s="38"/>
      <c r="AO41" s="38"/>
      <c r="AP41" s="38"/>
      <c r="AQ41" s="38"/>
      <c r="AR41" s="38"/>
      <c r="AS41" s="38"/>
      <c r="AT41" s="38"/>
      <c r="AU41" s="33"/>
      <c r="AV41" s="33"/>
      <c r="AW41" s="33"/>
      <c r="AX41" s="33"/>
      <c r="AY41" s="33"/>
      <c r="AZ41" s="33"/>
      <c r="BA41" s="33"/>
      <c r="BB41" s="33"/>
      <c r="BC41" s="33"/>
    </row>
    <row r="42" spans="1:55" ht="35.25" thickBot="1">
      <c r="A42" s="40">
        <f t="shared" si="8"/>
        <v>39</v>
      </c>
      <c r="B42" s="140" t="s">
        <v>372</v>
      </c>
      <c r="C42" s="139" t="s">
        <v>375</v>
      </c>
      <c r="D42" s="122" t="str">
        <f xml:space="preserve"> LEFT(韻母表[[#This Row],[十五音識別碼]],1)</f>
        <v>金</v>
      </c>
      <c r="E42" s="122" t="s">
        <v>666</v>
      </c>
      <c r="F42" s="141" t="s">
        <v>802</v>
      </c>
      <c r="G42" s="141" t="s">
        <v>803</v>
      </c>
      <c r="H42" s="41" t="s">
        <v>373</v>
      </c>
      <c r="I42" s="41" t="s">
        <v>373</v>
      </c>
      <c r="J42" s="41" t="s">
        <v>373</v>
      </c>
      <c r="K42" s="41" t="s">
        <v>373</v>
      </c>
      <c r="L42" s="42" t="s">
        <v>373</v>
      </c>
      <c r="M42" s="41"/>
      <c r="N42" s="43">
        <f t="shared" si="10"/>
        <v>2</v>
      </c>
      <c r="O42" s="45"/>
      <c r="P42" s="41" t="str">
        <f>J51</f>
        <v>it</v>
      </c>
      <c r="Q42" s="41" t="str">
        <f>K51</f>
        <v>it</v>
      </c>
      <c r="S42" s="34" t="str">
        <f t="shared" si="3"/>
        <v>it(\d)</v>
      </c>
      <c r="T42" s="35" t="s">
        <v>223</v>
      </c>
      <c r="U42" s="35" t="str">
        <f t="shared" si="11"/>
        <v/>
      </c>
      <c r="V42" s="34" t="str">
        <f t="shared" si="5"/>
        <v/>
      </c>
      <c r="W42" s="44"/>
      <c r="X42" s="46" t="str">
        <f t="shared" si="6"/>
        <v xml:space="preserve">    - xform/》it(\d)//</v>
      </c>
      <c r="Z42" s="37"/>
      <c r="AA42" s="37"/>
      <c r="AB42" s="37"/>
      <c r="AC42" s="37"/>
      <c r="AD42" s="37"/>
      <c r="AE42" s="37"/>
      <c r="AF42" s="37"/>
      <c r="AG42" s="37"/>
      <c r="AH42" s="37"/>
      <c r="AL42" s="38"/>
      <c r="AM42" s="38"/>
      <c r="AN42" s="38"/>
      <c r="AO42" s="38"/>
      <c r="AP42" s="38"/>
      <c r="AQ42" s="38"/>
      <c r="AR42" s="38"/>
      <c r="AS42" s="38"/>
      <c r="AT42" s="38"/>
      <c r="AU42" s="33"/>
      <c r="AV42" s="33"/>
      <c r="AW42" s="33"/>
      <c r="AX42" s="33"/>
      <c r="AY42" s="33"/>
      <c r="AZ42" s="33"/>
      <c r="BA42" s="33"/>
      <c r="BB42" s="33"/>
      <c r="BC42" s="33"/>
    </row>
    <row r="43" spans="1:55" ht="35.25" thickBot="1">
      <c r="A43" s="40">
        <f t="shared" si="8"/>
        <v>40</v>
      </c>
      <c r="B43" s="140" t="s">
        <v>376</v>
      </c>
      <c r="C43" s="139" t="s">
        <v>379</v>
      </c>
      <c r="D43" s="122" t="str">
        <f xml:space="preserve"> LEFT(韻母表[[#This Row],[十五音識別碼]],1)</f>
        <v>巾</v>
      </c>
      <c r="E43" s="122" t="s">
        <v>667</v>
      </c>
      <c r="F43" s="141" t="s">
        <v>804</v>
      </c>
      <c r="G43" s="141" t="s">
        <v>804</v>
      </c>
      <c r="H43" s="41" t="s">
        <v>377</v>
      </c>
      <c r="I43" s="41" t="s">
        <v>377</v>
      </c>
      <c r="J43" s="41" t="s">
        <v>377</v>
      </c>
      <c r="K43" s="41" t="s">
        <v>377</v>
      </c>
      <c r="L43" s="42" t="s">
        <v>377</v>
      </c>
      <c r="M43" s="41"/>
      <c r="N43" s="43">
        <f t="shared" si="10"/>
        <v>2</v>
      </c>
      <c r="O43" s="45"/>
      <c r="P43" s="41" t="str">
        <f>J41</f>
        <v>ik</v>
      </c>
      <c r="Q43" s="41" t="str">
        <f>K41</f>
        <v>ik</v>
      </c>
      <c r="S43" s="34" t="str">
        <f t="shared" si="3"/>
        <v>ik(\d)</v>
      </c>
      <c r="T43" s="35" t="s">
        <v>223</v>
      </c>
      <c r="U43" s="35" t="str">
        <f t="shared" si="11"/>
        <v/>
      </c>
      <c r="V43" s="34" t="str">
        <f t="shared" si="5"/>
        <v/>
      </c>
      <c r="W43" s="44"/>
      <c r="X43" s="46" t="str">
        <f t="shared" si="6"/>
        <v xml:space="preserve">    - xform/》ik(\d)//</v>
      </c>
      <c r="Z43" s="37"/>
      <c r="AA43" s="37"/>
      <c r="AB43" s="37"/>
      <c r="AC43" s="37"/>
      <c r="AD43" s="37"/>
      <c r="AE43" s="37"/>
      <c r="AF43" s="37"/>
      <c r="AG43" s="37"/>
      <c r="AH43" s="37"/>
      <c r="AL43" s="38"/>
      <c r="AM43" s="38"/>
      <c r="AN43" s="38"/>
      <c r="AO43" s="38"/>
      <c r="AP43" s="38"/>
      <c r="AQ43" s="38"/>
      <c r="AR43" s="38"/>
      <c r="AS43" s="38"/>
      <c r="AT43" s="38"/>
      <c r="AU43" s="33"/>
      <c r="AV43" s="33"/>
      <c r="AW43" s="33"/>
      <c r="AX43" s="33"/>
      <c r="AY43" s="33"/>
      <c r="AZ43" s="33"/>
      <c r="BA43" s="33"/>
      <c r="BB43" s="33"/>
      <c r="BC43" s="33"/>
    </row>
    <row r="44" spans="1:55" ht="35.25" thickBot="1">
      <c r="A44" s="40">
        <f t="shared" si="8"/>
        <v>41</v>
      </c>
      <c r="B44" s="140" t="s">
        <v>726</v>
      </c>
      <c r="C44" s="139" t="s">
        <v>383</v>
      </c>
      <c r="D44" s="122" t="str">
        <f xml:space="preserve"> LEFT(韻母表[[#This Row],[十五音識別碼]],1)</f>
        <v>經</v>
      </c>
      <c r="E44" s="122" t="s">
        <v>649</v>
      </c>
      <c r="F44" s="141" t="s">
        <v>805</v>
      </c>
      <c r="G44" s="141" t="s">
        <v>805</v>
      </c>
      <c r="H44" s="41" t="s">
        <v>380</v>
      </c>
      <c r="I44" s="41" t="s">
        <v>380</v>
      </c>
      <c r="J44" s="41" t="s">
        <v>380</v>
      </c>
      <c r="K44" s="41" t="s">
        <v>380</v>
      </c>
      <c r="L44" s="42" t="s">
        <v>381</v>
      </c>
      <c r="M44" s="41"/>
      <c r="N44" s="43">
        <f t="shared" si="10"/>
        <v>3</v>
      </c>
      <c r="O44" s="45"/>
      <c r="P44" s="41" t="str">
        <f>J27</f>
        <v>ia</v>
      </c>
      <c r="Q44" s="41" t="str">
        <f>K27</f>
        <v>ia</v>
      </c>
      <c r="S44" s="34" t="str">
        <f t="shared" si="3"/>
        <v>ia(\d)</v>
      </c>
      <c r="T44" s="35" t="s">
        <v>223</v>
      </c>
      <c r="U44" s="35">
        <f t="shared" si="11"/>
        <v>2</v>
      </c>
      <c r="V44" s="34" t="str">
        <f t="shared" si="5"/>
        <v>i》a${1}</v>
      </c>
      <c r="W44" s="44"/>
      <c r="X44" s="46" t="str">
        <f t="shared" si="6"/>
        <v xml:space="preserve">    - xform/》ia(\d)/i》a${1}/</v>
      </c>
      <c r="Z44" s="37"/>
      <c r="AA44" s="37"/>
      <c r="AB44" s="37"/>
      <c r="AC44" s="37"/>
      <c r="AD44" s="37"/>
      <c r="AE44" s="37"/>
      <c r="AF44" s="37"/>
      <c r="AG44" s="37"/>
      <c r="AH44" s="37"/>
      <c r="AL44" s="38"/>
      <c r="AM44" s="38"/>
      <c r="AN44" s="38"/>
      <c r="AO44" s="38"/>
      <c r="AP44" s="38"/>
      <c r="AQ44" s="38"/>
      <c r="AR44" s="38"/>
      <c r="AS44" s="38"/>
      <c r="AT44" s="38"/>
      <c r="AU44" s="33"/>
      <c r="AV44" s="33"/>
      <c r="AW44" s="33"/>
      <c r="AX44" s="33"/>
      <c r="AY44" s="33"/>
      <c r="AZ44" s="33"/>
      <c r="BA44" s="33"/>
      <c r="BB44" s="33"/>
      <c r="BC44" s="33"/>
    </row>
    <row r="45" spans="1:55" ht="35.25" thickBot="1">
      <c r="A45" s="40">
        <f t="shared" si="8"/>
        <v>42</v>
      </c>
      <c r="B45" s="140" t="s">
        <v>384</v>
      </c>
      <c r="C45" s="139" t="s">
        <v>389</v>
      </c>
      <c r="D45" s="122" t="str">
        <f xml:space="preserve"> LEFT(韻母表[[#This Row],[十五音識別碼]],1)</f>
        <v>梔</v>
      </c>
      <c r="E45" s="122" t="s">
        <v>668</v>
      </c>
      <c r="F45" s="141" t="s">
        <v>388</v>
      </c>
      <c r="G45" s="141" t="s">
        <v>806</v>
      </c>
      <c r="H45" s="41" t="s">
        <v>385</v>
      </c>
      <c r="I45" s="41" t="s">
        <v>386</v>
      </c>
      <c r="J45" s="41" t="s">
        <v>385</v>
      </c>
      <c r="K45" s="41" t="s">
        <v>385</v>
      </c>
      <c r="L45" s="42" t="s">
        <v>387</v>
      </c>
      <c r="M45" s="51" t="s">
        <v>245</v>
      </c>
      <c r="N45" s="43">
        <f t="shared" si="10"/>
        <v>3</v>
      </c>
      <c r="O45" s="45"/>
      <c r="P45" s="41" t="str">
        <f>J44</f>
        <v>ing</v>
      </c>
      <c r="Q45" s="41" t="str">
        <f>K44</f>
        <v>ing</v>
      </c>
      <c r="S45" s="34" t="str">
        <f xml:space="preserve"> _xlfn.CONCAT(P45, "(\d)")</f>
        <v>ing(\d)</v>
      </c>
      <c r="T45" s="35" t="s">
        <v>223</v>
      </c>
      <c r="U45" s="35" t="str">
        <f t="shared" si="11"/>
        <v/>
      </c>
      <c r="V45" s="34" t="str">
        <f xml:space="preserve"> IFERROR( _xlfn.CONCAT(LEFT(P45,U45-1), "》", MID(P45,U45,1), "${1}", RIGHT(P45, LEN(P45)-U45)), "" )</f>
        <v/>
      </c>
      <c r="W45" s="44"/>
      <c r="X45" s="46" t="str">
        <f xml:space="preserve"> IF(AND(Q45&lt;&gt;"", P45&lt;&gt;""), "    - xform/》" &amp; S45 &amp;  "/"  &amp; V45 &amp;  "/", "")</f>
        <v xml:space="preserve">    - xform/》ing(\d)//</v>
      </c>
      <c r="Z45" s="37"/>
      <c r="AA45" s="37"/>
      <c r="AB45" s="37"/>
      <c r="AC45" s="37"/>
      <c r="AD45" s="37"/>
      <c r="AE45" s="37"/>
      <c r="AF45" s="37"/>
      <c r="AG45" s="37"/>
      <c r="AH45" s="37"/>
      <c r="AL45" s="38"/>
      <c r="AM45" s="38"/>
      <c r="AN45" s="38"/>
      <c r="AO45" s="38"/>
      <c r="AP45" s="38"/>
      <c r="AQ45" s="38"/>
      <c r="AR45" s="38"/>
      <c r="AS45" s="38"/>
      <c r="AT45" s="38"/>
      <c r="AU45" s="33"/>
      <c r="AV45" s="33"/>
      <c r="AW45" s="33"/>
      <c r="AX45" s="33"/>
      <c r="AY45" s="33"/>
      <c r="AZ45" s="33"/>
      <c r="BA45" s="33"/>
      <c r="BB45" s="33"/>
      <c r="BC45" s="33"/>
    </row>
    <row r="46" spans="1:55" ht="35.25" thickBot="1">
      <c r="A46" s="40">
        <f t="shared" si="8"/>
        <v>43</v>
      </c>
      <c r="B46" s="140" t="s">
        <v>727</v>
      </c>
      <c r="C46" s="139" t="s">
        <v>393</v>
      </c>
      <c r="D46" s="122" t="str">
        <f xml:space="preserve"> LEFT(韻母表[[#This Row],[十五音識別碼]],1)</f>
        <v>茄</v>
      </c>
      <c r="E46" s="122" t="s">
        <v>669</v>
      </c>
      <c r="F46" s="141" t="s">
        <v>807</v>
      </c>
      <c r="G46" s="141" t="s">
        <v>807</v>
      </c>
      <c r="H46" s="41" t="s">
        <v>391</v>
      </c>
      <c r="I46" s="41" t="s">
        <v>390</v>
      </c>
      <c r="J46" s="41" t="s">
        <v>390</v>
      </c>
      <c r="K46" s="41" t="s">
        <v>390</v>
      </c>
      <c r="L46" s="42" t="s">
        <v>390</v>
      </c>
      <c r="M46" s="41"/>
      <c r="N46" s="43">
        <f t="shared" si="10"/>
        <v>2</v>
      </c>
      <c r="O46" s="45"/>
      <c r="P46" s="41" t="str">
        <f>J48</f>
        <v>iok</v>
      </c>
      <c r="Q46" s="41" t="str">
        <f>K48</f>
        <v>iok</v>
      </c>
      <c r="S46" s="34" t="str">
        <f xml:space="preserve"> _xlfn.CONCAT(P46, "(\d)")</f>
        <v>iok(\d)</v>
      </c>
      <c r="T46" s="35" t="s">
        <v>249</v>
      </c>
      <c r="U46" s="35" t="str">
        <f t="shared" si="11"/>
        <v/>
      </c>
      <c r="V46" s="34" t="str">
        <f xml:space="preserve"> IFERROR( _xlfn.CONCAT(LEFT(P46,U46-1), "》", MID(P46,U46,1), "${1}", RIGHT(P46, LEN(P46)-U46)), "" )</f>
        <v/>
      </c>
      <c r="W46" s="44"/>
      <c r="X46" s="46" t="str">
        <f xml:space="preserve"> IF(AND(Q46&lt;&gt;"", P46&lt;&gt;""), "    - xform/》" &amp; S46 &amp;  "/"  &amp; V46 &amp;  "/", "")</f>
        <v xml:space="preserve">    - xform/》iok(\d)//</v>
      </c>
      <c r="Z46" s="37"/>
      <c r="AA46" s="37"/>
      <c r="AB46" s="37"/>
      <c r="AC46" s="37"/>
      <c r="AD46" s="37"/>
      <c r="AE46" s="37"/>
      <c r="AF46" s="37"/>
      <c r="AG46" s="37"/>
      <c r="AH46" s="37"/>
      <c r="AL46" s="38"/>
      <c r="AM46" s="38"/>
      <c r="AN46" s="38"/>
      <c r="AO46" s="38"/>
      <c r="AP46" s="38"/>
      <c r="AQ46" s="38"/>
      <c r="AR46" s="38"/>
      <c r="AS46" s="38"/>
      <c r="AT46" s="38"/>
      <c r="AU46" s="33"/>
      <c r="AV46" s="33"/>
      <c r="AW46" s="33"/>
      <c r="AX46" s="33"/>
      <c r="AY46" s="33"/>
      <c r="AZ46" s="33"/>
      <c r="BA46" s="33"/>
      <c r="BB46" s="33"/>
      <c r="BC46" s="33"/>
    </row>
    <row r="47" spans="1:55" ht="35.25" thickBot="1">
      <c r="A47" s="40">
        <f t="shared" si="8"/>
        <v>44</v>
      </c>
      <c r="B47" s="140" t="s">
        <v>728</v>
      </c>
      <c r="C47" s="139" t="s">
        <v>397</v>
      </c>
      <c r="D47" s="122" t="str">
        <f xml:space="preserve"> LEFT(韻母表[[#This Row],[十五音識別碼]],1)</f>
        <v>茄</v>
      </c>
      <c r="E47" s="122" t="s">
        <v>670</v>
      </c>
      <c r="F47" s="141" t="s">
        <v>808</v>
      </c>
      <c r="G47" s="141" t="s">
        <v>809</v>
      </c>
      <c r="H47" s="41" t="s">
        <v>395</v>
      </c>
      <c r="I47" s="41" t="s">
        <v>394</v>
      </c>
      <c r="J47" s="41" t="s">
        <v>394</v>
      </c>
      <c r="K47" s="41" t="s">
        <v>394</v>
      </c>
      <c r="L47" s="42" t="s">
        <v>394</v>
      </c>
      <c r="M47" s="41"/>
      <c r="N47" s="43">
        <f t="shared" si="10"/>
        <v>3</v>
      </c>
      <c r="O47" s="45"/>
      <c r="P47" s="41" t="str">
        <f>J54</f>
        <v>iunn</v>
      </c>
      <c r="Q47" s="41" t="str">
        <f>K54</f>
        <v>iunn</v>
      </c>
      <c r="S47" s="34" t="str">
        <f xml:space="preserve"> _xlfn.CONCAT(P47, "(\d)")</f>
        <v>iunn(\d)</v>
      </c>
      <c r="T47" s="35" t="s">
        <v>267</v>
      </c>
      <c r="U47" s="35">
        <f t="shared" si="11"/>
        <v>1</v>
      </c>
      <c r="V47" s="34" t="str">
        <f xml:space="preserve"> IFERROR( _xlfn.CONCAT(LEFT(P47,U47-1), "》", MID(P47,U47,1), "${1}", RIGHT(P47, LEN(P47)-U47)), "" )</f>
        <v>》i${1}unn</v>
      </c>
      <c r="W47" s="44"/>
      <c r="X47" s="46" t="str">
        <f xml:space="preserve"> IF(AND(Q47&lt;&gt;"", P47&lt;&gt;""), "    - xform/》" &amp; S47 &amp;  "/"  &amp; V47 &amp;  "/", "")</f>
        <v xml:space="preserve">    - xform/》iunn(\d)/》i${1}unn/</v>
      </c>
      <c r="Z47" s="37"/>
      <c r="AA47" s="37"/>
      <c r="AB47" s="37"/>
      <c r="AC47" s="37"/>
      <c r="AD47" s="37"/>
      <c r="AE47" s="37"/>
      <c r="AF47" s="37"/>
      <c r="AG47" s="37"/>
      <c r="AH47" s="37"/>
      <c r="AL47" s="38"/>
      <c r="AM47" s="38"/>
      <c r="AN47" s="38"/>
      <c r="AO47" s="38"/>
      <c r="AP47" s="38"/>
      <c r="AQ47" s="38"/>
      <c r="AR47" s="38"/>
      <c r="AS47" s="38"/>
      <c r="AT47" s="38"/>
      <c r="AU47" s="33"/>
      <c r="AV47" s="33"/>
      <c r="AW47" s="33"/>
      <c r="AX47" s="33"/>
      <c r="AY47" s="33"/>
      <c r="AZ47" s="33"/>
      <c r="BA47" s="33"/>
      <c r="BB47" s="33"/>
      <c r="BC47" s="33"/>
    </row>
    <row r="48" spans="1:55" ht="35.25" thickBot="1">
      <c r="A48" s="40">
        <f t="shared" si="8"/>
        <v>45</v>
      </c>
      <c r="B48" s="140" t="s">
        <v>729</v>
      </c>
      <c r="C48" s="139" t="s">
        <v>401</v>
      </c>
      <c r="D48" s="122" t="str">
        <f xml:space="preserve"> LEFT(韻母表[[#This Row],[十五音識別碼]],1)</f>
        <v>恭</v>
      </c>
      <c r="E48" s="122" t="s">
        <v>671</v>
      </c>
      <c r="F48" s="141" t="s">
        <v>810</v>
      </c>
      <c r="G48" s="141" t="s">
        <v>811</v>
      </c>
      <c r="H48" s="41" t="s">
        <v>399</v>
      </c>
      <c r="I48" s="41" t="s">
        <v>398</v>
      </c>
      <c r="J48" s="41" t="s">
        <v>398</v>
      </c>
      <c r="K48" s="41" t="s">
        <v>398</v>
      </c>
      <c r="L48" s="42" t="s">
        <v>398</v>
      </c>
      <c r="M48" s="41"/>
      <c r="N48" s="43">
        <f t="shared" si="10"/>
        <v>3</v>
      </c>
      <c r="O48" s="45"/>
      <c r="P48" s="41" t="str">
        <f>J60</f>
        <v>o</v>
      </c>
      <c r="Q48" s="41" t="str">
        <f>K60</f>
        <v>o</v>
      </c>
      <c r="S48" s="34" t="str">
        <f xml:space="preserve"> _xlfn.CONCAT(P48, "(\d)")</f>
        <v>o(\d)</v>
      </c>
      <c r="T48" s="35" t="s">
        <v>267</v>
      </c>
      <c r="U48" s="35" t="str">
        <f t="shared" si="11"/>
        <v/>
      </c>
      <c r="V48" s="34" t="str">
        <f xml:space="preserve"> IFERROR( _xlfn.CONCAT(LEFT(P48,U48-1), "》", MID(P48,U48,1), "${1}", RIGHT(P48, LEN(P48)-U48)), "" )</f>
        <v/>
      </c>
      <c r="W48" s="44"/>
      <c r="X48" s="46" t="str">
        <f xml:space="preserve"> IF(AND(Q48&lt;&gt;"", P48&lt;&gt;""), "    - xform/》" &amp; S48 &amp;  "/"  &amp; V48 &amp;  "/", "")</f>
        <v xml:space="preserve">    - xform/》o(\d)//</v>
      </c>
      <c r="Z48" s="37"/>
      <c r="AA48" s="37"/>
      <c r="AB48" s="37"/>
      <c r="AC48" s="37"/>
      <c r="AD48" s="37"/>
      <c r="AE48" s="37"/>
      <c r="AF48" s="37"/>
      <c r="AG48" s="37"/>
      <c r="AH48" s="37"/>
      <c r="AL48" s="38"/>
      <c r="AM48" s="38"/>
      <c r="AN48" s="38"/>
      <c r="AO48" s="38"/>
      <c r="AP48" s="38"/>
      <c r="AQ48" s="38"/>
      <c r="AR48" s="38"/>
      <c r="AS48" s="38"/>
      <c r="AT48" s="38"/>
      <c r="AU48" s="33"/>
      <c r="AV48" s="33"/>
      <c r="AW48" s="33"/>
      <c r="AX48" s="33"/>
      <c r="AY48" s="33"/>
      <c r="AZ48" s="33"/>
      <c r="BA48" s="33"/>
      <c r="BB48" s="33"/>
      <c r="BC48" s="33"/>
    </row>
    <row r="49" spans="1:55" ht="54.75" thickBot="1">
      <c r="A49" s="40">
        <f t="shared" si="8"/>
        <v>46</v>
      </c>
      <c r="B49" s="140" t="s">
        <v>730</v>
      </c>
      <c r="C49" s="139" t="s">
        <v>404</v>
      </c>
      <c r="D49" s="122" t="str">
        <f xml:space="preserve"> LEFT(韻母表[[#This Row],[十五音識別碼]],1)</f>
        <v>恭</v>
      </c>
      <c r="E49" s="122" t="s">
        <v>672</v>
      </c>
      <c r="F49" s="141" t="s">
        <v>812</v>
      </c>
      <c r="G49" s="141" t="s">
        <v>813</v>
      </c>
      <c r="H49" s="41" t="s">
        <v>402</v>
      </c>
      <c r="I49" s="41" t="s">
        <v>402</v>
      </c>
      <c r="J49" s="41" t="s">
        <v>402</v>
      </c>
      <c r="K49" s="41" t="s">
        <v>402</v>
      </c>
      <c r="L49" s="42" t="s">
        <v>402</v>
      </c>
      <c r="M49" s="41"/>
      <c r="N49" s="43">
        <f t="shared" si="10"/>
        <v>4</v>
      </c>
      <c r="O49" s="45"/>
      <c r="P49" s="41" t="str">
        <f>J55</f>
        <v>iunnh</v>
      </c>
      <c r="Q49" s="41" t="str">
        <f>K55</f>
        <v>iunnh</v>
      </c>
      <c r="S49" s="34" t="str">
        <f xml:space="preserve"> _xlfn.CONCAT(P49, "(\d)")</f>
        <v>iunnh(\d)</v>
      </c>
      <c r="T49" s="35" t="s">
        <v>223</v>
      </c>
      <c r="U49" s="35" t="str">
        <f t="shared" si="11"/>
        <v/>
      </c>
      <c r="V49" s="34" t="str">
        <f xml:space="preserve"> IFERROR( _xlfn.CONCAT(LEFT(P49,U49-1), "》", MID(P49,U49,1), "${1}", RIGHT(P49, LEN(P49)-U49)), "" )</f>
        <v/>
      </c>
      <c r="W49" s="44"/>
      <c r="X49" s="46" t="str">
        <f xml:space="preserve"> IF(AND(Q49&lt;&gt;"", P49&lt;&gt;""), "    - xform/》" &amp; S49 &amp;  "/"  &amp; V49 &amp;  "/", "")</f>
        <v xml:space="preserve">    - xform/》iunnh(\d)//</v>
      </c>
      <c r="Z49" s="37"/>
      <c r="AA49" s="37"/>
      <c r="AB49" s="37"/>
      <c r="AC49" s="37"/>
      <c r="AD49" s="37"/>
      <c r="AE49" s="37"/>
      <c r="AF49" s="37"/>
      <c r="AG49" s="37"/>
      <c r="AH49" s="37"/>
      <c r="AL49" s="38"/>
      <c r="AM49" s="38"/>
      <c r="AN49" s="38"/>
      <c r="AO49" s="38"/>
      <c r="AP49" s="38"/>
      <c r="AQ49" s="38"/>
      <c r="AR49" s="38"/>
      <c r="AS49" s="38"/>
      <c r="AT49" s="38"/>
      <c r="AU49" s="33"/>
      <c r="AV49" s="33"/>
      <c r="AW49" s="33"/>
      <c r="AX49" s="33"/>
      <c r="AY49" s="33"/>
      <c r="AZ49" s="33"/>
      <c r="BA49" s="33"/>
      <c r="BB49" s="33"/>
      <c r="BC49" s="33"/>
    </row>
    <row r="50" spans="1:55" ht="35.25" thickBot="1">
      <c r="A50" s="40">
        <f t="shared" si="8"/>
        <v>47</v>
      </c>
      <c r="B50" s="140" t="s">
        <v>405</v>
      </c>
      <c r="C50" s="139" t="s">
        <v>408</v>
      </c>
      <c r="D50" s="122" t="str">
        <f xml:space="preserve"> LEFT(韻母表[[#This Row],[十五音識別碼]],1)</f>
        <v>金</v>
      </c>
      <c r="E50" s="122" t="s">
        <v>673</v>
      </c>
      <c r="F50" s="141" t="s">
        <v>814</v>
      </c>
      <c r="G50" s="141" t="s">
        <v>815</v>
      </c>
      <c r="H50" s="41" t="s">
        <v>406</v>
      </c>
      <c r="I50" s="41" t="s">
        <v>406</v>
      </c>
      <c r="J50" s="41" t="s">
        <v>406</v>
      </c>
      <c r="K50" s="41" t="s">
        <v>406</v>
      </c>
      <c r="L50" s="42" t="s">
        <v>406</v>
      </c>
      <c r="M50" s="41"/>
      <c r="N50" s="43">
        <f t="shared" si="10"/>
        <v>2</v>
      </c>
      <c r="O50" s="45"/>
      <c r="P50" s="41" t="str">
        <f>J33</f>
        <v>iann</v>
      </c>
      <c r="Q50" s="41" t="str">
        <f>K33</f>
        <v>iann</v>
      </c>
      <c r="S50" s="34" t="str">
        <f t="shared" si="3"/>
        <v>iann(\d)</v>
      </c>
      <c r="T50" s="35" t="s">
        <v>223</v>
      </c>
      <c r="U50" s="35">
        <f t="shared" si="11"/>
        <v>2</v>
      </c>
      <c r="V50" s="34" t="str">
        <f t="shared" si="5"/>
        <v>i》a${1}nn</v>
      </c>
      <c r="W50" s="44"/>
      <c r="X50" s="46" t="str">
        <f t="shared" si="6"/>
        <v xml:space="preserve">    - xform/》iann(\d)/i》a${1}nn/</v>
      </c>
      <c r="Z50" s="37"/>
      <c r="AA50" s="37"/>
      <c r="AB50" s="37"/>
      <c r="AC50" s="37"/>
      <c r="AD50" s="37"/>
      <c r="AE50" s="37"/>
      <c r="AF50" s="37"/>
      <c r="AG50" s="37"/>
      <c r="AH50" s="37"/>
      <c r="AL50" s="38"/>
      <c r="AM50" s="38"/>
      <c r="AN50" s="38"/>
      <c r="AO50" s="38"/>
      <c r="AP50" s="38"/>
      <c r="AQ50" s="38"/>
      <c r="AR50" s="38"/>
      <c r="AS50" s="38"/>
      <c r="AT50" s="38"/>
      <c r="AU50" s="33"/>
      <c r="AV50" s="33"/>
      <c r="AW50" s="33"/>
      <c r="AX50" s="33"/>
      <c r="AY50" s="33"/>
      <c r="AZ50" s="33"/>
      <c r="BA50" s="33"/>
      <c r="BB50" s="33"/>
      <c r="BC50" s="33"/>
    </row>
    <row r="51" spans="1:55" ht="35.25" thickBot="1">
      <c r="A51" s="40">
        <f t="shared" si="8"/>
        <v>48</v>
      </c>
      <c r="B51" s="140" t="s">
        <v>409</v>
      </c>
      <c r="C51" s="139" t="s">
        <v>412</v>
      </c>
      <c r="D51" s="122" t="str">
        <f xml:space="preserve"> LEFT(韻母表[[#This Row],[十五音識別碼]],1)</f>
        <v>巾</v>
      </c>
      <c r="E51" s="122" t="s">
        <v>674</v>
      </c>
      <c r="F51" s="141" t="s">
        <v>816</v>
      </c>
      <c r="G51" s="141" t="s">
        <v>817</v>
      </c>
      <c r="H51" s="41" t="s">
        <v>410</v>
      </c>
      <c r="I51" s="41" t="s">
        <v>410</v>
      </c>
      <c r="J51" s="41" t="s">
        <v>410</v>
      </c>
      <c r="K51" s="41" t="s">
        <v>410</v>
      </c>
      <c r="L51" s="42" t="s">
        <v>410</v>
      </c>
      <c r="M51" s="41"/>
      <c r="N51" s="43">
        <f t="shared" si="10"/>
        <v>2</v>
      </c>
      <c r="O51" s="45"/>
      <c r="P51" s="41" t="str">
        <f>J28</f>
        <v>iah</v>
      </c>
      <c r="Q51" s="41" t="str">
        <f>K28</f>
        <v>iah</v>
      </c>
      <c r="S51" s="34" t="str">
        <f t="shared" si="3"/>
        <v>iah(\d)</v>
      </c>
      <c r="T51" s="35" t="s">
        <v>223</v>
      </c>
      <c r="U51" s="35">
        <f t="shared" si="11"/>
        <v>2</v>
      </c>
      <c r="V51" s="34" t="str">
        <f t="shared" si="5"/>
        <v>i》a${1}h</v>
      </c>
      <c r="W51" s="44"/>
      <c r="X51" s="46" t="str">
        <f t="shared" si="6"/>
        <v xml:space="preserve">    - xform/》iah(\d)/i》a${1}h/</v>
      </c>
      <c r="Z51" s="37"/>
      <c r="AA51" s="37"/>
      <c r="AB51" s="37"/>
      <c r="AC51" s="37"/>
      <c r="AD51" s="37"/>
      <c r="AE51" s="37"/>
      <c r="AF51" s="37"/>
      <c r="AG51" s="37"/>
      <c r="AH51" s="37"/>
      <c r="AL51" s="38"/>
      <c r="AM51" s="38"/>
      <c r="AN51" s="38"/>
      <c r="AO51" s="38"/>
      <c r="AP51" s="38"/>
      <c r="AQ51" s="38"/>
      <c r="AR51" s="38"/>
      <c r="AS51" s="38"/>
      <c r="AT51" s="38"/>
      <c r="AU51" s="33"/>
      <c r="AV51" s="33"/>
      <c r="AW51" s="33"/>
      <c r="AX51" s="33"/>
      <c r="AY51" s="33"/>
      <c r="AZ51" s="33"/>
      <c r="BA51" s="33"/>
      <c r="BB51" s="33"/>
      <c r="BC51" s="33"/>
    </row>
    <row r="52" spans="1:55" ht="35.25" thickBot="1">
      <c r="A52" s="40">
        <f t="shared" si="8"/>
        <v>49</v>
      </c>
      <c r="B52" s="140" t="s">
        <v>731</v>
      </c>
      <c r="C52" s="139" t="s">
        <v>418</v>
      </c>
      <c r="D52" s="122" t="str">
        <f xml:space="preserve"> LEFT(韻母表[[#This Row],[十五音識別碼]],1)</f>
        <v>薑</v>
      </c>
      <c r="E52" s="122" t="s">
        <v>675</v>
      </c>
      <c r="F52" s="141" t="s">
        <v>818</v>
      </c>
      <c r="G52" s="141" t="s">
        <v>819</v>
      </c>
      <c r="H52" s="41" t="s">
        <v>414</v>
      </c>
      <c r="I52" s="41" t="s">
        <v>415</v>
      </c>
      <c r="J52" s="41" t="s">
        <v>413</v>
      </c>
      <c r="K52" s="41" t="s">
        <v>413</v>
      </c>
      <c r="L52" s="42" t="s">
        <v>416</v>
      </c>
      <c r="M52" s="51" t="s">
        <v>245</v>
      </c>
      <c r="N52" s="43">
        <f t="shared" si="10"/>
        <v>4</v>
      </c>
      <c r="O52" s="45"/>
      <c r="P52" s="41" t="str">
        <f>J53</f>
        <v>iu</v>
      </c>
      <c r="Q52" s="41" t="str">
        <f>K53</f>
        <v>iu</v>
      </c>
      <c r="S52" s="34" t="str">
        <f xml:space="preserve"> _xlfn.CONCAT(P52, "(\d)")</f>
        <v>iu(\d)</v>
      </c>
      <c r="T52" s="35" t="s">
        <v>223</v>
      </c>
      <c r="U52" s="35" t="str">
        <f t="shared" si="11"/>
        <v/>
      </c>
      <c r="V52" s="34" t="str">
        <f xml:space="preserve"> IFERROR( _xlfn.CONCAT(LEFT(P52,U52-1), "》", MID(P52,U52,1), "${1}", RIGHT(P52, LEN(P52)-U52)), "" )</f>
        <v/>
      </c>
      <c r="W52" s="44"/>
      <c r="X52" s="46" t="str">
        <f xml:space="preserve"> IF(AND(Q52&lt;&gt;"", P52&lt;&gt;""), "    - xform/》" &amp; S52 &amp;  "/"  &amp; V52 &amp;  "/", "")</f>
        <v xml:space="preserve">    - xform/》iu(\d)//</v>
      </c>
      <c r="Z52" s="37"/>
      <c r="AA52" s="37"/>
      <c r="AB52" s="37"/>
      <c r="AC52" s="37"/>
      <c r="AD52" s="37"/>
      <c r="AE52" s="37"/>
      <c r="AF52" s="37"/>
      <c r="AG52" s="37"/>
      <c r="AH52" s="37"/>
      <c r="AL52" s="38"/>
      <c r="AM52" s="38"/>
      <c r="AN52" s="38"/>
      <c r="AO52" s="38"/>
      <c r="AP52" s="38"/>
      <c r="AQ52" s="38"/>
      <c r="AR52" s="38"/>
      <c r="AS52" s="38"/>
      <c r="AT52" s="38"/>
      <c r="AU52" s="33"/>
      <c r="AV52" s="33"/>
      <c r="AW52" s="33"/>
      <c r="AX52" s="33"/>
      <c r="AY52" s="33"/>
      <c r="AZ52" s="33"/>
      <c r="BA52" s="33"/>
      <c r="BB52" s="33"/>
      <c r="BC52" s="33"/>
    </row>
    <row r="53" spans="1:55" ht="35.25" thickBot="1">
      <c r="A53" s="40">
        <f t="shared" si="8"/>
        <v>50</v>
      </c>
      <c r="B53" s="140" t="str">
        <f>_xlfn.CONCAT("ɪ", "u")</f>
        <v>ɪu</v>
      </c>
      <c r="C53" s="139" t="s">
        <v>421</v>
      </c>
      <c r="D53" s="122" t="str">
        <f xml:space="preserve"> LEFT(韻母表[[#This Row],[十五音識別碼]],1)</f>
        <v>丩</v>
      </c>
      <c r="E53" s="122" t="s">
        <v>676</v>
      </c>
      <c r="F53" s="141" t="s">
        <v>820</v>
      </c>
      <c r="G53" s="141" t="s">
        <v>820</v>
      </c>
      <c r="H53" s="41" t="s">
        <v>419</v>
      </c>
      <c r="I53" s="41" t="s">
        <v>419</v>
      </c>
      <c r="J53" s="41" t="s">
        <v>419</v>
      </c>
      <c r="K53" s="41" t="s">
        <v>419</v>
      </c>
      <c r="L53" s="42" t="s">
        <v>419</v>
      </c>
      <c r="M53" s="41"/>
      <c r="N53" s="43">
        <f t="shared" si="10"/>
        <v>2</v>
      </c>
      <c r="O53" s="45"/>
      <c r="P53" s="41" t="str">
        <f>J67</f>
        <v>oo</v>
      </c>
      <c r="Q53" s="41" t="str">
        <f>K67</f>
        <v>oo</v>
      </c>
      <c r="S53" s="34" t="str">
        <f t="shared" si="3"/>
        <v>oo(\d)</v>
      </c>
      <c r="T53" s="35" t="s">
        <v>249</v>
      </c>
      <c r="U53" s="35" t="str">
        <f t="shared" si="11"/>
        <v/>
      </c>
      <c r="V53" s="34" t="str">
        <f t="shared" si="5"/>
        <v/>
      </c>
      <c r="W53" s="44"/>
      <c r="X53" s="46" t="str">
        <f t="shared" si="6"/>
        <v xml:space="preserve">    - xform/》oo(\d)//</v>
      </c>
      <c r="Z53" s="37"/>
      <c r="AA53" s="37"/>
      <c r="AB53" s="37"/>
      <c r="AC53" s="37"/>
      <c r="AD53" s="37"/>
      <c r="AE53" s="37"/>
      <c r="AF53" s="37"/>
      <c r="AG53" s="37"/>
      <c r="AH53" s="37"/>
      <c r="AL53" s="38"/>
      <c r="AM53" s="38"/>
      <c r="AN53" s="38"/>
      <c r="AO53" s="38"/>
      <c r="AP53" s="38"/>
      <c r="AQ53" s="38"/>
      <c r="AR53" s="38"/>
      <c r="AS53" s="38"/>
      <c r="AT53" s="38"/>
      <c r="AU53" s="33"/>
      <c r="AV53" s="33"/>
      <c r="AW53" s="33"/>
      <c r="AX53" s="33"/>
      <c r="AY53" s="33"/>
      <c r="AZ53" s="33"/>
      <c r="BA53" s="33"/>
      <c r="BB53" s="33"/>
      <c r="BC53" s="33"/>
    </row>
    <row r="54" spans="1:55" ht="35.25" thickBot="1">
      <c r="A54" s="40">
        <f t="shared" si="8"/>
        <v>51</v>
      </c>
      <c r="B54" s="140" t="str">
        <f>_xlfn.CONCAT("ɪ", "u", _xlfn.UNICHAR(771), "")</f>
        <v>ɪũ</v>
      </c>
      <c r="C54" s="139" t="s">
        <v>426</v>
      </c>
      <c r="D54" s="122" t="str">
        <f xml:space="preserve"> LEFT(韻母表[[#This Row],[十五音識別碼]],1)</f>
        <v>牛</v>
      </c>
      <c r="E54" s="122" t="s">
        <v>677</v>
      </c>
      <c r="F54" s="141" t="s">
        <v>821</v>
      </c>
      <c r="G54" s="141" t="s">
        <v>822</v>
      </c>
      <c r="H54" s="41" t="s">
        <v>422</v>
      </c>
      <c r="I54" s="41" t="s">
        <v>423</v>
      </c>
      <c r="J54" s="41" t="s">
        <v>422</v>
      </c>
      <c r="K54" s="41" t="s">
        <v>422</v>
      </c>
      <c r="L54" s="42" t="s">
        <v>424</v>
      </c>
      <c r="M54" s="51" t="s">
        <v>245</v>
      </c>
      <c r="N54" s="43">
        <f t="shared" si="10"/>
        <v>4</v>
      </c>
      <c r="O54" s="45"/>
      <c r="P54" s="41" t="str">
        <f>J65</f>
        <v>onn</v>
      </c>
      <c r="Q54" s="41" t="str">
        <f>K65</f>
        <v>onn</v>
      </c>
      <c r="S54" s="34" t="str">
        <f t="shared" si="3"/>
        <v>onn(\d)</v>
      </c>
      <c r="T54" s="35" t="s">
        <v>249</v>
      </c>
      <c r="U54" s="35" t="str">
        <f t="shared" si="11"/>
        <v/>
      </c>
      <c r="V54" s="34" t="str">
        <f t="shared" si="5"/>
        <v/>
      </c>
      <c r="W54" s="44"/>
      <c r="X54" s="46" t="str">
        <f t="shared" si="6"/>
        <v xml:space="preserve">    - xform/》onn(\d)//</v>
      </c>
      <c r="Z54" s="37"/>
      <c r="AA54" s="37"/>
      <c r="AB54" s="37"/>
      <c r="AC54" s="37"/>
      <c r="AD54" s="37"/>
      <c r="AE54" s="37"/>
      <c r="AF54" s="37"/>
      <c r="AG54" s="37"/>
      <c r="AH54" s="37"/>
      <c r="AL54" s="38"/>
      <c r="AM54" s="38"/>
      <c r="AN54" s="38"/>
      <c r="AO54" s="38"/>
      <c r="AP54" s="38"/>
      <c r="AQ54" s="38"/>
      <c r="AR54" s="38"/>
      <c r="AS54" s="38"/>
      <c r="AT54" s="38"/>
      <c r="AU54" s="33"/>
      <c r="AV54" s="33"/>
      <c r="AW54" s="33"/>
      <c r="AX54" s="33"/>
      <c r="AY54" s="33"/>
      <c r="AZ54" s="33"/>
      <c r="BA54" s="33"/>
      <c r="BB54" s="33"/>
      <c r="BC54" s="33"/>
    </row>
    <row r="55" spans="1:55" ht="35.25" thickBot="1">
      <c r="A55" s="40">
        <f t="shared" si="8"/>
        <v>52</v>
      </c>
      <c r="B55" s="140" t="str">
        <f xml:space="preserve"> _xlfn.CONCAT(LEFT(B54,1), MID(B54,2,1), _xlfn.UNICHAR(771), "ʔ")</f>
        <v>ɪũʔ</v>
      </c>
      <c r="C55" s="139" t="s">
        <v>239</v>
      </c>
      <c r="D55" s="122" t="str">
        <f xml:space="preserve"> LEFT(韻母表[[#This Row],[十五音識別碼]],1)</f>
        <v>牛</v>
      </c>
      <c r="E55" s="122" t="s">
        <v>678</v>
      </c>
      <c r="F55" s="142" t="s">
        <v>823</v>
      </c>
      <c r="G55" s="142" t="s">
        <v>824</v>
      </c>
      <c r="H55" s="49" t="s">
        <v>428</v>
      </c>
      <c r="I55" s="49" t="s">
        <v>429</v>
      </c>
      <c r="J55" s="50" t="s">
        <v>427</v>
      </c>
      <c r="K55" s="49" t="s">
        <v>428</v>
      </c>
      <c r="L55" s="49" t="s">
        <v>430</v>
      </c>
      <c r="M55" s="51" t="s">
        <v>245</v>
      </c>
      <c r="N55" s="43">
        <f t="shared" si="10"/>
        <v>5</v>
      </c>
      <c r="O55" s="45"/>
      <c r="P55" s="41" t="str">
        <f>J61</f>
        <v>oh</v>
      </c>
      <c r="Q55" s="41" t="str">
        <f>K61</f>
        <v>oh</v>
      </c>
      <c r="S55" s="34" t="str">
        <f t="shared" si="3"/>
        <v>oh(\d)</v>
      </c>
      <c r="T55" s="35" t="s">
        <v>223</v>
      </c>
      <c r="U55" s="35" t="str">
        <f t="shared" si="11"/>
        <v/>
      </c>
      <c r="V55" s="34" t="str">
        <f t="shared" si="5"/>
        <v/>
      </c>
      <c r="W55" s="44"/>
      <c r="X55" s="46" t="str">
        <f t="shared" si="6"/>
        <v xml:space="preserve">    - xform/》oh(\d)//</v>
      </c>
      <c r="Z55" s="37"/>
      <c r="AA55" s="37"/>
      <c r="AB55" s="37"/>
      <c r="AC55" s="37"/>
      <c r="AD55" s="37"/>
      <c r="AE55" s="37"/>
      <c r="AF55" s="37"/>
      <c r="AG55" s="37"/>
      <c r="AH55" s="37"/>
      <c r="AL55" s="38"/>
      <c r="AM55" s="38"/>
      <c r="AN55" s="38"/>
      <c r="AO55" s="38"/>
      <c r="AP55" s="38"/>
      <c r="AQ55" s="38"/>
      <c r="AR55" s="38"/>
      <c r="AS55" s="38"/>
      <c r="AT55" s="38"/>
      <c r="AU55" s="33"/>
      <c r="AV55" s="33"/>
      <c r="AW55" s="33"/>
      <c r="AX55" s="33"/>
      <c r="AY55" s="33"/>
      <c r="AZ55" s="33"/>
      <c r="BA55" s="33"/>
      <c r="BB55" s="33"/>
      <c r="BC55" s="33"/>
    </row>
    <row r="56" spans="1:55" ht="35.25" thickBot="1">
      <c r="A56" s="40">
        <f t="shared" si="8"/>
        <v>53</v>
      </c>
      <c r="B56" s="140" t="s">
        <v>431</v>
      </c>
      <c r="C56" s="139" t="s">
        <v>433</v>
      </c>
      <c r="D56" s="122" t="str">
        <f xml:space="preserve"> LEFT(韻母表[[#This Row],[十五音識別碼]],1)</f>
        <v>姆</v>
      </c>
      <c r="E56" s="122" t="s">
        <v>679</v>
      </c>
      <c r="F56" s="141" t="s">
        <v>432</v>
      </c>
      <c r="G56" s="141" t="s">
        <v>825</v>
      </c>
      <c r="H56" s="41" t="s">
        <v>14</v>
      </c>
      <c r="I56" s="41" t="s">
        <v>14</v>
      </c>
      <c r="J56" s="41" t="s">
        <v>14</v>
      </c>
      <c r="K56" s="41" t="s">
        <v>14</v>
      </c>
      <c r="L56" s="42" t="s">
        <v>14</v>
      </c>
      <c r="M56" s="41"/>
      <c r="N56" s="43">
        <f t="shared" si="10"/>
        <v>1</v>
      </c>
      <c r="P56" s="33"/>
      <c r="Q56" s="33"/>
      <c r="S56" s="34"/>
      <c r="T56" s="35"/>
      <c r="U56" s="35"/>
      <c r="V56" s="34"/>
      <c r="X56" s="36"/>
      <c r="Z56" s="37"/>
      <c r="AA56" s="37"/>
      <c r="AB56" s="37"/>
      <c r="AC56" s="37"/>
      <c r="AD56" s="37"/>
      <c r="AE56" s="37"/>
      <c r="AF56" s="37"/>
      <c r="AG56" s="37"/>
      <c r="AH56" s="37"/>
      <c r="AL56" s="38"/>
      <c r="AM56" s="38"/>
      <c r="AN56" s="38"/>
      <c r="AO56" s="38"/>
      <c r="AP56" s="38"/>
      <c r="AQ56" s="38"/>
      <c r="AR56" s="38"/>
      <c r="AS56" s="38"/>
      <c r="AT56" s="38"/>
      <c r="AU56" s="33"/>
      <c r="AV56" s="33"/>
      <c r="AW56" s="33"/>
      <c r="AX56" s="33"/>
      <c r="AY56" s="33"/>
      <c r="AZ56" s="33"/>
      <c r="BA56" s="33"/>
      <c r="BB56" s="33"/>
      <c r="BC56" s="33"/>
    </row>
    <row r="57" spans="1:55" ht="35.25" thickBot="1">
      <c r="A57" s="40">
        <f t="shared" si="8"/>
        <v>54</v>
      </c>
      <c r="B57" s="140" t="s">
        <v>434</v>
      </c>
      <c r="C57" s="139" t="s">
        <v>239</v>
      </c>
      <c r="D57" s="122" t="str">
        <f xml:space="preserve"> LEFT(韻母表[[#This Row],[十五音識別碼]],1)</f>
        <v>姆</v>
      </c>
      <c r="E57" s="122" t="s">
        <v>680</v>
      </c>
      <c r="F57" s="142" t="s">
        <v>437</v>
      </c>
      <c r="G57" s="142" t="s">
        <v>826</v>
      </c>
      <c r="H57" s="49" t="s">
        <v>436</v>
      </c>
      <c r="I57" s="49" t="s">
        <v>436</v>
      </c>
      <c r="J57" s="57" t="s">
        <v>435</v>
      </c>
      <c r="K57" s="49" t="s">
        <v>436</v>
      </c>
      <c r="L57" s="49" t="s">
        <v>435</v>
      </c>
      <c r="M57" s="41"/>
      <c r="N57" s="43">
        <f t="shared" si="10"/>
        <v>2</v>
      </c>
      <c r="P57" s="33"/>
      <c r="Q57" s="33"/>
      <c r="S57" s="34"/>
      <c r="T57" s="35"/>
      <c r="U57" s="35"/>
      <c r="V57" s="34"/>
      <c r="X57" s="36"/>
      <c r="Z57" s="37"/>
      <c r="AA57" s="37"/>
      <c r="AB57" s="37"/>
      <c r="AC57" s="37"/>
      <c r="AD57" s="37"/>
      <c r="AE57" s="37"/>
      <c r="AF57" s="37"/>
      <c r="AG57" s="37"/>
      <c r="AH57" s="37"/>
      <c r="AL57" s="38"/>
      <c r="AM57" s="38"/>
      <c r="AN57" s="38"/>
      <c r="AO57" s="38"/>
      <c r="AP57" s="38"/>
      <c r="AQ57" s="38"/>
      <c r="AR57" s="38"/>
      <c r="AS57" s="38"/>
      <c r="AT57" s="38"/>
      <c r="AU57" s="33"/>
      <c r="AV57" s="33"/>
      <c r="AW57" s="33"/>
      <c r="AX57" s="33"/>
      <c r="AY57" s="33"/>
      <c r="AZ57" s="33"/>
      <c r="BA57" s="33"/>
      <c r="BB57" s="33"/>
      <c r="BC57" s="33"/>
    </row>
    <row r="58" spans="1:55" ht="35.25" thickBot="1">
      <c r="A58" s="40">
        <f t="shared" si="8"/>
        <v>55</v>
      </c>
      <c r="B58" s="140" t="s">
        <v>732</v>
      </c>
      <c r="C58" s="139" t="s">
        <v>440</v>
      </c>
      <c r="D58" s="122" t="str">
        <f xml:space="preserve"> LEFT(韻母表[[#This Row],[十五音識別碼]],1)</f>
        <v>鋼</v>
      </c>
      <c r="E58" s="122" t="s">
        <v>681</v>
      </c>
      <c r="F58" s="141" t="s">
        <v>439</v>
      </c>
      <c r="G58" s="141" t="s">
        <v>827</v>
      </c>
      <c r="H58" s="41" t="s">
        <v>18</v>
      </c>
      <c r="I58" s="41" t="s">
        <v>18</v>
      </c>
      <c r="J58" s="41" t="s">
        <v>18</v>
      </c>
      <c r="K58" s="41" t="s">
        <v>18</v>
      </c>
      <c r="L58" s="42" t="s">
        <v>18</v>
      </c>
      <c r="M58" s="41"/>
      <c r="N58" s="43">
        <f t="shared" si="10"/>
        <v>2</v>
      </c>
      <c r="P58" s="33"/>
      <c r="Q58" s="33"/>
      <c r="S58" s="34"/>
      <c r="T58" s="35"/>
      <c r="U58" s="35"/>
      <c r="V58" s="34"/>
      <c r="X58" s="36"/>
      <c r="Z58" s="37"/>
      <c r="AA58" s="37"/>
      <c r="AB58" s="37"/>
      <c r="AC58" s="37"/>
      <c r="AD58" s="37"/>
      <c r="AE58" s="37"/>
      <c r="AF58" s="37"/>
      <c r="AG58" s="37"/>
      <c r="AH58" s="37"/>
      <c r="AL58" s="38"/>
      <c r="AM58" s="38"/>
      <c r="AN58" s="38"/>
      <c r="AO58" s="38"/>
      <c r="AP58" s="38"/>
      <c r="AQ58" s="38"/>
      <c r="AR58" s="38"/>
      <c r="AS58" s="38"/>
      <c r="AT58" s="38"/>
      <c r="AU58" s="33"/>
      <c r="AV58" s="33"/>
      <c r="AW58" s="33"/>
      <c r="AX58" s="33"/>
      <c r="AY58" s="33"/>
      <c r="AZ58" s="33"/>
      <c r="BA58" s="33"/>
      <c r="BB58" s="33"/>
      <c r="BC58" s="33"/>
    </row>
    <row r="59" spans="1:55" ht="35.25" thickBot="1">
      <c r="A59" s="40">
        <f t="shared" si="8"/>
        <v>56</v>
      </c>
      <c r="B59" s="140" t="s">
        <v>733</v>
      </c>
      <c r="C59" s="139" t="s">
        <v>239</v>
      </c>
      <c r="D59" s="122" t="str">
        <f xml:space="preserve"> LEFT(韻母表[[#This Row],[十五音識別碼]],1)</f>
        <v>鋼</v>
      </c>
      <c r="E59" s="122" t="s">
        <v>682</v>
      </c>
      <c r="F59" s="142" t="s">
        <v>443</v>
      </c>
      <c r="G59" s="142" t="s">
        <v>828</v>
      </c>
      <c r="H59" s="49" t="s">
        <v>442</v>
      </c>
      <c r="I59" s="49" t="s">
        <v>442</v>
      </c>
      <c r="J59" s="57" t="s">
        <v>441</v>
      </c>
      <c r="K59" s="49" t="s">
        <v>442</v>
      </c>
      <c r="L59" s="49" t="s">
        <v>441</v>
      </c>
      <c r="M59" s="41"/>
      <c r="N59" s="43">
        <f t="shared" si="10"/>
        <v>3</v>
      </c>
      <c r="P59" s="33"/>
      <c r="Q59" s="33"/>
      <c r="S59" s="34"/>
      <c r="T59" s="35"/>
      <c r="U59" s="35"/>
      <c r="V59" s="34"/>
      <c r="X59" s="36"/>
      <c r="Z59" s="37"/>
      <c r="AA59" s="37"/>
      <c r="AB59" s="37"/>
      <c r="AC59" s="37"/>
      <c r="AD59" s="37"/>
      <c r="AE59" s="37"/>
      <c r="AF59" s="37"/>
      <c r="AG59" s="37"/>
      <c r="AH59" s="37"/>
      <c r="AL59" s="38"/>
      <c r="AM59" s="38"/>
      <c r="AN59" s="38"/>
      <c r="AO59" s="38"/>
      <c r="AP59" s="38"/>
      <c r="AQ59" s="38"/>
      <c r="AR59" s="38"/>
      <c r="AS59" s="38"/>
      <c r="AT59" s="38"/>
      <c r="AU59" s="33"/>
      <c r="AV59" s="33"/>
      <c r="AW59" s="33"/>
      <c r="AX59" s="33"/>
      <c r="AY59" s="33"/>
      <c r="AZ59" s="33"/>
      <c r="BA59" s="33"/>
      <c r="BB59" s="33"/>
      <c r="BC59" s="33"/>
    </row>
    <row r="60" spans="1:55" ht="35.25" thickBot="1">
      <c r="A60" s="40">
        <f t="shared" si="8"/>
        <v>57</v>
      </c>
      <c r="B60" s="140" t="s">
        <v>444</v>
      </c>
      <c r="C60" s="139" t="s">
        <v>448</v>
      </c>
      <c r="D60" s="122" t="str">
        <f xml:space="preserve"> LEFT(韻母表[[#This Row],[十五音識別碼]],1)</f>
        <v>高</v>
      </c>
      <c r="E60" s="122" t="s">
        <v>683</v>
      </c>
      <c r="F60" s="141" t="s">
        <v>829</v>
      </c>
      <c r="G60" s="141" t="s">
        <v>829</v>
      </c>
      <c r="H60" s="41" t="s">
        <v>446</v>
      </c>
      <c r="I60" s="41" t="s">
        <v>445</v>
      </c>
      <c r="J60" s="41" t="s">
        <v>445</v>
      </c>
      <c r="K60" s="41" t="s">
        <v>445</v>
      </c>
      <c r="L60" s="42" t="s">
        <v>445</v>
      </c>
      <c r="M60" s="41"/>
      <c r="N60" s="43">
        <f t="shared" si="10"/>
        <v>1</v>
      </c>
      <c r="O60" s="45"/>
      <c r="P60" s="41" t="str">
        <f>J68</f>
        <v>ooh</v>
      </c>
      <c r="Q60" s="41" t="str">
        <f>K68</f>
        <v>ooh</v>
      </c>
      <c r="S60" s="34" t="str">
        <f t="shared" si="3"/>
        <v>ooh(\d)</v>
      </c>
      <c r="T60" s="35" t="s">
        <v>223</v>
      </c>
      <c r="U60" s="35" t="str">
        <f t="shared" ref="U60:U86" si="12" xml:space="preserve"> IFERROR( IF(T60="", "", SEARCH(T60, $P60)), "")</f>
        <v/>
      </c>
      <c r="V60" s="34" t="str">
        <f t="shared" si="5"/>
        <v/>
      </c>
      <c r="W60" s="44"/>
      <c r="X60" s="46" t="str">
        <f t="shared" si="6"/>
        <v xml:space="preserve">    - xform/》ooh(\d)//</v>
      </c>
      <c r="Z60" s="37"/>
      <c r="AA60" s="37"/>
      <c r="AB60" s="37"/>
      <c r="AC60" s="37"/>
      <c r="AD60" s="37"/>
      <c r="AE60" s="37"/>
      <c r="AF60" s="37"/>
      <c r="AG60" s="37"/>
      <c r="AH60" s="37"/>
      <c r="AL60" s="38"/>
      <c r="AM60" s="38"/>
      <c r="AN60" s="38"/>
      <c r="AO60" s="38"/>
      <c r="AP60" s="38"/>
      <c r="AQ60" s="38"/>
      <c r="AR60" s="38"/>
      <c r="AS60" s="38"/>
      <c r="AT60" s="38"/>
      <c r="AU60" s="33"/>
      <c r="AV60" s="33"/>
      <c r="AW60" s="33"/>
      <c r="AX60" s="33"/>
      <c r="AY60" s="33"/>
      <c r="AZ60" s="33"/>
      <c r="BA60" s="33"/>
      <c r="BB60" s="33"/>
      <c r="BC60" s="33"/>
    </row>
    <row r="61" spans="1:55" ht="35.25" thickBot="1">
      <c r="A61" s="40">
        <f t="shared" si="8"/>
        <v>58</v>
      </c>
      <c r="B61" s="140" t="s">
        <v>449</v>
      </c>
      <c r="C61" s="139" t="s">
        <v>453</v>
      </c>
      <c r="D61" s="122" t="str">
        <f xml:space="preserve"> LEFT(韻母表[[#This Row],[十五音識別碼]],1)</f>
        <v>高</v>
      </c>
      <c r="E61" s="122" t="s">
        <v>684</v>
      </c>
      <c r="F61" s="141" t="s">
        <v>830</v>
      </c>
      <c r="G61" s="141" t="s">
        <v>831</v>
      </c>
      <c r="H61" s="41" t="s">
        <v>451</v>
      </c>
      <c r="I61" s="41" t="s">
        <v>450</v>
      </c>
      <c r="J61" s="41" t="s">
        <v>450</v>
      </c>
      <c r="K61" s="41" t="s">
        <v>450</v>
      </c>
      <c r="L61" s="42" t="s">
        <v>450</v>
      </c>
      <c r="M61" s="41"/>
      <c r="N61" s="43">
        <f t="shared" si="10"/>
        <v>2</v>
      </c>
      <c r="O61" s="45"/>
      <c r="P61" s="41" t="str">
        <f>J64</f>
        <v>ong</v>
      </c>
      <c r="Q61" s="41" t="str">
        <f>K64</f>
        <v>ong</v>
      </c>
      <c r="S61" s="34" t="str">
        <f t="shared" si="3"/>
        <v>ong(\d)</v>
      </c>
      <c r="T61" s="35" t="s">
        <v>223</v>
      </c>
      <c r="U61" s="35" t="str">
        <f t="shared" si="12"/>
        <v/>
      </c>
      <c r="V61" s="34" t="str">
        <f t="shared" si="5"/>
        <v/>
      </c>
      <c r="W61" s="44"/>
      <c r="X61" s="46" t="str">
        <f t="shared" si="6"/>
        <v xml:space="preserve">    - xform/》ong(\d)//</v>
      </c>
      <c r="Z61" s="37"/>
      <c r="AA61" s="37"/>
      <c r="AB61" s="37"/>
      <c r="AC61" s="37"/>
      <c r="AD61" s="37"/>
      <c r="AE61" s="37"/>
      <c r="AF61" s="37"/>
      <c r="AG61" s="37"/>
      <c r="AH61" s="37"/>
      <c r="AL61" s="38"/>
      <c r="AM61" s="38"/>
      <c r="AN61" s="38"/>
      <c r="AO61" s="38"/>
      <c r="AP61" s="38"/>
      <c r="AQ61" s="38"/>
      <c r="AR61" s="38"/>
      <c r="AS61" s="38"/>
      <c r="AT61" s="38"/>
      <c r="AU61" s="33"/>
      <c r="AV61" s="33"/>
      <c r="AW61" s="33"/>
      <c r="AX61" s="33"/>
      <c r="AY61" s="33"/>
      <c r="AZ61" s="33"/>
      <c r="BA61" s="33"/>
      <c r="BB61" s="33"/>
      <c r="BC61" s="33"/>
    </row>
    <row r="62" spans="1:55" ht="35.25" thickBot="1">
      <c r="A62" s="40">
        <f t="shared" si="8"/>
        <v>59</v>
      </c>
      <c r="B62" s="140" t="s">
        <v>734</v>
      </c>
      <c r="C62" s="139" t="s">
        <v>456</v>
      </c>
      <c r="D62" s="122" t="str">
        <f xml:space="preserve"> LEFT(韻母表[[#This Row],[十五音識別碼]],1)</f>
        <v>公</v>
      </c>
      <c r="E62" s="122" t="s">
        <v>685</v>
      </c>
      <c r="F62" s="141" t="s">
        <v>455</v>
      </c>
      <c r="G62" s="141" t="s">
        <v>832</v>
      </c>
      <c r="H62" s="41" t="s">
        <v>454</v>
      </c>
      <c r="I62" s="41" t="s">
        <v>454</v>
      </c>
      <c r="J62" s="41" t="s">
        <v>454</v>
      </c>
      <c r="K62" s="41" t="s">
        <v>454</v>
      </c>
      <c r="L62" s="42" t="s">
        <v>454</v>
      </c>
      <c r="M62" s="41"/>
      <c r="N62" s="43">
        <f t="shared" si="10"/>
        <v>2</v>
      </c>
      <c r="O62" s="45"/>
      <c r="P62" s="41" t="str">
        <f>J88</f>
        <v>ut</v>
      </c>
      <c r="Q62" s="41" t="str">
        <f>K88</f>
        <v>ut</v>
      </c>
      <c r="S62" s="34" t="str">
        <f t="shared" si="3"/>
        <v>ut(\d)</v>
      </c>
      <c r="T62" s="35" t="s">
        <v>223</v>
      </c>
      <c r="U62" s="35" t="str">
        <f t="shared" si="12"/>
        <v/>
      </c>
      <c r="V62" s="34" t="str">
        <f t="shared" si="5"/>
        <v/>
      </c>
      <c r="W62" s="44"/>
      <c r="X62" s="46" t="str">
        <f t="shared" si="6"/>
        <v xml:space="preserve">    - xform/》ut(\d)//</v>
      </c>
      <c r="Z62" s="37"/>
      <c r="AA62" s="37"/>
      <c r="AB62" s="37"/>
      <c r="AC62" s="37"/>
      <c r="AD62" s="37"/>
      <c r="AE62" s="37"/>
      <c r="AF62" s="37"/>
      <c r="AG62" s="37"/>
      <c r="AH62" s="37"/>
      <c r="AL62" s="38"/>
      <c r="AM62" s="38"/>
      <c r="AN62" s="38"/>
      <c r="AO62" s="38"/>
      <c r="AP62" s="38"/>
      <c r="AQ62" s="38"/>
      <c r="AR62" s="38"/>
      <c r="AS62" s="38"/>
      <c r="AT62" s="38"/>
      <c r="AU62" s="33"/>
      <c r="AV62" s="33"/>
      <c r="AW62" s="33"/>
      <c r="AX62" s="33"/>
      <c r="AY62" s="33"/>
      <c r="AZ62" s="33"/>
      <c r="BA62" s="33"/>
      <c r="BB62" s="33"/>
      <c r="BC62" s="33"/>
    </row>
    <row r="63" spans="1:55" ht="35.25" thickBot="1">
      <c r="A63" s="40">
        <f t="shared" si="8"/>
        <v>60</v>
      </c>
      <c r="B63" s="140" t="s">
        <v>735</v>
      </c>
      <c r="C63" s="139" t="s">
        <v>460</v>
      </c>
      <c r="D63" s="122" t="str">
        <f xml:space="preserve"> LEFT(韻母表[[#This Row],[十五音識別碼]],1)</f>
        <v>箴</v>
      </c>
      <c r="E63" s="122" t="s">
        <v>686</v>
      </c>
      <c r="F63" s="141" t="s">
        <v>459</v>
      </c>
      <c r="G63" s="141" t="s">
        <v>833</v>
      </c>
      <c r="H63" s="41" t="s">
        <v>458</v>
      </c>
      <c r="I63" s="41" t="s">
        <v>457</v>
      </c>
      <c r="J63" s="41" t="s">
        <v>457</v>
      </c>
      <c r="K63" s="41" t="s">
        <v>457</v>
      </c>
      <c r="L63" s="42" t="s">
        <v>457</v>
      </c>
      <c r="M63" s="41"/>
      <c r="N63" s="43">
        <f t="shared" si="10"/>
        <v>2</v>
      </c>
      <c r="O63" s="45"/>
      <c r="P63" s="41" t="str">
        <f>J70</f>
        <v>u</v>
      </c>
      <c r="Q63" s="41" t="str">
        <f>K70</f>
        <v>u</v>
      </c>
      <c r="S63" s="34" t="str">
        <f t="shared" si="3"/>
        <v>u(\d)</v>
      </c>
      <c r="T63" s="35" t="s">
        <v>223</v>
      </c>
      <c r="U63" s="35" t="str">
        <f t="shared" si="12"/>
        <v/>
      </c>
      <c r="V63" s="34" t="str">
        <f t="shared" si="5"/>
        <v/>
      </c>
      <c r="W63" s="44"/>
      <c r="X63" s="46" t="str">
        <f t="shared" si="6"/>
        <v xml:space="preserve">    - xform/》u(\d)//</v>
      </c>
      <c r="Z63" s="37"/>
      <c r="AA63" s="37"/>
      <c r="AB63" s="37"/>
      <c r="AC63" s="37"/>
      <c r="AD63" s="37"/>
      <c r="AE63" s="37"/>
      <c r="AF63" s="37"/>
      <c r="AG63" s="37"/>
      <c r="AH63" s="37"/>
      <c r="AL63" s="38"/>
      <c r="AM63" s="38"/>
      <c r="AN63" s="38"/>
      <c r="AO63" s="38"/>
      <c r="AP63" s="38"/>
      <c r="AQ63" s="38"/>
      <c r="AR63" s="38"/>
      <c r="AS63" s="38"/>
      <c r="AT63" s="38"/>
      <c r="AU63" s="33"/>
      <c r="AV63" s="33"/>
      <c r="AW63" s="33"/>
      <c r="AX63" s="33"/>
      <c r="AY63" s="33"/>
      <c r="AZ63" s="33"/>
      <c r="BA63" s="33"/>
      <c r="BB63" s="33"/>
      <c r="BC63" s="33"/>
    </row>
    <row r="64" spans="1:55" ht="35.25" thickBot="1">
      <c r="A64" s="40">
        <f t="shared" si="8"/>
        <v>61</v>
      </c>
      <c r="B64" s="140" t="s">
        <v>736</v>
      </c>
      <c r="C64" s="139" t="s">
        <v>463</v>
      </c>
      <c r="D64" s="122" t="str">
        <f xml:space="preserve"> LEFT(韻母表[[#This Row],[十五音識別碼]],1)</f>
        <v>公</v>
      </c>
      <c r="E64" s="122" t="s">
        <v>687</v>
      </c>
      <c r="F64" s="141" t="s">
        <v>462</v>
      </c>
      <c r="G64" s="141" t="s">
        <v>834</v>
      </c>
      <c r="H64" s="41" t="s">
        <v>461</v>
      </c>
      <c r="I64" s="41" t="s">
        <v>461</v>
      </c>
      <c r="J64" s="41" t="s">
        <v>461</v>
      </c>
      <c r="K64" s="41" t="s">
        <v>461</v>
      </c>
      <c r="L64" s="42" t="s">
        <v>461</v>
      </c>
      <c r="M64" s="41"/>
      <c r="N64" s="43">
        <f t="shared" si="10"/>
        <v>3</v>
      </c>
      <c r="O64" s="45"/>
      <c r="P64" s="41" t="str">
        <f>J83</f>
        <v>uh</v>
      </c>
      <c r="Q64" s="41" t="str">
        <f>K83</f>
        <v>uh</v>
      </c>
      <c r="S64" s="34" t="str">
        <f t="shared" si="3"/>
        <v>uh(\d)</v>
      </c>
      <c r="T64" s="35" t="s">
        <v>249</v>
      </c>
      <c r="U64" s="35" t="str">
        <f t="shared" si="12"/>
        <v/>
      </c>
      <c r="V64" s="34" t="str">
        <f t="shared" si="5"/>
        <v/>
      </c>
      <c r="W64" s="44"/>
      <c r="X64" s="46" t="str">
        <f t="shared" si="6"/>
        <v xml:space="preserve">    - xform/》uh(\d)//</v>
      </c>
      <c r="Z64" s="37"/>
      <c r="AA64" s="37"/>
      <c r="AB64" s="37"/>
      <c r="AC64" s="37"/>
      <c r="AD64" s="37"/>
      <c r="AE64" s="37"/>
      <c r="AF64" s="37"/>
      <c r="AG64" s="37"/>
      <c r="AH64" s="37"/>
      <c r="AL64" s="38"/>
      <c r="AM64" s="38"/>
      <c r="AN64" s="38"/>
      <c r="AO64" s="38"/>
      <c r="AP64" s="38"/>
      <c r="AQ64" s="38"/>
      <c r="AR64" s="38"/>
      <c r="AS64" s="38"/>
      <c r="AT64" s="38"/>
      <c r="AU64" s="33"/>
      <c r="AV64" s="33"/>
      <c r="AW64" s="33"/>
      <c r="AX64" s="33"/>
      <c r="AY64" s="33"/>
      <c r="AZ64" s="33"/>
      <c r="BA64" s="33"/>
      <c r="BB64" s="33"/>
      <c r="BC64" s="33"/>
    </row>
    <row r="65" spans="1:55" ht="35.25" thickBot="1">
      <c r="A65" s="40">
        <f t="shared" si="8"/>
        <v>62</v>
      </c>
      <c r="B65" s="140" t="s">
        <v>737</v>
      </c>
      <c r="C65" s="139" t="s">
        <v>469</v>
      </c>
      <c r="D65" s="122" t="str">
        <f xml:space="preserve"> LEFT(韻母表[[#This Row],[十五音識別碼]],1)</f>
        <v>姑</v>
      </c>
      <c r="E65" s="122" t="s">
        <v>688</v>
      </c>
      <c r="F65" s="141" t="s">
        <v>468</v>
      </c>
      <c r="G65" s="141" t="s">
        <v>835</v>
      </c>
      <c r="H65" s="41" t="s">
        <v>465</v>
      </c>
      <c r="I65" s="41" t="s">
        <v>466</v>
      </c>
      <c r="J65" s="41" t="s">
        <v>464</v>
      </c>
      <c r="K65" s="41" t="s">
        <v>464</v>
      </c>
      <c r="L65" s="42" t="s">
        <v>467</v>
      </c>
      <c r="M65" s="41"/>
      <c r="N65" s="43">
        <f t="shared" si="10"/>
        <v>3</v>
      </c>
      <c r="O65" s="45"/>
      <c r="P65" s="41" t="str">
        <f>J63</f>
        <v>om</v>
      </c>
      <c r="Q65" s="41" t="str">
        <f>K63</f>
        <v>om</v>
      </c>
      <c r="S65" s="34" t="str">
        <f t="shared" si="3"/>
        <v>om(\d)</v>
      </c>
      <c r="T65" s="35" t="s">
        <v>223</v>
      </c>
      <c r="U65" s="35" t="str">
        <f t="shared" si="12"/>
        <v/>
      </c>
      <c r="V65" s="34" t="str">
        <f t="shared" si="5"/>
        <v/>
      </c>
      <c r="W65" s="44"/>
      <c r="X65" s="46" t="str">
        <f t="shared" si="6"/>
        <v xml:space="preserve">    - xform/》om(\d)//</v>
      </c>
      <c r="Z65" s="37"/>
      <c r="AA65" s="37"/>
      <c r="AB65" s="37"/>
      <c r="AC65" s="37"/>
      <c r="AD65" s="37"/>
      <c r="AE65" s="37"/>
      <c r="AF65" s="37"/>
      <c r="AG65" s="37"/>
      <c r="AH65" s="37"/>
      <c r="AL65" s="38"/>
      <c r="AM65" s="38"/>
      <c r="AN65" s="38"/>
      <c r="AO65" s="38"/>
      <c r="AP65" s="38"/>
      <c r="AQ65" s="38"/>
      <c r="AR65" s="38"/>
      <c r="AS65" s="38"/>
      <c r="AT65" s="38"/>
      <c r="AU65" s="33"/>
      <c r="AV65" s="33"/>
      <c r="AW65" s="33"/>
      <c r="AX65" s="33"/>
      <c r="AY65" s="33"/>
      <c r="AZ65" s="33"/>
      <c r="BA65" s="33"/>
      <c r="BB65" s="33"/>
      <c r="BC65" s="33"/>
    </row>
    <row r="66" spans="1:55" ht="35.25" thickBot="1">
      <c r="A66" s="40">
        <f t="shared" si="8"/>
        <v>63</v>
      </c>
      <c r="B66" s="140" t="s">
        <v>738</v>
      </c>
      <c r="C66" s="139" t="s">
        <v>239</v>
      </c>
      <c r="D66" s="122" t="str">
        <f xml:space="preserve"> LEFT(韻母表[[#This Row],[十五音識別碼]],1)</f>
        <v>扛</v>
      </c>
      <c r="E66" s="122" t="s">
        <v>689</v>
      </c>
      <c r="F66" s="141" t="s">
        <v>474</v>
      </c>
      <c r="G66" s="141" t="s">
        <v>836</v>
      </c>
      <c r="H66" s="41" t="s">
        <v>470</v>
      </c>
      <c r="I66" s="41" t="s">
        <v>472</v>
      </c>
      <c r="J66" s="41" t="s">
        <v>470</v>
      </c>
      <c r="K66" s="41" t="s">
        <v>471</v>
      </c>
      <c r="L66" s="42" t="s">
        <v>473</v>
      </c>
      <c r="M66" s="51" t="s">
        <v>245</v>
      </c>
      <c r="N66" s="43">
        <f t="shared" si="10"/>
        <v>4</v>
      </c>
      <c r="O66" s="45"/>
      <c r="P66" s="41" t="str">
        <f>J62</f>
        <v>ok</v>
      </c>
      <c r="Q66" s="41" t="str">
        <f>K62</f>
        <v>ok</v>
      </c>
      <c r="S66" s="34" t="str">
        <f t="shared" si="3"/>
        <v>ok(\d)</v>
      </c>
      <c r="T66" s="35" t="s">
        <v>223</v>
      </c>
      <c r="U66" s="35" t="str">
        <f t="shared" si="12"/>
        <v/>
      </c>
      <c r="V66" s="34" t="str">
        <f t="shared" si="5"/>
        <v/>
      </c>
      <c r="W66" s="44"/>
      <c r="X66" s="46" t="str">
        <f t="shared" si="6"/>
        <v xml:space="preserve">    - xform/》ok(\d)//</v>
      </c>
      <c r="Z66" s="37"/>
      <c r="AA66" s="37"/>
      <c r="AB66" s="37"/>
      <c r="AC66" s="37"/>
      <c r="AD66" s="37"/>
      <c r="AE66" s="37"/>
      <c r="AF66" s="37"/>
      <c r="AG66" s="37"/>
      <c r="AH66" s="37"/>
      <c r="AL66" s="38"/>
      <c r="AM66" s="38"/>
      <c r="AN66" s="38"/>
      <c r="AO66" s="38"/>
      <c r="AP66" s="38"/>
      <c r="AQ66" s="38"/>
      <c r="AR66" s="38"/>
      <c r="AS66" s="38"/>
      <c r="AT66" s="38"/>
      <c r="AU66" s="33"/>
      <c r="AV66" s="33"/>
      <c r="AW66" s="33"/>
      <c r="AX66" s="33"/>
      <c r="AY66" s="33"/>
      <c r="AZ66" s="33"/>
      <c r="BA66" s="33"/>
      <c r="BB66" s="33"/>
      <c r="BC66" s="33"/>
    </row>
    <row r="67" spans="1:55" ht="54.75" thickBot="1">
      <c r="A67" s="40">
        <f t="shared" si="8"/>
        <v>64</v>
      </c>
      <c r="B67" s="140" t="s">
        <v>739</v>
      </c>
      <c r="C67" s="139" t="s">
        <v>478</v>
      </c>
      <c r="D67" s="122" t="str">
        <f xml:space="preserve"> LEFT(韻母表[[#This Row],[十五音識別碼]],1)</f>
        <v>沽</v>
      </c>
      <c r="E67" s="122" t="s">
        <v>690</v>
      </c>
      <c r="F67" s="141" t="s">
        <v>477</v>
      </c>
      <c r="G67" s="141" t="s">
        <v>837</v>
      </c>
      <c r="H67" s="41" t="s">
        <v>475</v>
      </c>
      <c r="I67" s="41" t="s">
        <v>475</v>
      </c>
      <c r="J67" s="41" t="s">
        <v>475</v>
      </c>
      <c r="K67" s="41" t="s">
        <v>475</v>
      </c>
      <c r="L67" s="42" t="s">
        <v>476</v>
      </c>
      <c r="M67" s="41"/>
      <c r="N67" s="43">
        <f t="shared" ref="N67:N88" si="13" xml:space="preserve"> LEN(K67)</f>
        <v>2</v>
      </c>
      <c r="O67" s="45"/>
      <c r="P67" s="41" t="str">
        <f>J66</f>
        <v>onnh</v>
      </c>
      <c r="Q67" s="41" t="str">
        <f>K66</f>
        <v>ohnn</v>
      </c>
      <c r="S67" s="34" t="str">
        <f t="shared" ref="S67:S83" si="14" xml:space="preserve"> _xlfn.CONCAT(P67, "(\d)")</f>
        <v>onnh(\d)</v>
      </c>
      <c r="T67" s="35" t="s">
        <v>223</v>
      </c>
      <c r="U67" s="35" t="str">
        <f t="shared" si="12"/>
        <v/>
      </c>
      <c r="V67" s="34" t="str">
        <f t="shared" ref="V67:V88" si="15" xml:space="preserve"> IFERROR( _xlfn.CONCAT(LEFT(P67,U67-1), "》", MID(P67,U67,1), "${1}", RIGHT(P67, LEN(P67)-U67)), "" )</f>
        <v/>
      </c>
      <c r="W67" s="44"/>
      <c r="X67" s="46" t="str">
        <f t="shared" ref="X67:X83" si="16" xml:space="preserve"> IF(AND(Q67&lt;&gt;"", P67&lt;&gt;""), "    - xform/》" &amp; S67 &amp;  "/"  &amp; V67 &amp;  "/", "")</f>
        <v xml:space="preserve">    - xform/》onnh(\d)//</v>
      </c>
      <c r="Z67" s="37"/>
      <c r="AA67" s="37"/>
      <c r="AB67" s="37"/>
      <c r="AC67" s="37"/>
      <c r="AD67" s="37"/>
      <c r="AE67" s="37"/>
      <c r="AF67" s="37"/>
      <c r="AG67" s="37"/>
      <c r="AH67" s="37"/>
      <c r="AL67" s="38"/>
      <c r="AM67" s="38"/>
      <c r="AN67" s="38"/>
      <c r="AO67" s="38"/>
      <c r="AP67" s="38"/>
      <c r="AQ67" s="38"/>
      <c r="AR67" s="38"/>
      <c r="AS67" s="38"/>
      <c r="AT67" s="38"/>
      <c r="AU67" s="33"/>
      <c r="AV67" s="33"/>
      <c r="AW67" s="33"/>
      <c r="AX67" s="33"/>
      <c r="AY67" s="33"/>
      <c r="AZ67" s="33"/>
      <c r="BA67" s="33"/>
      <c r="BB67" s="33"/>
      <c r="BC67" s="33"/>
    </row>
    <row r="68" spans="1:55" ht="35.25" thickBot="1">
      <c r="A68" s="40">
        <f t="shared" si="8"/>
        <v>65</v>
      </c>
      <c r="B68" s="140" t="s">
        <v>740</v>
      </c>
      <c r="C68" s="139" t="s">
        <v>239</v>
      </c>
      <c r="D68" s="122" t="str">
        <f xml:space="preserve"> LEFT(韻母表[[#This Row],[十五音識別碼]],1)</f>
        <v>沽</v>
      </c>
      <c r="E68" s="122" t="s">
        <v>691</v>
      </c>
      <c r="F68" s="142" t="s">
        <v>482</v>
      </c>
      <c r="G68" s="142" t="s">
        <v>838</v>
      </c>
      <c r="H68" s="49" t="s">
        <v>480</v>
      </c>
      <c r="I68" s="49" t="s">
        <v>480</v>
      </c>
      <c r="J68" s="57" t="s">
        <v>479</v>
      </c>
      <c r="K68" s="49" t="s">
        <v>480</v>
      </c>
      <c r="L68" s="49" t="s">
        <v>481</v>
      </c>
      <c r="M68" s="41"/>
      <c r="N68" s="43">
        <f t="shared" si="13"/>
        <v>3</v>
      </c>
      <c r="O68" s="45"/>
      <c r="P68" s="41" t="str">
        <f>J69</f>
        <v>op</v>
      </c>
      <c r="Q68" s="41" t="str">
        <f>K69</f>
        <v>op</v>
      </c>
      <c r="S68" s="34" t="str">
        <f t="shared" si="14"/>
        <v>op(\d)</v>
      </c>
      <c r="T68" s="35" t="s">
        <v>223</v>
      </c>
      <c r="U68" s="35" t="str">
        <f t="shared" si="12"/>
        <v/>
      </c>
      <c r="V68" s="34" t="str">
        <f t="shared" si="15"/>
        <v/>
      </c>
      <c r="W68" s="44"/>
      <c r="X68" s="46" t="str">
        <f t="shared" si="16"/>
        <v xml:space="preserve">    - xform/》op(\d)//</v>
      </c>
      <c r="Z68" s="37"/>
      <c r="AA68" s="37"/>
      <c r="AB68" s="37"/>
      <c r="AC68" s="37"/>
      <c r="AD68" s="37"/>
      <c r="AE68" s="37"/>
      <c r="AF68" s="37"/>
      <c r="AG68" s="37"/>
      <c r="AH68" s="37"/>
      <c r="AL68" s="38"/>
      <c r="AM68" s="38"/>
      <c r="AN68" s="38"/>
      <c r="AO68" s="38"/>
      <c r="AP68" s="38"/>
      <c r="AQ68" s="38"/>
      <c r="AR68" s="38"/>
      <c r="AS68" s="38"/>
      <c r="AT68" s="38"/>
      <c r="AU68" s="33"/>
      <c r="AV68" s="33"/>
      <c r="AW68" s="33"/>
      <c r="AX68" s="33"/>
      <c r="AY68" s="33"/>
      <c r="AZ68" s="33"/>
      <c r="BA68" s="33"/>
      <c r="BB68" s="33"/>
      <c r="BC68" s="33"/>
    </row>
    <row r="69" spans="1:55" ht="35.25" thickBot="1">
      <c r="A69" s="40">
        <f t="shared" si="8"/>
        <v>66</v>
      </c>
      <c r="B69" s="140" t="s">
        <v>741</v>
      </c>
      <c r="C69" s="139" t="s">
        <v>486</v>
      </c>
      <c r="D69" s="122" t="str">
        <f xml:space="preserve"> LEFT(韻母表[[#This Row],[十五音識別碼]],1)</f>
        <v>箴</v>
      </c>
      <c r="E69" s="122" t="s">
        <v>692</v>
      </c>
      <c r="F69" s="141" t="s">
        <v>485</v>
      </c>
      <c r="G69" s="141" t="s">
        <v>839</v>
      </c>
      <c r="H69" s="41" t="s">
        <v>484</v>
      </c>
      <c r="I69" s="41" t="s">
        <v>483</v>
      </c>
      <c r="J69" s="41" t="s">
        <v>483</v>
      </c>
      <c r="K69" s="41" t="s">
        <v>483</v>
      </c>
      <c r="L69" s="42" t="s">
        <v>483</v>
      </c>
      <c r="M69" s="41"/>
      <c r="N69" s="43">
        <f t="shared" si="13"/>
        <v>2</v>
      </c>
      <c r="O69" s="45"/>
      <c r="P69" s="41" t="str">
        <f>J87</f>
        <v>un</v>
      </c>
      <c r="Q69" s="41" t="str">
        <f>K87</f>
        <v>un</v>
      </c>
      <c r="S69" s="34" t="str">
        <f t="shared" si="14"/>
        <v>un(\d)</v>
      </c>
      <c r="T69" s="35" t="s">
        <v>267</v>
      </c>
      <c r="U69" s="35" t="str">
        <f t="shared" si="12"/>
        <v/>
      </c>
      <c r="V69" s="34" t="str">
        <f t="shared" si="15"/>
        <v/>
      </c>
      <c r="W69" s="44"/>
      <c r="X69" s="46" t="str">
        <f t="shared" si="16"/>
        <v xml:space="preserve">    - xform/》un(\d)//</v>
      </c>
      <c r="Z69" s="37"/>
      <c r="AA69" s="37"/>
      <c r="AB69" s="37"/>
      <c r="AC69" s="37"/>
      <c r="AD69" s="37"/>
      <c r="AE69" s="37"/>
      <c r="AF69" s="37"/>
      <c r="AG69" s="37"/>
      <c r="AH69" s="37"/>
      <c r="AL69" s="38"/>
      <c r="AM69" s="38"/>
      <c r="AN69" s="38"/>
      <c r="AO69" s="38"/>
      <c r="AP69" s="38"/>
      <c r="AQ69" s="38"/>
      <c r="AR69" s="38"/>
      <c r="AS69" s="38"/>
      <c r="AT69" s="38"/>
      <c r="AU69" s="33"/>
      <c r="AV69" s="33"/>
      <c r="AW69" s="33"/>
      <c r="AX69" s="33"/>
      <c r="AY69" s="33"/>
      <c r="AZ69" s="33"/>
      <c r="BA69" s="33"/>
      <c r="BB69" s="33"/>
      <c r="BC69" s="33"/>
    </row>
    <row r="70" spans="1:55" ht="35.25" thickBot="1">
      <c r="A70" s="40">
        <f t="shared" si="8"/>
        <v>67</v>
      </c>
      <c r="B70" s="140" t="s">
        <v>231</v>
      </c>
      <c r="C70" s="139" t="s">
        <v>489</v>
      </c>
      <c r="D70" s="122" t="str">
        <f xml:space="preserve"> LEFT(韻母表[[#This Row],[十五音識別碼]],1)</f>
        <v>艍</v>
      </c>
      <c r="E70" s="122" t="s">
        <v>693</v>
      </c>
      <c r="F70" s="141" t="s">
        <v>840</v>
      </c>
      <c r="G70" s="141" t="s">
        <v>840</v>
      </c>
      <c r="H70" s="41" t="s">
        <v>487</v>
      </c>
      <c r="I70" s="41" t="s">
        <v>487</v>
      </c>
      <c r="J70" s="41" t="s">
        <v>487</v>
      </c>
      <c r="K70" s="41" t="s">
        <v>487</v>
      </c>
      <c r="L70" s="42" t="s">
        <v>487</v>
      </c>
      <c r="M70" s="41"/>
      <c r="N70" s="43">
        <f t="shared" si="13"/>
        <v>1</v>
      </c>
      <c r="O70" s="45"/>
      <c r="P70" s="41" t="str">
        <f>J71</f>
        <v>ua</v>
      </c>
      <c r="Q70" s="41" t="str">
        <f>K71</f>
        <v>ua</v>
      </c>
      <c r="S70" s="34" t="str">
        <f t="shared" si="14"/>
        <v>ua(\d)</v>
      </c>
      <c r="T70" s="35" t="s">
        <v>249</v>
      </c>
      <c r="U70" s="35" t="str">
        <f t="shared" si="12"/>
        <v/>
      </c>
      <c r="V70" s="34" t="str">
        <f t="shared" si="15"/>
        <v/>
      </c>
      <c r="W70" s="44"/>
      <c r="X70" s="46" t="str">
        <f t="shared" si="16"/>
        <v xml:space="preserve">    - xform/》ua(\d)//</v>
      </c>
      <c r="Z70" s="37"/>
      <c r="AA70" s="37"/>
      <c r="AB70" s="37"/>
      <c r="AC70" s="37"/>
      <c r="AD70" s="37"/>
      <c r="AE70" s="37"/>
      <c r="AF70" s="37"/>
      <c r="AG70" s="37"/>
      <c r="AH70" s="37"/>
      <c r="AL70" s="38"/>
      <c r="AM70" s="38"/>
      <c r="AN70" s="38"/>
      <c r="AO70" s="38"/>
      <c r="AP70" s="38"/>
      <c r="AQ70" s="38"/>
      <c r="AR70" s="38"/>
      <c r="AS70" s="38"/>
      <c r="AT70" s="38"/>
      <c r="AU70" s="33"/>
      <c r="AV70" s="33"/>
      <c r="AW70" s="33"/>
      <c r="AX70" s="33"/>
      <c r="AY70" s="33"/>
      <c r="AZ70" s="33"/>
      <c r="BA70" s="33"/>
      <c r="BB70" s="33"/>
      <c r="BC70" s="33"/>
    </row>
    <row r="71" spans="1:55" ht="54.75" thickBot="1">
      <c r="A71" s="40">
        <f t="shared" si="8"/>
        <v>68</v>
      </c>
      <c r="B71" s="140" t="s">
        <v>490</v>
      </c>
      <c r="C71" s="139" t="s">
        <v>494</v>
      </c>
      <c r="D71" s="122" t="str">
        <f xml:space="preserve"> LEFT(韻母表[[#This Row],[十五音識別碼]],1)</f>
        <v>瓜</v>
      </c>
      <c r="E71" s="122" t="s">
        <v>694</v>
      </c>
      <c r="F71" s="141" t="s">
        <v>841</v>
      </c>
      <c r="G71" s="141" t="s">
        <v>841</v>
      </c>
      <c r="H71" s="41" t="s">
        <v>491</v>
      </c>
      <c r="I71" s="41" t="s">
        <v>491</v>
      </c>
      <c r="J71" s="41" t="s">
        <v>491</v>
      </c>
      <c r="K71" s="41" t="s">
        <v>491</v>
      </c>
      <c r="L71" s="42" t="s">
        <v>492</v>
      </c>
      <c r="M71" s="41"/>
      <c r="N71" s="43">
        <f t="shared" si="13"/>
        <v>2</v>
      </c>
      <c r="O71" s="45"/>
      <c r="P71" s="41" t="str">
        <f>J78</f>
        <v>uang</v>
      </c>
      <c r="Q71" s="41" t="str">
        <f>K78</f>
        <v>uang</v>
      </c>
      <c r="S71" s="34" t="str">
        <f t="shared" si="14"/>
        <v>uang(\d)</v>
      </c>
      <c r="T71" s="35" t="s">
        <v>267</v>
      </c>
      <c r="U71" s="35" t="str">
        <f t="shared" si="12"/>
        <v/>
      </c>
      <c r="V71" s="34" t="str">
        <f t="shared" si="15"/>
        <v/>
      </c>
      <c r="W71" s="44"/>
      <c r="X71" s="46" t="str">
        <f t="shared" si="16"/>
        <v xml:space="preserve">    - xform/》uang(\d)//</v>
      </c>
      <c r="Z71" s="37"/>
      <c r="AA71" s="37"/>
      <c r="AB71" s="37"/>
      <c r="AC71" s="37"/>
      <c r="AD71" s="37"/>
      <c r="AE71" s="37"/>
      <c r="AF71" s="37"/>
      <c r="AG71" s="37"/>
      <c r="AH71" s="37"/>
      <c r="AL71" s="38"/>
      <c r="AM71" s="38"/>
      <c r="AN71" s="38"/>
      <c r="AO71" s="38"/>
      <c r="AP71" s="38"/>
      <c r="AQ71" s="38"/>
      <c r="AR71" s="38"/>
      <c r="AS71" s="38"/>
      <c r="AT71" s="38"/>
      <c r="AU71" s="33"/>
      <c r="AV71" s="33"/>
      <c r="AW71" s="33"/>
      <c r="AX71" s="33"/>
      <c r="AY71" s="33"/>
      <c r="AZ71" s="33"/>
      <c r="BA71" s="33"/>
      <c r="BB71" s="33"/>
      <c r="BC71" s="33"/>
    </row>
    <row r="72" spans="1:55" ht="35.25" thickBot="1">
      <c r="A72" s="40">
        <f t="shared" si="8"/>
        <v>69</v>
      </c>
      <c r="B72" s="140" t="s">
        <v>495</v>
      </c>
      <c r="C72" s="139" t="s">
        <v>499</v>
      </c>
      <c r="D72" s="122" t="str">
        <f xml:space="preserve"> LEFT(韻母表[[#This Row],[十五音識別碼]],1)</f>
        <v>瓜</v>
      </c>
      <c r="E72" s="122" t="s">
        <v>695</v>
      </c>
      <c r="F72" s="141" t="s">
        <v>842</v>
      </c>
      <c r="G72" s="141" t="s">
        <v>843</v>
      </c>
      <c r="H72" s="41" t="s">
        <v>496</v>
      </c>
      <c r="I72" s="41" t="s">
        <v>496</v>
      </c>
      <c r="J72" s="41" t="s">
        <v>496</v>
      </c>
      <c r="K72" s="41" t="s">
        <v>496</v>
      </c>
      <c r="L72" s="42" t="s">
        <v>497</v>
      </c>
      <c r="M72" s="41"/>
      <c r="N72" s="43">
        <f t="shared" si="13"/>
        <v>3</v>
      </c>
      <c r="O72" s="45"/>
      <c r="P72" s="41" t="str">
        <f>J73</f>
        <v>uai</v>
      </c>
      <c r="Q72" s="41" t="str">
        <f>K73</f>
        <v>uai</v>
      </c>
      <c r="S72" s="34" t="str">
        <f t="shared" si="14"/>
        <v>uai(\d)</v>
      </c>
      <c r="T72" s="35" t="s">
        <v>267</v>
      </c>
      <c r="U72" s="35">
        <f t="shared" si="12"/>
        <v>3</v>
      </c>
      <c r="V72" s="34" t="str">
        <f t="shared" si="15"/>
        <v>ua》i${1}</v>
      </c>
      <c r="W72" s="44"/>
      <c r="X72" s="46" t="str">
        <f t="shared" si="16"/>
        <v xml:space="preserve">    - xform/》uai(\d)/ua》i${1}/</v>
      </c>
      <c r="Z72" s="37"/>
      <c r="AA72" s="37"/>
      <c r="AB72" s="37"/>
      <c r="AC72" s="37"/>
      <c r="AD72" s="37"/>
      <c r="AE72" s="37"/>
      <c r="AF72" s="37"/>
      <c r="AG72" s="37"/>
      <c r="AH72" s="37"/>
      <c r="AL72" s="38"/>
      <c r="AM72" s="38"/>
      <c r="AN72" s="38"/>
      <c r="AO72" s="38"/>
      <c r="AP72" s="38"/>
      <c r="AQ72" s="38"/>
      <c r="AR72" s="38"/>
      <c r="AS72" s="38"/>
      <c r="AT72" s="38"/>
      <c r="AU72" s="33"/>
      <c r="AV72" s="33"/>
      <c r="AW72" s="33"/>
      <c r="AX72" s="33"/>
      <c r="AY72" s="33"/>
      <c r="AZ72" s="33"/>
      <c r="BA72" s="33"/>
      <c r="BB72" s="33"/>
      <c r="BC72" s="33"/>
    </row>
    <row r="73" spans="1:55" ht="35.25" thickBot="1">
      <c r="A73" s="40">
        <f t="shared" si="8"/>
        <v>70</v>
      </c>
      <c r="B73" s="140" t="s">
        <v>500</v>
      </c>
      <c r="C73" s="139" t="s">
        <v>504</v>
      </c>
      <c r="D73" s="122" t="str">
        <f xml:space="preserve"> LEFT(韻母表[[#This Row],[十五音識別碼]],1)</f>
        <v>乖</v>
      </c>
      <c r="E73" s="122" t="s">
        <v>696</v>
      </c>
      <c r="F73" s="141" t="s">
        <v>844</v>
      </c>
      <c r="G73" s="141" t="s">
        <v>844</v>
      </c>
      <c r="H73" s="41" t="s">
        <v>501</v>
      </c>
      <c r="I73" s="41" t="s">
        <v>501</v>
      </c>
      <c r="J73" s="41" t="s">
        <v>501</v>
      </c>
      <c r="K73" s="41" t="s">
        <v>501</v>
      </c>
      <c r="L73" s="42" t="s">
        <v>502</v>
      </c>
      <c r="M73" s="41"/>
      <c r="N73" s="43">
        <f t="shared" si="13"/>
        <v>3</v>
      </c>
      <c r="O73" s="45"/>
      <c r="P73" s="41" t="str">
        <f>J81</f>
        <v>ue</v>
      </c>
      <c r="Q73" s="41" t="str">
        <f>K81</f>
        <v>ue</v>
      </c>
      <c r="S73" s="34" t="str">
        <f t="shared" si="14"/>
        <v>ue(\d)</v>
      </c>
      <c r="T73" s="35" t="s">
        <v>194</v>
      </c>
      <c r="U73" s="35" t="str">
        <f t="shared" si="12"/>
        <v/>
      </c>
      <c r="V73" s="34" t="str">
        <f t="shared" si="15"/>
        <v/>
      </c>
      <c r="W73" s="44"/>
      <c r="X73" s="46" t="str">
        <f t="shared" si="16"/>
        <v xml:space="preserve">    - xform/》ue(\d)//</v>
      </c>
      <c r="Z73" s="37"/>
      <c r="AA73" s="37"/>
      <c r="AB73" s="37"/>
      <c r="AC73" s="37"/>
      <c r="AD73" s="37"/>
      <c r="AE73" s="37"/>
      <c r="AF73" s="37"/>
      <c r="AG73" s="37"/>
      <c r="AH73" s="37"/>
      <c r="AL73" s="38"/>
      <c r="AM73" s="38"/>
      <c r="AN73" s="38"/>
      <c r="AO73" s="38"/>
      <c r="AP73" s="38"/>
      <c r="AQ73" s="38"/>
      <c r="AR73" s="38"/>
      <c r="AS73" s="38"/>
      <c r="AT73" s="38"/>
      <c r="AU73" s="33"/>
      <c r="AV73" s="33"/>
      <c r="AW73" s="33"/>
      <c r="AX73" s="33"/>
      <c r="AY73" s="33"/>
      <c r="AZ73" s="33"/>
      <c r="BA73" s="33"/>
      <c r="BB73" s="33"/>
      <c r="BC73" s="33"/>
    </row>
    <row r="74" spans="1:55" ht="35.25" thickBot="1">
      <c r="A74" s="40">
        <f t="shared" si="8"/>
        <v>71</v>
      </c>
      <c r="B74" s="140" t="s">
        <v>505</v>
      </c>
      <c r="C74" s="139" t="s">
        <v>510</v>
      </c>
      <c r="D74" s="122" t="str">
        <f xml:space="preserve"> LEFT(韻母表[[#This Row],[十五音識別碼]],1)</f>
        <v>閂</v>
      </c>
      <c r="E74" s="122" t="s">
        <v>697</v>
      </c>
      <c r="F74" s="141" t="s">
        <v>845</v>
      </c>
      <c r="G74" s="141" t="s">
        <v>846</v>
      </c>
      <c r="H74" s="41" t="s">
        <v>506</v>
      </c>
      <c r="I74" s="41" t="s">
        <v>507</v>
      </c>
      <c r="J74" s="41" t="s">
        <v>506</v>
      </c>
      <c r="K74" s="41" t="s">
        <v>506</v>
      </c>
      <c r="L74" s="42" t="s">
        <v>508</v>
      </c>
      <c r="M74" s="51" t="s">
        <v>245</v>
      </c>
      <c r="N74" s="43">
        <f t="shared" si="13"/>
        <v>5</v>
      </c>
      <c r="O74" s="45"/>
      <c r="P74" s="41" t="str">
        <f>J82</f>
        <v>ueh</v>
      </c>
      <c r="Q74" s="41" t="str">
        <f>K82</f>
        <v>ueh</v>
      </c>
      <c r="S74" s="34" t="str">
        <f t="shared" si="14"/>
        <v>ueh(\d)</v>
      </c>
      <c r="T74" s="35" t="s">
        <v>235</v>
      </c>
      <c r="U74" s="35" t="str">
        <f t="shared" si="12"/>
        <v/>
      </c>
      <c r="V74" s="34" t="str">
        <f t="shared" si="15"/>
        <v/>
      </c>
      <c r="W74" s="44"/>
      <c r="X74" s="46" t="str">
        <f t="shared" si="16"/>
        <v xml:space="preserve">    - xform/》ueh(\d)//</v>
      </c>
      <c r="Z74" s="37"/>
      <c r="AA74" s="37"/>
      <c r="AB74" s="37"/>
      <c r="AC74" s="37"/>
      <c r="AD74" s="37"/>
      <c r="AE74" s="37"/>
      <c r="AF74" s="37"/>
      <c r="AG74" s="37"/>
      <c r="AH74" s="37"/>
      <c r="AL74" s="38"/>
      <c r="AM74" s="38"/>
      <c r="AN74" s="38"/>
      <c r="AO74" s="38"/>
      <c r="AP74" s="38"/>
      <c r="AQ74" s="38"/>
      <c r="AR74" s="38"/>
      <c r="AS74" s="38"/>
      <c r="AT74" s="38"/>
      <c r="AU74" s="33"/>
      <c r="AV74" s="33"/>
      <c r="AW74" s="33"/>
      <c r="AX74" s="33"/>
      <c r="AY74" s="33"/>
      <c r="AZ74" s="33"/>
      <c r="BA74" s="33"/>
      <c r="BB74" s="33"/>
      <c r="BC74" s="33"/>
    </row>
    <row r="75" spans="1:55" ht="35.25" thickBot="1">
      <c r="A75" s="40">
        <f t="shared" si="8"/>
        <v>72</v>
      </c>
      <c r="B75" s="140" t="s">
        <v>511</v>
      </c>
      <c r="C75" s="139" t="s">
        <v>239</v>
      </c>
      <c r="D75" s="122" t="str">
        <f xml:space="preserve"> LEFT(韻母表[[#This Row],[十五音識別碼]],1)</f>
        <v>乖</v>
      </c>
      <c r="E75" s="122" t="s">
        <v>698</v>
      </c>
      <c r="F75" s="141" t="s">
        <v>847</v>
      </c>
      <c r="G75" s="141" t="s">
        <v>848</v>
      </c>
      <c r="H75" s="41" t="s">
        <v>512</v>
      </c>
      <c r="I75" s="41" t="s">
        <v>512</v>
      </c>
      <c r="J75" s="41" t="s">
        <v>512</v>
      </c>
      <c r="K75" s="41" t="s">
        <v>512</v>
      </c>
      <c r="L75" s="42" t="s">
        <v>513</v>
      </c>
      <c r="M75" s="41"/>
      <c r="N75" s="43">
        <f t="shared" si="13"/>
        <v>4</v>
      </c>
      <c r="O75" s="45"/>
      <c r="P75" s="41" t="str">
        <f>J84</f>
        <v>ui</v>
      </c>
      <c r="Q75" s="41" t="str">
        <f>K84</f>
        <v>ui</v>
      </c>
      <c r="S75" s="34" t="str">
        <f t="shared" si="14"/>
        <v>ui(\d)</v>
      </c>
      <c r="T75" s="35" t="s">
        <v>235</v>
      </c>
      <c r="U75" s="35" t="str">
        <f t="shared" si="12"/>
        <v/>
      </c>
      <c r="V75" s="34" t="str">
        <f t="shared" si="15"/>
        <v/>
      </c>
      <c r="W75" s="44"/>
      <c r="X75" s="46" t="str">
        <f t="shared" si="16"/>
        <v xml:space="preserve">    - xform/》ui(\d)//</v>
      </c>
      <c r="Z75" s="37"/>
      <c r="AA75" s="37"/>
      <c r="AB75" s="37"/>
      <c r="AC75" s="37"/>
      <c r="AD75" s="37"/>
      <c r="AE75" s="37"/>
      <c r="AF75" s="37"/>
      <c r="AG75" s="37"/>
      <c r="AH75" s="37"/>
      <c r="AL75" s="38"/>
      <c r="AM75" s="38"/>
      <c r="AN75" s="38"/>
      <c r="AO75" s="38"/>
      <c r="AP75" s="38"/>
      <c r="AQ75" s="38"/>
      <c r="AR75" s="38"/>
      <c r="AS75" s="38"/>
      <c r="AT75" s="38"/>
      <c r="AU75" s="33"/>
      <c r="AV75" s="33"/>
      <c r="AW75" s="33"/>
      <c r="AX75" s="33"/>
      <c r="AY75" s="33"/>
      <c r="AZ75" s="33"/>
      <c r="BA75" s="33"/>
      <c r="BB75" s="33"/>
      <c r="BC75" s="33"/>
    </row>
    <row r="76" spans="1:55" ht="35.25" thickBot="1">
      <c r="A76" s="40">
        <f t="shared" si="8"/>
        <v>73</v>
      </c>
      <c r="B76" s="140" t="s">
        <v>514</v>
      </c>
      <c r="C76" s="139" t="s">
        <v>519</v>
      </c>
      <c r="D76" s="122" t="str">
        <f xml:space="preserve"> LEFT(韻母表[[#This Row],[十五音識別碼]],1)</f>
        <v>閂</v>
      </c>
      <c r="E76" s="122" t="s">
        <v>699</v>
      </c>
      <c r="F76" s="141" t="s">
        <v>849</v>
      </c>
      <c r="G76" s="141" t="s">
        <v>850</v>
      </c>
      <c r="H76" s="41" t="s">
        <v>515</v>
      </c>
      <c r="I76" s="49" t="s">
        <v>517</v>
      </c>
      <c r="J76" s="41" t="s">
        <v>515</v>
      </c>
      <c r="K76" s="41" t="s">
        <v>516</v>
      </c>
      <c r="L76" s="42" t="s">
        <v>518</v>
      </c>
      <c r="M76" s="51" t="s">
        <v>245</v>
      </c>
      <c r="N76" s="43">
        <f t="shared" si="13"/>
        <v>6</v>
      </c>
      <c r="O76" s="45"/>
      <c r="P76" s="41" t="str">
        <f>J86</f>
        <v>uinn</v>
      </c>
      <c r="Q76" s="41" t="str">
        <f>K86</f>
        <v>uinn</v>
      </c>
      <c r="S76" s="34" t="str">
        <f t="shared" si="14"/>
        <v>uinn(\d)</v>
      </c>
      <c r="T76" s="35" t="s">
        <v>235</v>
      </c>
      <c r="U76" s="35" t="str">
        <f t="shared" si="12"/>
        <v/>
      </c>
      <c r="V76" s="34" t="str">
        <f t="shared" si="15"/>
        <v/>
      </c>
      <c r="W76" s="44"/>
      <c r="X76" s="46" t="str">
        <f t="shared" si="16"/>
        <v xml:space="preserve">    - xform/》uinn(\d)//</v>
      </c>
      <c r="Z76" s="37"/>
      <c r="AA76" s="37"/>
      <c r="AB76" s="37"/>
      <c r="AC76" s="37"/>
      <c r="AD76" s="37"/>
      <c r="AE76" s="37"/>
      <c r="AF76" s="37"/>
      <c r="AG76" s="37"/>
      <c r="AH76" s="37"/>
      <c r="AL76" s="38"/>
      <c r="AM76" s="38"/>
      <c r="AN76" s="38"/>
      <c r="AO76" s="38"/>
      <c r="AP76" s="38"/>
      <c r="AQ76" s="38"/>
      <c r="AR76" s="38"/>
      <c r="AS76" s="38"/>
      <c r="AT76" s="38"/>
      <c r="AU76" s="33"/>
      <c r="AV76" s="33"/>
      <c r="AW76" s="33"/>
      <c r="AX76" s="33"/>
      <c r="AY76" s="33"/>
      <c r="AZ76" s="33"/>
      <c r="BA76" s="33"/>
      <c r="BB76" s="33"/>
      <c r="BC76" s="33"/>
    </row>
    <row r="77" spans="1:55" ht="54.75" thickBot="1">
      <c r="A77" s="40">
        <f t="shared" si="8"/>
        <v>74</v>
      </c>
      <c r="B77" s="140" t="s">
        <v>520</v>
      </c>
      <c r="C77" s="139" t="s">
        <v>524</v>
      </c>
      <c r="D77" s="122" t="str">
        <f xml:space="preserve"> LEFT(韻母表[[#This Row],[十五音識別碼]],1)</f>
        <v>觀</v>
      </c>
      <c r="E77" s="122" t="s">
        <v>700</v>
      </c>
      <c r="F77" s="141" t="s">
        <v>851</v>
      </c>
      <c r="G77" s="141" t="s">
        <v>851</v>
      </c>
      <c r="H77" s="41" t="s">
        <v>521</v>
      </c>
      <c r="I77" s="41" t="s">
        <v>521</v>
      </c>
      <c r="J77" s="41" t="s">
        <v>521</v>
      </c>
      <c r="K77" s="41" t="s">
        <v>521</v>
      </c>
      <c r="L77" s="42" t="s">
        <v>522</v>
      </c>
      <c r="M77" s="41"/>
      <c r="N77" s="43">
        <f t="shared" si="13"/>
        <v>3</v>
      </c>
      <c r="O77" s="45"/>
      <c r="P77" s="41" t="str">
        <f>J74</f>
        <v>uainn</v>
      </c>
      <c r="Q77" s="41" t="str">
        <f>K74</f>
        <v>uainn</v>
      </c>
      <c r="S77" s="34" t="str">
        <f t="shared" si="14"/>
        <v>uainn(\d)</v>
      </c>
      <c r="T77" s="35" t="s">
        <v>267</v>
      </c>
      <c r="U77" s="35">
        <f t="shared" si="12"/>
        <v>3</v>
      </c>
      <c r="V77" s="34" t="str">
        <f t="shared" si="15"/>
        <v>ua》i${1}nn</v>
      </c>
      <c r="W77" s="44"/>
      <c r="X77" s="46" t="str">
        <f t="shared" si="16"/>
        <v xml:space="preserve">    - xform/》uainn(\d)/ua》i${1}nn/</v>
      </c>
      <c r="Z77" s="37"/>
      <c r="AA77" s="37"/>
      <c r="AB77" s="37"/>
      <c r="AC77" s="37"/>
      <c r="AD77" s="37"/>
      <c r="AE77" s="37"/>
      <c r="AF77" s="37"/>
      <c r="AG77" s="37"/>
      <c r="AH77" s="37"/>
      <c r="AL77" s="38"/>
      <c r="AM77" s="38"/>
      <c r="AN77" s="38"/>
      <c r="AO77" s="38"/>
      <c r="AP77" s="38"/>
      <c r="AQ77" s="38"/>
      <c r="AR77" s="38"/>
      <c r="AS77" s="38"/>
      <c r="AT77" s="38"/>
      <c r="AU77" s="33"/>
      <c r="AV77" s="33"/>
      <c r="AW77" s="33"/>
      <c r="AX77" s="33"/>
      <c r="AY77" s="33"/>
      <c r="AZ77" s="33"/>
      <c r="BA77" s="33"/>
      <c r="BB77" s="33"/>
      <c r="BC77" s="33"/>
    </row>
    <row r="78" spans="1:55" ht="35.25" thickBot="1">
      <c r="A78" s="40">
        <f t="shared" si="8"/>
        <v>75</v>
      </c>
      <c r="B78" s="140" t="s">
        <v>742</v>
      </c>
      <c r="C78" s="139" t="s">
        <v>528</v>
      </c>
      <c r="D78" s="122" t="str">
        <f xml:space="preserve"> LEFT(韻母表[[#This Row],[十五音識別碼]],1)</f>
        <v>光</v>
      </c>
      <c r="E78" s="122" t="s">
        <v>701</v>
      </c>
      <c r="F78" s="141" t="s">
        <v>852</v>
      </c>
      <c r="G78" s="141" t="s">
        <v>852</v>
      </c>
      <c r="H78" s="41" t="s">
        <v>525</v>
      </c>
      <c r="I78" s="41" t="s">
        <v>525</v>
      </c>
      <c r="J78" s="41" t="s">
        <v>525</v>
      </c>
      <c r="K78" s="41" t="s">
        <v>525</v>
      </c>
      <c r="L78" s="42" t="s">
        <v>526</v>
      </c>
      <c r="M78" s="41"/>
      <c r="N78" s="43">
        <f t="shared" si="13"/>
        <v>4</v>
      </c>
      <c r="O78" s="45"/>
      <c r="P78" s="41" t="str">
        <f>J75</f>
        <v>uaih</v>
      </c>
      <c r="Q78" s="41" t="str">
        <f>K75</f>
        <v>uaih</v>
      </c>
      <c r="S78" s="34" t="str">
        <f t="shared" si="14"/>
        <v>uaih(\d)</v>
      </c>
      <c r="T78" s="35" t="s">
        <v>267</v>
      </c>
      <c r="U78" s="35">
        <f t="shared" si="12"/>
        <v>3</v>
      </c>
      <c r="V78" s="34" t="str">
        <f t="shared" si="15"/>
        <v>ua》i${1}h</v>
      </c>
      <c r="W78" s="44"/>
      <c r="X78" s="46" t="str">
        <f t="shared" si="16"/>
        <v xml:space="preserve">    - xform/》uaih(\d)/ua》i${1}h/</v>
      </c>
      <c r="Z78" s="37"/>
      <c r="AA78" s="37"/>
      <c r="AB78" s="37"/>
      <c r="AC78" s="37"/>
      <c r="AD78" s="37"/>
      <c r="AE78" s="37"/>
      <c r="AF78" s="37"/>
      <c r="AG78" s="37"/>
      <c r="AH78" s="37"/>
      <c r="AL78" s="38"/>
      <c r="AM78" s="38"/>
      <c r="AN78" s="38"/>
      <c r="AO78" s="38"/>
      <c r="AP78" s="38"/>
      <c r="AQ78" s="38"/>
      <c r="AR78" s="38"/>
      <c r="AS78" s="38"/>
      <c r="AT78" s="38"/>
      <c r="AU78" s="33"/>
      <c r="AV78" s="33"/>
      <c r="AW78" s="33"/>
      <c r="AX78" s="33"/>
      <c r="AY78" s="33"/>
      <c r="AZ78" s="33"/>
      <c r="BA78" s="33"/>
      <c r="BB78" s="33"/>
      <c r="BC78" s="33"/>
    </row>
    <row r="79" spans="1:55" ht="35.25" thickBot="1">
      <c r="A79" s="40">
        <f t="shared" si="8"/>
        <v>76</v>
      </c>
      <c r="B79" s="140" t="s">
        <v>529</v>
      </c>
      <c r="C79" s="139" t="s">
        <v>534</v>
      </c>
      <c r="D79" s="122" t="str">
        <f xml:space="preserve"> LEFT(韻母表[[#This Row],[十五音識別碼]],1)</f>
        <v>官</v>
      </c>
      <c r="E79" s="122" t="s">
        <v>702</v>
      </c>
      <c r="F79" s="141" t="s">
        <v>853</v>
      </c>
      <c r="G79" s="141" t="s">
        <v>854</v>
      </c>
      <c r="H79" s="41" t="s">
        <v>530</v>
      </c>
      <c r="I79" s="41" t="s">
        <v>531</v>
      </c>
      <c r="J79" s="41" t="s">
        <v>530</v>
      </c>
      <c r="K79" s="41" t="s">
        <v>530</v>
      </c>
      <c r="L79" s="42" t="s">
        <v>532</v>
      </c>
      <c r="M79" s="41"/>
      <c r="N79" s="43">
        <f t="shared" si="13"/>
        <v>4</v>
      </c>
      <c r="O79" s="45"/>
      <c r="P79" s="41" t="str">
        <f>J80</f>
        <v>uat</v>
      </c>
      <c r="Q79" s="41" t="str">
        <f>K80</f>
        <v>uat</v>
      </c>
      <c r="S79" s="34" t="str">
        <f t="shared" si="14"/>
        <v>uat(\d)</v>
      </c>
      <c r="T79" s="35" t="s">
        <v>267</v>
      </c>
      <c r="U79" s="35" t="str">
        <f t="shared" si="12"/>
        <v/>
      </c>
      <c r="V79" s="34" t="str">
        <f t="shared" si="15"/>
        <v/>
      </c>
      <c r="W79" s="44"/>
      <c r="X79" s="46" t="str">
        <f t="shared" si="16"/>
        <v xml:space="preserve">    - xform/》uat(\d)//</v>
      </c>
      <c r="Z79" s="37"/>
      <c r="AA79" s="37"/>
      <c r="AB79" s="37"/>
      <c r="AC79" s="37"/>
      <c r="AD79" s="37"/>
      <c r="AE79" s="37"/>
      <c r="AF79" s="37"/>
      <c r="AG79" s="37"/>
      <c r="AH79" s="37"/>
      <c r="AL79" s="38"/>
      <c r="AM79" s="38"/>
      <c r="AN79" s="38"/>
      <c r="AO79" s="38"/>
      <c r="AP79" s="38"/>
      <c r="AQ79" s="38"/>
      <c r="AR79" s="38"/>
      <c r="AS79" s="38"/>
      <c r="AT79" s="38"/>
      <c r="AU79" s="33"/>
      <c r="AV79" s="33"/>
      <c r="AW79" s="33"/>
      <c r="AX79" s="33"/>
      <c r="AY79" s="33"/>
      <c r="AZ79" s="33"/>
      <c r="BA79" s="33"/>
      <c r="BB79" s="33"/>
      <c r="BC79" s="33"/>
    </row>
    <row r="80" spans="1:55" ht="54.75" thickBot="1">
      <c r="A80" s="40">
        <f t="shared" si="8"/>
        <v>77</v>
      </c>
      <c r="B80" s="140" t="s">
        <v>535</v>
      </c>
      <c r="C80" s="139" t="s">
        <v>539</v>
      </c>
      <c r="D80" s="122" t="str">
        <f xml:space="preserve"> LEFT(韻母表[[#This Row],[十五音識別碼]],1)</f>
        <v>觀</v>
      </c>
      <c r="E80" s="122" t="s">
        <v>703</v>
      </c>
      <c r="F80" s="141" t="s">
        <v>855</v>
      </c>
      <c r="G80" s="141" t="s">
        <v>856</v>
      </c>
      <c r="H80" s="41" t="s">
        <v>536</v>
      </c>
      <c r="I80" s="41" t="s">
        <v>536</v>
      </c>
      <c r="J80" s="41" t="s">
        <v>536</v>
      </c>
      <c r="K80" s="41" t="s">
        <v>536</v>
      </c>
      <c r="L80" s="42" t="s">
        <v>537</v>
      </c>
      <c r="M80" s="41"/>
      <c r="N80" s="43">
        <f t="shared" si="13"/>
        <v>3</v>
      </c>
      <c r="O80" s="45"/>
      <c r="P80" s="41" t="str">
        <f>J76</f>
        <v>uainnh</v>
      </c>
      <c r="Q80" s="41" t="str">
        <f>K76</f>
        <v>uaihnn</v>
      </c>
      <c r="S80" s="34" t="str">
        <f t="shared" si="14"/>
        <v>uainnh(\d)</v>
      </c>
      <c r="T80" s="35" t="s">
        <v>193</v>
      </c>
      <c r="U80" s="35" t="str">
        <f t="shared" si="12"/>
        <v/>
      </c>
      <c r="V80" s="34" t="str">
        <f t="shared" si="15"/>
        <v/>
      </c>
      <c r="W80" s="44"/>
      <c r="X80" s="46" t="str">
        <f t="shared" si="16"/>
        <v xml:space="preserve">    - xform/》uainnh(\d)//</v>
      </c>
      <c r="Z80" s="37"/>
      <c r="AA80" s="37"/>
      <c r="AB80" s="37"/>
      <c r="AC80" s="37"/>
      <c r="AD80" s="37"/>
      <c r="AE80" s="37"/>
      <c r="AF80" s="37"/>
      <c r="AG80" s="37"/>
      <c r="AH80" s="37"/>
      <c r="AL80" s="38"/>
      <c r="AM80" s="38"/>
      <c r="AN80" s="38"/>
      <c r="AO80" s="38"/>
      <c r="AP80" s="38"/>
      <c r="AQ80" s="38"/>
      <c r="AR80" s="38"/>
      <c r="AS80" s="38"/>
      <c r="AT80" s="38"/>
      <c r="AU80" s="33"/>
      <c r="AV80" s="33"/>
      <c r="AW80" s="33"/>
      <c r="AX80" s="33"/>
      <c r="AY80" s="33"/>
      <c r="AZ80" s="33"/>
      <c r="BA80" s="33"/>
      <c r="BB80" s="33"/>
      <c r="BC80" s="33"/>
    </row>
    <row r="81" spans="1:55" ht="35.25" thickBot="1">
      <c r="A81" s="40">
        <f t="shared" si="8"/>
        <v>78</v>
      </c>
      <c r="B81" s="140" t="s">
        <v>540</v>
      </c>
      <c r="C81" s="139" t="s">
        <v>544</v>
      </c>
      <c r="D81" s="122" t="str">
        <f xml:space="preserve"> LEFT(韻母表[[#This Row],[十五音識別碼]],1)</f>
        <v>檜</v>
      </c>
      <c r="E81" s="122" t="s">
        <v>704</v>
      </c>
      <c r="F81" s="141" t="s">
        <v>857</v>
      </c>
      <c r="G81" s="141" t="s">
        <v>858</v>
      </c>
      <c r="H81" s="41" t="s">
        <v>541</v>
      </c>
      <c r="I81" s="41" t="s">
        <v>541</v>
      </c>
      <c r="J81" s="41" t="s">
        <v>541</v>
      </c>
      <c r="K81" s="41" t="s">
        <v>541</v>
      </c>
      <c r="L81" s="42" t="s">
        <v>542</v>
      </c>
      <c r="M81" s="41"/>
      <c r="N81" s="43">
        <f t="shared" si="13"/>
        <v>2</v>
      </c>
      <c r="O81" s="45"/>
      <c r="P81" s="41" t="str">
        <f>J85</f>
        <v>uih</v>
      </c>
      <c r="Q81" s="41" t="str">
        <f>K85</f>
        <v>uih</v>
      </c>
      <c r="S81" s="34" t="str">
        <f t="shared" si="14"/>
        <v>uih(\d)</v>
      </c>
      <c r="T81" s="35" t="s">
        <v>235</v>
      </c>
      <c r="U81" s="35" t="str">
        <f t="shared" si="12"/>
        <v/>
      </c>
      <c r="V81" s="34" t="str">
        <f t="shared" si="15"/>
        <v/>
      </c>
      <c r="W81" s="44"/>
      <c r="X81" s="46" t="str">
        <f t="shared" si="16"/>
        <v xml:space="preserve">    - xform/》uih(\d)//</v>
      </c>
      <c r="Z81" s="37"/>
      <c r="AA81" s="37"/>
      <c r="AB81" s="37"/>
      <c r="AC81" s="37"/>
      <c r="AD81" s="37"/>
      <c r="AE81" s="37"/>
      <c r="AF81" s="37"/>
      <c r="AG81" s="37"/>
      <c r="AH81" s="37"/>
      <c r="AL81" s="38"/>
      <c r="AM81" s="38"/>
      <c r="AN81" s="38"/>
      <c r="AO81" s="38"/>
      <c r="AP81" s="38"/>
      <c r="AQ81" s="38"/>
      <c r="AR81" s="38"/>
      <c r="AS81" s="38"/>
      <c r="AT81" s="38"/>
      <c r="AU81" s="33"/>
      <c r="AV81" s="33"/>
      <c r="AW81" s="33"/>
      <c r="AX81" s="33"/>
      <c r="AY81" s="33"/>
      <c r="AZ81" s="33"/>
      <c r="BA81" s="33"/>
      <c r="BB81" s="33"/>
      <c r="BC81" s="33"/>
    </row>
    <row r="82" spans="1:55" ht="35.25" thickBot="1">
      <c r="A82" s="40">
        <f t="shared" si="8"/>
        <v>79</v>
      </c>
      <c r="B82" s="140" t="s">
        <v>545</v>
      </c>
      <c r="C82" s="139" t="s">
        <v>549</v>
      </c>
      <c r="D82" s="122" t="str">
        <f xml:space="preserve"> LEFT(韻母表[[#This Row],[十五音識別碼]],1)</f>
        <v>檜</v>
      </c>
      <c r="E82" s="122" t="s">
        <v>705</v>
      </c>
      <c r="F82" s="141" t="s">
        <v>859</v>
      </c>
      <c r="G82" s="141" t="s">
        <v>860</v>
      </c>
      <c r="H82" s="41" t="s">
        <v>546</v>
      </c>
      <c r="I82" s="41" t="s">
        <v>546</v>
      </c>
      <c r="J82" s="41" t="s">
        <v>546</v>
      </c>
      <c r="K82" s="41" t="s">
        <v>546</v>
      </c>
      <c r="L82" s="42" t="s">
        <v>547</v>
      </c>
      <c r="M82" s="41"/>
      <c r="N82" s="43">
        <f t="shared" si="13"/>
        <v>3</v>
      </c>
      <c r="O82" s="45"/>
      <c r="P82" s="41" t="str">
        <f>J56</f>
        <v>m</v>
      </c>
      <c r="Q82" s="41" t="str">
        <f>K56</f>
        <v>m</v>
      </c>
      <c r="S82" s="34" t="str">
        <f t="shared" si="14"/>
        <v>m(\d)</v>
      </c>
      <c r="T82" s="35" t="s">
        <v>231</v>
      </c>
      <c r="U82" s="35" t="str">
        <f t="shared" si="12"/>
        <v/>
      </c>
      <c r="V82" s="34" t="str">
        <f t="shared" si="15"/>
        <v/>
      </c>
      <c r="W82" s="44"/>
      <c r="X82" s="46" t="str">
        <f t="shared" si="16"/>
        <v xml:space="preserve">    - xform/》m(\d)//</v>
      </c>
      <c r="Z82" s="37"/>
      <c r="AA82" s="37"/>
      <c r="AB82" s="37"/>
      <c r="AC82" s="37"/>
      <c r="AD82" s="37"/>
      <c r="AE82" s="37"/>
      <c r="AF82" s="37"/>
      <c r="AG82" s="37"/>
      <c r="AH82" s="37"/>
      <c r="AL82" s="38"/>
      <c r="AM82" s="38"/>
      <c r="AN82" s="38"/>
      <c r="AO82" s="38"/>
      <c r="AP82" s="38"/>
      <c r="AQ82" s="38"/>
      <c r="AR82" s="38"/>
      <c r="AS82" s="38"/>
      <c r="AT82" s="38"/>
      <c r="AU82" s="33"/>
      <c r="AV82" s="33"/>
      <c r="AW82" s="33"/>
      <c r="AX82" s="33"/>
      <c r="AY82" s="33"/>
      <c r="AZ82" s="33"/>
      <c r="BA82" s="33"/>
      <c r="BB82" s="33"/>
      <c r="BC82" s="33"/>
    </row>
    <row r="83" spans="1:55" ht="54.75" thickBot="1">
      <c r="A83" s="40">
        <f t="shared" si="8"/>
        <v>80</v>
      </c>
      <c r="B83" s="140" t="s">
        <v>550</v>
      </c>
      <c r="C83" s="139" t="s">
        <v>553</v>
      </c>
      <c r="D83" s="122" t="str">
        <f xml:space="preserve"> LEFT(韻母表[[#This Row],[十五音識別碼]],1)</f>
        <v>艍</v>
      </c>
      <c r="E83" s="122" t="s">
        <v>706</v>
      </c>
      <c r="F83" s="141" t="s">
        <v>861</v>
      </c>
      <c r="G83" s="141" t="s">
        <v>862</v>
      </c>
      <c r="H83" s="41" t="s">
        <v>551</v>
      </c>
      <c r="I83" s="41" t="s">
        <v>551</v>
      </c>
      <c r="J83" s="41" t="s">
        <v>551</v>
      </c>
      <c r="K83" s="41" t="s">
        <v>551</v>
      </c>
      <c r="L83" s="42" t="s">
        <v>551</v>
      </c>
      <c r="M83" s="41"/>
      <c r="N83" s="43">
        <f t="shared" si="13"/>
        <v>2</v>
      </c>
      <c r="O83" s="45"/>
      <c r="P83" s="41" t="str">
        <f>J79</f>
        <v>uann</v>
      </c>
      <c r="Q83" s="41" t="str">
        <f>K79</f>
        <v>uann</v>
      </c>
      <c r="S83" s="34" t="str">
        <f t="shared" si="14"/>
        <v>uann(\d)</v>
      </c>
      <c r="T83" s="35" t="s">
        <v>267</v>
      </c>
      <c r="U83" s="35" t="str">
        <f t="shared" si="12"/>
        <v/>
      </c>
      <c r="V83" s="34" t="str">
        <f t="shared" si="15"/>
        <v/>
      </c>
      <c r="W83" s="44"/>
      <c r="X83" s="46" t="str">
        <f t="shared" si="16"/>
        <v xml:space="preserve">    - xform/》uann(\d)//</v>
      </c>
      <c r="Z83" s="37"/>
      <c r="AA83" s="37"/>
      <c r="AB83" s="37"/>
      <c r="AC83" s="37"/>
      <c r="AD83" s="37"/>
      <c r="AE83" s="37"/>
      <c r="AF83" s="37"/>
      <c r="AG83" s="37"/>
      <c r="AH83" s="37"/>
      <c r="AL83" s="38"/>
      <c r="AM83" s="38"/>
      <c r="AN83" s="38"/>
      <c r="AO83" s="38"/>
      <c r="AP83" s="38"/>
      <c r="AQ83" s="38"/>
      <c r="AR83" s="38"/>
      <c r="AS83" s="38"/>
      <c r="AT83" s="38"/>
      <c r="AU83" s="33"/>
      <c r="AV83" s="33"/>
      <c r="AW83" s="33"/>
      <c r="AX83" s="33"/>
      <c r="AY83" s="33"/>
      <c r="AZ83" s="33"/>
      <c r="BA83" s="33"/>
      <c r="BB83" s="33"/>
      <c r="BC83" s="33"/>
    </row>
    <row r="84" spans="1:55" ht="35.25" thickBot="1">
      <c r="A84" s="40">
        <f t="shared" si="8"/>
        <v>81</v>
      </c>
      <c r="B84" s="140" t="s">
        <v>554</v>
      </c>
      <c r="C84" s="139" t="s">
        <v>557</v>
      </c>
      <c r="D84" s="122" t="str">
        <f xml:space="preserve"> LEFT(韻母表[[#This Row],[十五音識別碼]],1)</f>
        <v>規</v>
      </c>
      <c r="E84" s="122" t="s">
        <v>707</v>
      </c>
      <c r="F84" s="141" t="s">
        <v>863</v>
      </c>
      <c r="G84" s="141" t="s">
        <v>863</v>
      </c>
      <c r="H84" s="41" t="s">
        <v>555</v>
      </c>
      <c r="I84" s="41" t="s">
        <v>555</v>
      </c>
      <c r="J84" s="41" t="s">
        <v>555</v>
      </c>
      <c r="K84" s="41" t="s">
        <v>555</v>
      </c>
      <c r="L84" s="42" t="s">
        <v>555</v>
      </c>
      <c r="M84" s="41"/>
      <c r="N84" s="43">
        <f t="shared" si="13"/>
        <v>2</v>
      </c>
      <c r="O84" s="45"/>
      <c r="P84" s="41" t="str">
        <f>J57</f>
        <v>mh</v>
      </c>
      <c r="Q84" s="41" t="str">
        <f>K57</f>
        <v>mh</v>
      </c>
      <c r="S84" s="34" t="str">
        <f xml:space="preserve"> _xlfn.CONCAT(P84, "(\d)")</f>
        <v>mh(\d)</v>
      </c>
      <c r="T84" s="35" t="s">
        <v>231</v>
      </c>
      <c r="U84" s="35" t="str">
        <f t="shared" si="12"/>
        <v/>
      </c>
      <c r="V84" s="34" t="str">
        <f xml:space="preserve"> IFERROR( _xlfn.CONCAT(LEFT(P84,U84-1), "》", MID(P84,U84,1), "${1}", RIGHT(P84, LEN(P84)-U84)), "" )</f>
        <v/>
      </c>
      <c r="W84" s="44"/>
      <c r="X84" s="46" t="str">
        <f xml:space="preserve"> IF(AND(Q84&lt;&gt;"", P84&lt;&gt;""), "    - xform/》" &amp; S84 &amp;  "/"  &amp; V84 &amp;  "/", "")</f>
        <v xml:space="preserve">    - xform/》mh(\d)//</v>
      </c>
      <c r="Z84" s="37"/>
      <c r="AA84" s="37"/>
      <c r="AB84" s="37"/>
      <c r="AC84" s="37"/>
      <c r="AD84" s="37"/>
      <c r="AE84" s="37"/>
      <c r="AF84" s="37"/>
      <c r="AG84" s="37"/>
      <c r="AH84" s="37"/>
      <c r="AL84" s="38"/>
      <c r="AM84" s="38"/>
      <c r="AN84" s="38"/>
      <c r="AO84" s="38"/>
      <c r="AP84" s="38"/>
      <c r="AQ84" s="38"/>
      <c r="AR84" s="38"/>
      <c r="AS84" s="38"/>
      <c r="AT84" s="38"/>
      <c r="AU84" s="33"/>
      <c r="AV84" s="33"/>
      <c r="AW84" s="33"/>
      <c r="AX84" s="33"/>
      <c r="AY84" s="33"/>
      <c r="AZ84" s="33"/>
      <c r="BA84" s="33"/>
      <c r="BB84" s="33"/>
      <c r="BC84" s="33"/>
    </row>
    <row r="85" spans="1:55" ht="35.25" thickBot="1">
      <c r="A85" s="40">
        <f t="shared" si="8"/>
        <v>82</v>
      </c>
      <c r="B85" s="140" t="s">
        <v>558</v>
      </c>
      <c r="C85" s="139" t="s">
        <v>239</v>
      </c>
      <c r="D85" s="122" t="str">
        <f xml:space="preserve"> LEFT(韻母表[[#This Row],[十五音識別碼]],1)</f>
        <v>褌</v>
      </c>
      <c r="E85" s="122" t="s">
        <v>708</v>
      </c>
      <c r="F85" s="142" t="s">
        <v>864</v>
      </c>
      <c r="G85" s="142" t="s">
        <v>865</v>
      </c>
      <c r="H85" s="49" t="s">
        <v>560</v>
      </c>
      <c r="I85" s="49" t="s">
        <v>560</v>
      </c>
      <c r="J85" s="50" t="s">
        <v>559</v>
      </c>
      <c r="K85" s="49" t="s">
        <v>560</v>
      </c>
      <c r="L85" s="49" t="s">
        <v>559</v>
      </c>
      <c r="M85" s="51" t="s">
        <v>245</v>
      </c>
      <c r="N85" s="43">
        <f t="shared" si="13"/>
        <v>3</v>
      </c>
      <c r="O85" s="45"/>
      <c r="P85" s="41" t="str">
        <f>J59</f>
        <v>ngh</v>
      </c>
      <c r="Q85" s="41" t="str">
        <f>K59</f>
        <v>ngh</v>
      </c>
      <c r="S85" s="34" t="str">
        <f xml:space="preserve"> _xlfn.CONCAT(P85, "(\d)")</f>
        <v>ngh(\d)</v>
      </c>
      <c r="T85" s="35" t="s">
        <v>231</v>
      </c>
      <c r="U85" s="35" t="str">
        <f t="shared" si="12"/>
        <v/>
      </c>
      <c r="V85" s="34" t="str">
        <f xml:space="preserve"> IFERROR( _xlfn.CONCAT(LEFT(P85,U85-1), "》", MID(P85,U85,1), "${1}", RIGHT(P85, LEN(P85)-U85)), "" )</f>
        <v/>
      </c>
      <c r="W85" s="44"/>
      <c r="X85" s="46" t="str">
        <f xml:space="preserve"> IF(AND(Q85&lt;&gt;"", P85&lt;&gt;""), "    - xform/》" &amp; S85 &amp;  "/"  &amp; V85 &amp;  "/", "")</f>
        <v xml:space="preserve">    - xform/》ngh(\d)//</v>
      </c>
      <c r="Z85" s="37"/>
      <c r="AA85" s="37"/>
      <c r="AB85" s="37"/>
      <c r="AC85" s="37"/>
      <c r="AD85" s="37"/>
      <c r="AE85" s="37"/>
      <c r="AF85" s="37"/>
      <c r="AG85" s="37"/>
      <c r="AH85" s="37"/>
      <c r="AL85" s="38"/>
      <c r="AM85" s="38"/>
      <c r="AN85" s="38"/>
      <c r="AO85" s="38"/>
      <c r="AP85" s="38"/>
      <c r="AQ85" s="38"/>
      <c r="AR85" s="38"/>
      <c r="AS85" s="38"/>
      <c r="AT85" s="38"/>
      <c r="AU85" s="33"/>
      <c r="AV85" s="33"/>
      <c r="AW85" s="33"/>
      <c r="AX85" s="33"/>
      <c r="AY85" s="33"/>
      <c r="AZ85" s="33"/>
      <c r="BA85" s="33"/>
      <c r="BB85" s="33"/>
      <c r="BC85" s="33"/>
    </row>
    <row r="86" spans="1:55" ht="35.25" thickBot="1">
      <c r="A86" s="40">
        <f t="shared" si="8"/>
        <v>83</v>
      </c>
      <c r="B86" s="140" t="s">
        <v>561</v>
      </c>
      <c r="C86" s="139" t="s">
        <v>565</v>
      </c>
      <c r="D86" s="122" t="str">
        <f xml:space="preserve"> LEFT(韻母表[[#This Row],[十五音識別碼]],1)</f>
        <v>褌</v>
      </c>
      <c r="E86" s="122" t="s">
        <v>709</v>
      </c>
      <c r="F86" s="141" t="s">
        <v>866</v>
      </c>
      <c r="G86" s="141" t="s">
        <v>867</v>
      </c>
      <c r="H86" s="41" t="s">
        <v>562</v>
      </c>
      <c r="I86" s="41" t="s">
        <v>563</v>
      </c>
      <c r="J86" s="41" t="s">
        <v>562</v>
      </c>
      <c r="K86" s="41" t="s">
        <v>562</v>
      </c>
      <c r="L86" s="42" t="s">
        <v>564</v>
      </c>
      <c r="M86" s="41"/>
      <c r="N86" s="43">
        <f t="shared" si="13"/>
        <v>4</v>
      </c>
      <c r="O86" s="45"/>
      <c r="P86" s="41" t="str">
        <f>J58</f>
        <v>ng</v>
      </c>
      <c r="Q86" s="41" t="str">
        <f>K58</f>
        <v>ng</v>
      </c>
      <c r="S86" s="34" t="str">
        <f xml:space="preserve"> _xlfn.CONCAT(P86, "(\d)")</f>
        <v>ng(\d)</v>
      </c>
      <c r="T86" s="35" t="s">
        <v>231</v>
      </c>
      <c r="U86" s="35" t="str">
        <f t="shared" si="12"/>
        <v/>
      </c>
      <c r="V86" s="34" t="str">
        <f xml:space="preserve"> IFERROR( _xlfn.CONCAT(LEFT(P86,U86-1), "》", MID(P86,U86,1), "${1}", RIGHT(P86, LEN(P86)-U86)), "" )</f>
        <v/>
      </c>
      <c r="W86" s="44"/>
      <c r="X86" s="46" t="str">
        <f xml:space="preserve"> IF(AND(Q86&lt;&gt;"", P86&lt;&gt;""), "    - xform/》" &amp; S86 &amp;  "/"  &amp; V86 &amp;  "/", "")</f>
        <v xml:space="preserve">    - xform/》ng(\d)//</v>
      </c>
      <c r="Z86" s="37"/>
      <c r="AA86" s="37"/>
      <c r="AB86" s="37"/>
      <c r="AC86" s="37"/>
      <c r="AD86" s="37"/>
      <c r="AE86" s="37"/>
      <c r="AF86" s="37"/>
      <c r="AG86" s="37"/>
      <c r="AH86" s="37"/>
      <c r="AL86" s="38"/>
      <c r="AM86" s="38"/>
      <c r="AN86" s="38"/>
      <c r="AO86" s="38"/>
      <c r="AP86" s="38"/>
      <c r="AQ86" s="38"/>
      <c r="AR86" s="38"/>
      <c r="AS86" s="38"/>
      <c r="AT86" s="38"/>
      <c r="AU86" s="33"/>
      <c r="AV86" s="33"/>
      <c r="AW86" s="33"/>
      <c r="AX86" s="33"/>
      <c r="AY86" s="33"/>
      <c r="AZ86" s="33"/>
      <c r="BA86" s="33"/>
      <c r="BB86" s="33"/>
      <c r="BC86" s="33"/>
    </row>
    <row r="87" spans="1:55" ht="35.25" thickBot="1">
      <c r="A87" s="40">
        <f t="shared" si="8"/>
        <v>84</v>
      </c>
      <c r="B87" s="140" t="s">
        <v>566</v>
      </c>
      <c r="C87" s="139" t="s">
        <v>569</v>
      </c>
      <c r="D87" s="122" t="str">
        <f xml:space="preserve"> LEFT(韻母表[[#This Row],[十五音識別碼]],1)</f>
        <v>君</v>
      </c>
      <c r="E87" s="122" t="s">
        <v>710</v>
      </c>
      <c r="F87" s="141" t="s">
        <v>868</v>
      </c>
      <c r="G87" s="141" t="s">
        <v>868</v>
      </c>
      <c r="H87" s="41" t="s">
        <v>567</v>
      </c>
      <c r="I87" s="41" t="s">
        <v>567</v>
      </c>
      <c r="J87" s="41" t="s">
        <v>567</v>
      </c>
      <c r="K87" s="41" t="s">
        <v>567</v>
      </c>
      <c r="L87" s="42" t="s">
        <v>567</v>
      </c>
      <c r="M87" s="41"/>
      <c r="N87" s="43">
        <f t="shared" si="13"/>
        <v>2</v>
      </c>
      <c r="O87" s="45"/>
      <c r="P87" s="41" t="str">
        <f>J72</f>
        <v>uah</v>
      </c>
      <c r="Q87" s="41" t="str">
        <f>K72</f>
        <v>uah</v>
      </c>
      <c r="S87" s="34" t="str">
        <f t="shared" ref="S87:S88" si="17" xml:space="preserve"> _xlfn.CONCAT(P87, "(\d)")</f>
        <v>uah(\d)</v>
      </c>
      <c r="T87" s="35" t="s">
        <v>267</v>
      </c>
      <c r="U87" s="35" t="str">
        <f t="shared" ref="U87:U88" si="18" xml:space="preserve"> IFERROR( IF(T87="", "", SEARCH(T87, $P87)), "")</f>
        <v/>
      </c>
      <c r="V87" s="34" t="str">
        <f t="shared" si="15"/>
        <v/>
      </c>
      <c r="W87" s="44"/>
      <c r="X87" s="46" t="str">
        <f t="shared" ref="X87:X88" si="19" xml:space="preserve"> IF(AND(Q87&lt;&gt;"", P87&lt;&gt;""), "    - xform/》" &amp; S87 &amp;  "/"  &amp; V87 &amp;  "/", "")</f>
        <v xml:space="preserve">    - xform/》uah(\d)//</v>
      </c>
      <c r="Z87" s="37"/>
      <c r="AA87" s="37"/>
      <c r="AB87" s="37"/>
      <c r="AC87" s="37"/>
      <c r="AD87" s="37"/>
      <c r="AE87" s="37"/>
      <c r="AF87" s="37"/>
      <c r="AG87" s="37"/>
      <c r="AH87" s="37"/>
      <c r="AL87" s="38"/>
      <c r="AM87" s="38"/>
      <c r="AN87" s="38"/>
      <c r="AO87" s="38"/>
      <c r="AP87" s="38"/>
      <c r="AQ87" s="38"/>
      <c r="AR87" s="38"/>
      <c r="AS87" s="38"/>
      <c r="AT87" s="38"/>
      <c r="AU87" s="33"/>
      <c r="AV87" s="33"/>
      <c r="AW87" s="33"/>
      <c r="AX87" s="33"/>
      <c r="AY87" s="33"/>
      <c r="AZ87" s="33"/>
      <c r="BA87" s="33"/>
      <c r="BB87" s="33"/>
      <c r="BC87" s="33"/>
    </row>
    <row r="88" spans="1:55" ht="35.25" thickBot="1">
      <c r="A88" s="40">
        <f t="shared" si="8"/>
        <v>85</v>
      </c>
      <c r="B88" s="140" t="s">
        <v>570</v>
      </c>
      <c r="C88" s="139" t="s">
        <v>573</v>
      </c>
      <c r="D88" s="122" t="str">
        <f xml:space="preserve"> LEFT(韻母表[[#This Row],[十五音識別碼]],1)</f>
        <v>君</v>
      </c>
      <c r="E88" s="122" t="s">
        <v>711</v>
      </c>
      <c r="F88" s="141" t="s">
        <v>869</v>
      </c>
      <c r="G88" s="141" t="s">
        <v>870</v>
      </c>
      <c r="H88" s="41" t="s">
        <v>571</v>
      </c>
      <c r="I88" s="41" t="s">
        <v>571</v>
      </c>
      <c r="J88" s="41" t="s">
        <v>571</v>
      </c>
      <c r="K88" s="41" t="s">
        <v>571</v>
      </c>
      <c r="L88" s="42" t="s">
        <v>571</v>
      </c>
      <c r="M88" s="41"/>
      <c r="N88" s="43">
        <f t="shared" si="13"/>
        <v>2</v>
      </c>
      <c r="O88" s="45"/>
      <c r="P88" s="41" t="str">
        <f>J77</f>
        <v>uan</v>
      </c>
      <c r="Q88" s="41" t="str">
        <f>K77</f>
        <v>uan</v>
      </c>
      <c r="S88" s="34" t="str">
        <f t="shared" si="17"/>
        <v>uan(\d)</v>
      </c>
      <c r="T88" s="35" t="s">
        <v>267</v>
      </c>
      <c r="U88" s="35" t="str">
        <f t="shared" si="18"/>
        <v/>
      </c>
      <c r="V88" s="34" t="str">
        <f t="shared" si="15"/>
        <v/>
      </c>
      <c r="W88" s="44"/>
      <c r="X88" s="46" t="str">
        <f t="shared" si="19"/>
        <v xml:space="preserve">    - xform/》uan(\d)//</v>
      </c>
      <c r="Z88" s="37"/>
      <c r="AA88" s="37"/>
      <c r="AB88" s="37"/>
      <c r="AC88" s="37"/>
      <c r="AD88" s="37"/>
      <c r="AE88" s="37"/>
      <c r="AF88" s="37"/>
      <c r="AG88" s="37"/>
      <c r="AH88" s="37"/>
      <c r="AL88" s="38"/>
      <c r="AM88" s="38"/>
      <c r="AN88" s="38"/>
      <c r="AO88" s="38"/>
      <c r="AP88" s="38"/>
      <c r="AQ88" s="38"/>
      <c r="AR88" s="38"/>
      <c r="AS88" s="38"/>
      <c r="AT88" s="38"/>
      <c r="AU88" s="33"/>
      <c r="AV88" s="33"/>
      <c r="AW88" s="33"/>
      <c r="AX88" s="33"/>
      <c r="AY88" s="33"/>
      <c r="AZ88" s="33"/>
      <c r="BA88" s="33"/>
      <c r="BB88" s="33"/>
      <c r="BC88" s="33"/>
    </row>
    <row r="89" spans="1:55">
      <c r="L89" s="33"/>
    </row>
    <row r="90" spans="1:55" ht="52.5" customHeight="1">
      <c r="L90" s="33"/>
    </row>
    <row r="91" spans="1:55">
      <c r="L91" s="33"/>
    </row>
    <row r="92" spans="1:55">
      <c r="L92" s="33"/>
    </row>
    <row r="93" spans="1:55">
      <c r="L93" s="33"/>
    </row>
    <row r="94" spans="1:55">
      <c r="L94" s="33"/>
    </row>
    <row r="95" spans="1:55">
      <c r="L95" s="33"/>
    </row>
    <row r="96" spans="1:55">
      <c r="L96" s="33"/>
    </row>
    <row r="97" spans="1:12">
      <c r="L97" s="33"/>
    </row>
    <row r="98" spans="1:12">
      <c r="L98" s="33"/>
    </row>
    <row r="99" spans="1:12">
      <c r="L99" s="33"/>
    </row>
    <row r="100" spans="1:12">
      <c r="A100" s="59" t="str">
        <f xml:space="preserve"> "(""" &amp; _xlfn.TEXTJOIN(""",""",TRUE,I3:I88) &amp; """)"</f>
        <v>("a","ah","ai","aih","nai","ak","am","an","ang","na","nah","ap","at","ao","aoh","e","eh","ne","ennh","i","ia","iah","iak","iam","ian","iang","nia","iannh","iap","iat","iao","iaoh","niao","ih","ik","im","in","ing","ni","io","ioh","iok","iong","ip","it","nioo","iu","niu","niuh","m","mh","ng","ngh","o","oh","ok","om","ong","noo","niuh","oo","ooh","op","u","ua","uah","uai","nuai","uaih","uainnh","uan","uang","nua","uat","ue","ueh","uh","ui","uih","nui","un","ut")</v>
      </c>
      <c r="L100" s="33"/>
    </row>
    <row r="101" spans="1:12">
      <c r="L101" s="33"/>
    </row>
  </sheetData>
  <phoneticPr fontId="24" type="noConversion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A83C-3F07-4A5A-891D-5934E7BA160A}">
  <dimension ref="B1:BC39"/>
  <sheetViews>
    <sheetView workbookViewId="0"/>
  </sheetViews>
  <sheetFormatPr defaultRowHeight="25.5"/>
  <cols>
    <col min="1" max="1" width="2.375" style="11" customWidth="1"/>
    <col min="2" max="3" width="11" style="11" customWidth="1"/>
    <col min="4" max="4" width="12.25" style="11" bestFit="1" customWidth="1"/>
    <col min="5" max="5" width="17.75" style="11" bestFit="1" customWidth="1"/>
    <col min="6" max="6" width="12.25" style="11" bestFit="1" customWidth="1"/>
    <col min="7" max="7" width="8.375" style="11" customWidth="1"/>
    <col min="8" max="8" width="13.75" style="67" customWidth="1"/>
    <col min="9" max="9" width="12.25" style="67" bestFit="1" customWidth="1"/>
    <col min="10" max="11" width="12.25" style="67" customWidth="1"/>
    <col min="12" max="12" width="13.75" style="67" customWidth="1"/>
    <col min="13" max="13" width="19.25" style="67" customWidth="1"/>
    <col min="14" max="14" width="13.75" style="67" customWidth="1"/>
    <col min="15" max="15" width="19.25" style="67" customWidth="1"/>
    <col min="16" max="17" width="13.75" style="67" customWidth="1"/>
    <col min="18" max="18" width="12.25" style="67" customWidth="1"/>
    <col min="33" max="16384" width="9" style="11"/>
  </cols>
  <sheetData>
    <row r="1" spans="2:55" s="33" customFormat="1" ht="30" customHeight="1">
      <c r="B1" s="60" t="s">
        <v>581</v>
      </c>
      <c r="D1" s="59"/>
      <c r="E1" s="59"/>
      <c r="I1" s="59"/>
      <c r="J1" s="59"/>
      <c r="K1" s="59"/>
      <c r="L1" s="59"/>
      <c r="M1" s="59"/>
      <c r="N1" s="59"/>
      <c r="O1" s="59"/>
      <c r="P1" s="59"/>
      <c r="Q1" s="59"/>
      <c r="R1" s="59"/>
      <c r="AG1" s="62"/>
      <c r="AI1" s="37"/>
      <c r="AJ1" s="37">
        <v>1</v>
      </c>
      <c r="AK1" s="37">
        <v>2</v>
      </c>
      <c r="AL1" s="37">
        <v>3</v>
      </c>
      <c r="AM1" s="37">
        <v>4</v>
      </c>
      <c r="AN1" s="37">
        <v>5</v>
      </c>
      <c r="AO1" s="37">
        <v>6</v>
      </c>
      <c r="AP1" s="37">
        <v>7</v>
      </c>
      <c r="AQ1" s="37">
        <v>8</v>
      </c>
      <c r="AR1" s="37">
        <v>9</v>
      </c>
      <c r="AS1" s="37">
        <v>9</v>
      </c>
      <c r="AT1" s="37"/>
      <c r="AU1" s="38"/>
      <c r="AV1" s="38"/>
      <c r="AW1" s="38"/>
      <c r="AX1" s="38"/>
      <c r="AY1" s="38"/>
      <c r="AZ1" s="38"/>
      <c r="BA1" s="38"/>
      <c r="BB1" s="38"/>
      <c r="BC1" s="38"/>
    </row>
    <row r="3" spans="2:55">
      <c r="B3" s="63" t="s">
        <v>582</v>
      </c>
      <c r="C3" s="63" t="s">
        <v>583</v>
      </c>
      <c r="D3" s="63" t="s">
        <v>584</v>
      </c>
      <c r="E3" s="63" t="s">
        <v>585</v>
      </c>
      <c r="F3" s="63" t="s">
        <v>198</v>
      </c>
      <c r="H3" s="64" t="s">
        <v>586</v>
      </c>
      <c r="I3" s="65" t="s">
        <v>583</v>
      </c>
      <c r="J3" s="65" t="s">
        <v>587</v>
      </c>
      <c r="K3" s="65" t="s">
        <v>588</v>
      </c>
      <c r="L3" s="65" t="s">
        <v>584</v>
      </c>
      <c r="M3" s="65" t="s">
        <v>585</v>
      </c>
      <c r="N3" s="65" t="s">
        <v>198</v>
      </c>
      <c r="O3" s="65" t="s">
        <v>589</v>
      </c>
      <c r="P3" s="65" t="s">
        <v>202</v>
      </c>
      <c r="Q3" s="66" t="s">
        <v>590</v>
      </c>
    </row>
    <row r="4" spans="2:55" ht="34.5">
      <c r="B4" s="69">
        <v>1</v>
      </c>
      <c r="C4" s="69" t="s">
        <v>591</v>
      </c>
      <c r="D4" s="70" t="s">
        <v>592</v>
      </c>
      <c r="E4" s="15"/>
      <c r="F4" s="71" t="str">
        <f xml:space="preserve"> IFERROR( _xlfn.CONCAT("a"), "")</f>
        <v>a</v>
      </c>
      <c r="H4" s="72">
        <v>1</v>
      </c>
      <c r="I4" s="69" t="s">
        <v>591</v>
      </c>
      <c r="J4" s="69">
        <v>44</v>
      </c>
      <c r="K4" s="69" t="s">
        <v>593</v>
      </c>
      <c r="L4" s="70" t="s">
        <v>592</v>
      </c>
      <c r="M4" s="15"/>
      <c r="N4" s="73" t="str">
        <f xml:space="preserve"> IFERROR( _xlfn.CONCAT("a", IF($M4="", "", _xlfn.UNICHAR(HEX2DEC(RIGHT($M4,4))))), "")</f>
        <v>a</v>
      </c>
      <c r="O4" s="74" t="s">
        <v>219</v>
      </c>
      <c r="P4" s="75" t="str">
        <f xml:space="preserve"> IFERROR( _xlfn.CONCAT("a", _xlfn.UNICHAR(HEX2DEC(RIGHT(O4,4)))), "")</f>
        <v>ā</v>
      </c>
      <c r="Q4" s="76">
        <v>1</v>
      </c>
    </row>
    <row r="5" spans="2:55" ht="34.5">
      <c r="B5" s="69">
        <v>2</v>
      </c>
      <c r="C5" s="69" t="s">
        <v>594</v>
      </c>
      <c r="D5" s="78" t="s">
        <v>595</v>
      </c>
      <c r="E5" s="15" t="s">
        <v>215</v>
      </c>
      <c r="F5" s="71" t="str">
        <f xml:space="preserve"> IFERROR( _xlfn.CONCAT("a", _xlfn.UNICHAR(HEX2DEC(RIGHT($E5,4)))), "")</f>
        <v>á</v>
      </c>
      <c r="H5" s="72">
        <v>7</v>
      </c>
      <c r="I5" s="69" t="s">
        <v>596</v>
      </c>
      <c r="J5" s="69">
        <v>22</v>
      </c>
      <c r="K5" s="69" t="s">
        <v>597</v>
      </c>
      <c r="L5" s="70" t="s">
        <v>598</v>
      </c>
      <c r="M5" s="15" t="s">
        <v>219</v>
      </c>
      <c r="N5" s="73" t="str">
        <f xml:space="preserve"> IFERROR( _xlfn.CONCAT("a", IF($M5="", "", _xlfn.UNICHAR(HEX2DEC(RIGHT($M5,4))))), "")</f>
        <v>ā</v>
      </c>
      <c r="O5" s="74" t="s">
        <v>599</v>
      </c>
      <c r="P5" s="75" t="str">
        <f xml:space="preserve"> IFERROR( _xlfn.CONCAT("a", _xlfn.UNICHAR(HEX2DEC(RIGHT(O5,4)))), "")</f>
        <v>â</v>
      </c>
      <c r="Q5" s="76">
        <v>6</v>
      </c>
    </row>
    <row r="6" spans="2:55" ht="34.5">
      <c r="B6" s="69">
        <v>3</v>
      </c>
      <c r="C6" s="69" t="s">
        <v>600</v>
      </c>
      <c r="D6" s="78" t="s">
        <v>601</v>
      </c>
      <c r="E6" s="15" t="s">
        <v>602</v>
      </c>
      <c r="F6" s="71" t="str">
        <f t="shared" ref="F6:F13" si="0" xml:space="preserve"> IFERROR( _xlfn.CONCAT("a", _xlfn.UNICHAR(HEX2DEC(RIGHT($E6,4)))), "")</f>
        <v>à</v>
      </c>
      <c r="H6" s="72">
        <v>3</v>
      </c>
      <c r="I6" s="69" t="s">
        <v>600</v>
      </c>
      <c r="J6" s="69">
        <v>21</v>
      </c>
      <c r="K6" s="69" t="s">
        <v>603</v>
      </c>
      <c r="L6" s="78" t="s">
        <v>601</v>
      </c>
      <c r="M6" s="15" t="s">
        <v>215</v>
      </c>
      <c r="N6" s="73" t="str">
        <f xml:space="preserve"> IFERROR( _xlfn.CONCAT("a", IF($M7="", "", _xlfn.UNICHAR(HEX2DEC(RIGHT($M7,4))))), "")</f>
        <v>à</v>
      </c>
      <c r="O6" s="74" t="s">
        <v>602</v>
      </c>
      <c r="P6" s="75" t="str">
        <f xml:space="preserve"> IFERROR( _xlfn.CONCAT("a", _xlfn.UNICHAR(HEX2DEC(RIGHT(O6,4)))), "")</f>
        <v>à</v>
      </c>
      <c r="Q6" s="76">
        <v>5</v>
      </c>
    </row>
    <row r="7" spans="2:55" ht="34.5">
      <c r="B7" s="69">
        <v>4</v>
      </c>
      <c r="C7" s="69" t="s">
        <v>604</v>
      </c>
      <c r="D7" s="78" t="s">
        <v>605</v>
      </c>
      <c r="E7" s="15"/>
      <c r="F7" s="71" t="str">
        <f t="shared" si="0"/>
        <v/>
      </c>
      <c r="H7" s="72">
        <v>2</v>
      </c>
      <c r="I7" s="69" t="s">
        <v>594</v>
      </c>
      <c r="J7" s="69">
        <v>53</v>
      </c>
      <c r="K7" s="69" t="s">
        <v>606</v>
      </c>
      <c r="L7" s="78" t="s">
        <v>595</v>
      </c>
      <c r="M7" s="15" t="s">
        <v>602</v>
      </c>
      <c r="N7" s="73" t="str">
        <f xml:space="preserve"> IFERROR( _xlfn.CONCAT("a", IF($M6="", "", _xlfn.UNICHAR(HEX2DEC(RIGHT($M6,4))))), "")</f>
        <v>á</v>
      </c>
      <c r="O7" s="74" t="s">
        <v>217</v>
      </c>
      <c r="P7" s="75" t="str">
        <f xml:space="preserve"> IFERROR( _xlfn.CONCAT("a", _xlfn.UNICHAR(HEX2DEC(RIGHT(O7,4)))), "")</f>
        <v>ǎ</v>
      </c>
      <c r="Q7" s="76">
        <v>3</v>
      </c>
    </row>
    <row r="8" spans="2:55" ht="34.5">
      <c r="B8" s="69">
        <v>5</v>
      </c>
      <c r="C8" s="69" t="s">
        <v>607</v>
      </c>
      <c r="D8" s="78" t="s">
        <v>608</v>
      </c>
      <c r="E8" s="15" t="s">
        <v>217</v>
      </c>
      <c r="F8" s="71" t="str">
        <f t="shared" si="0"/>
        <v>ǎ</v>
      </c>
      <c r="H8" s="72">
        <v>5</v>
      </c>
      <c r="I8" s="69" t="s">
        <v>607</v>
      </c>
      <c r="J8" s="69">
        <v>24</v>
      </c>
      <c r="K8" s="69" t="s">
        <v>609</v>
      </c>
      <c r="L8" s="78" t="s">
        <v>608</v>
      </c>
      <c r="M8" s="15" t="s">
        <v>218</v>
      </c>
      <c r="N8" s="73" t="str">
        <f xml:space="preserve"> IFERROR( _xlfn.CONCAT("a", IF($M8="", "", _xlfn.UNICHAR(HEX2DEC(RIGHT($M8,4))))), "")</f>
        <v>á</v>
      </c>
      <c r="O8" s="74" t="s">
        <v>218</v>
      </c>
      <c r="P8" s="75" t="str">
        <f xml:space="preserve"> IFERROR( _xlfn.CONCAT("a", _xlfn.UNICHAR(HEX2DEC(RIGHT(O8,4)))), "")</f>
        <v>á</v>
      </c>
      <c r="Q8" s="76">
        <v>2</v>
      </c>
    </row>
    <row r="9" spans="2:55" ht="34.5">
      <c r="B9" s="79">
        <v>6</v>
      </c>
      <c r="C9" s="69" t="s">
        <v>594</v>
      </c>
      <c r="D9" s="78"/>
      <c r="E9" s="80" t="s">
        <v>218</v>
      </c>
      <c r="F9" s="71" t="str">
        <f t="shared" si="0"/>
        <v>á</v>
      </c>
      <c r="H9" s="72">
        <v>7</v>
      </c>
      <c r="I9" s="69" t="s">
        <v>604</v>
      </c>
      <c r="J9" s="81">
        <v>320</v>
      </c>
      <c r="K9" s="69" t="s">
        <v>610</v>
      </c>
      <c r="L9" s="78" t="s">
        <v>605</v>
      </c>
      <c r="M9" s="15" t="s">
        <v>217</v>
      </c>
      <c r="N9" s="73" t="str">
        <f xml:space="preserve"> IFERROR( _xlfn.CONCAT("a", IF($M9="", "", _xlfn.UNICHAR(HEX2DEC(RIGHT($M9,4))))), "")</f>
        <v>ǎ</v>
      </c>
      <c r="O9" s="74" t="s">
        <v>611</v>
      </c>
      <c r="P9" s="75" t="str">
        <f xml:space="preserve"> IFERROR( _xlfn.CONCAT("a", _xlfn.UNICHAR(HEX2DEC(RIGHT(O9,4))), "h"), "")</f>
        <v>āh</v>
      </c>
      <c r="Q9" s="76">
        <v>7</v>
      </c>
    </row>
    <row r="10" spans="2:55" ht="34.5">
      <c r="B10" s="69">
        <v>7</v>
      </c>
      <c r="C10" s="69" t="s">
        <v>596</v>
      </c>
      <c r="D10" s="70" t="s">
        <v>598</v>
      </c>
      <c r="E10" s="15" t="s">
        <v>219</v>
      </c>
      <c r="F10" s="71" t="str">
        <f t="shared" si="0"/>
        <v>ā</v>
      </c>
      <c r="H10" s="72">
        <v>8</v>
      </c>
      <c r="I10" s="69" t="s">
        <v>612</v>
      </c>
      <c r="J10" s="81">
        <v>40</v>
      </c>
      <c r="K10" s="69" t="s">
        <v>613</v>
      </c>
      <c r="L10" s="78" t="s">
        <v>614</v>
      </c>
      <c r="M10" s="15" t="s">
        <v>615</v>
      </c>
      <c r="N10" s="73" t="str">
        <f xml:space="preserve"> IFERROR( _xlfn.CONCAT("a", IF($M10="", "", _xlfn.UNICHAR(HEX2DEC(RIGHT($M10,4))))), "")</f>
        <v>a̍</v>
      </c>
      <c r="O10" s="74" t="s">
        <v>218</v>
      </c>
      <c r="P10" s="75" t="str">
        <f xml:space="preserve"> IFERROR( _xlfn.CONCAT("a", _xlfn.UNICHAR(HEX2DEC(RIGHT(O10,4))), "h"), "")</f>
        <v>áh</v>
      </c>
      <c r="Q10" s="76">
        <v>8</v>
      </c>
    </row>
    <row r="11" spans="2:55" ht="34.5">
      <c r="B11" s="69">
        <v>8</v>
      </c>
      <c r="C11" s="69" t="s">
        <v>612</v>
      </c>
      <c r="D11" s="78" t="s">
        <v>614</v>
      </c>
      <c r="E11" s="15" t="s">
        <v>615</v>
      </c>
      <c r="F11" s="71" t="str">
        <f t="shared" si="0"/>
        <v>a̍</v>
      </c>
      <c r="H11" s="82">
        <v>6</v>
      </c>
      <c r="I11" s="83" t="s">
        <v>616</v>
      </c>
      <c r="J11" s="83"/>
      <c r="K11" s="83"/>
      <c r="L11" s="84"/>
      <c r="M11" s="85" t="s">
        <v>218</v>
      </c>
      <c r="N11" s="86" t="str">
        <f xml:space="preserve"> IFERROR( _xlfn.CONCAT("a", IF($M11="", "", _xlfn.UNICHAR(HEX2DEC(RIGHT($M11,4))))), "")</f>
        <v>á</v>
      </c>
      <c r="O11" s="87" t="s">
        <v>217</v>
      </c>
      <c r="P11" s="88" t="str">
        <f xml:space="preserve"> IFERROR( _xlfn.CONCAT("a", _xlfn.UNICHAR(HEX2DEC(RIGHT(O11,4)))), "")</f>
        <v>ǎ</v>
      </c>
      <c r="Q11" s="89" t="str">
        <f xml:space="preserve"> IFERROR( _xlfn.CONCAT("a", _xlfn.UNICHAR(HEX2DEC(RIGHT(P11,4)))), "")</f>
        <v/>
      </c>
    </row>
    <row r="12" spans="2:55" ht="30">
      <c r="B12" s="69">
        <v>9</v>
      </c>
      <c r="C12" s="69" t="s">
        <v>617</v>
      </c>
      <c r="D12" s="78"/>
      <c r="E12" s="15" t="s">
        <v>221</v>
      </c>
      <c r="F12" s="71" t="str">
        <f t="shared" si="0"/>
        <v>a̋</v>
      </c>
    </row>
    <row r="13" spans="2:55" ht="30">
      <c r="B13" s="69">
        <v>0</v>
      </c>
      <c r="C13" s="69" t="s">
        <v>617</v>
      </c>
      <c r="D13" s="78"/>
      <c r="E13" s="15" t="s">
        <v>222</v>
      </c>
      <c r="F13" s="71" t="str">
        <f t="shared" si="0"/>
        <v>å</v>
      </c>
      <c r="H13" s="64" t="s">
        <v>582</v>
      </c>
      <c r="I13" s="66" t="s">
        <v>618</v>
      </c>
    </row>
    <row r="14" spans="2:55">
      <c r="H14" s="72">
        <v>1</v>
      </c>
      <c r="I14" s="90" t="str">
        <f>IFERROR(_xlfn.UNICHAR(CHOOSE($H14+1,8304,185,178,179,8308,8309,8310,8311,8312,8313)),"")</f>
        <v>¹</v>
      </c>
    </row>
    <row r="15" spans="2:55">
      <c r="H15" s="72">
        <v>2</v>
      </c>
      <c r="I15" s="90" t="str">
        <f t="shared" ref="I15:I23" si="1">IFERROR(_xlfn.UNICHAR(CHOOSE($H15+1,8304,185,178,179,8308,8309,8310,8311,8312,8313)),"")</f>
        <v>²</v>
      </c>
    </row>
    <row r="16" spans="2:55">
      <c r="B16" s="63" t="s">
        <v>582</v>
      </c>
      <c r="C16" s="63" t="s">
        <v>583</v>
      </c>
      <c r="D16" s="63" t="s">
        <v>584</v>
      </c>
      <c r="E16" s="63" t="s">
        <v>619</v>
      </c>
      <c r="F16" s="63" t="s">
        <v>111</v>
      </c>
      <c r="H16" s="72">
        <v>3</v>
      </c>
      <c r="I16" s="90" t="str">
        <f t="shared" si="1"/>
        <v>³</v>
      </c>
      <c r="J16" s="11"/>
      <c r="K16" s="11"/>
      <c r="L16" s="11"/>
      <c r="M16" s="11"/>
      <c r="N16" s="11"/>
      <c r="O16" s="11"/>
      <c r="P16" s="11"/>
      <c r="Q16" s="11"/>
      <c r="R16" s="11"/>
    </row>
    <row r="17" spans="2:18" ht="30">
      <c r="B17" s="69">
        <v>1</v>
      </c>
      <c r="C17" s="69" t="s">
        <v>591</v>
      </c>
      <c r="D17" s="70" t="s">
        <v>592</v>
      </c>
      <c r="E17" s="74" t="s">
        <v>219</v>
      </c>
      <c r="F17" s="91" t="str">
        <f t="shared" ref="F17:F19" si="2" xml:space="preserve"> IFERROR( _xlfn.CONCAT("a", _xlfn.UNICHAR(HEX2DEC(RIGHT(E17,4)))), "")</f>
        <v>ā</v>
      </c>
      <c r="H17" s="72">
        <v>4</v>
      </c>
      <c r="I17" s="90" t="str">
        <f t="shared" si="1"/>
        <v>⁴</v>
      </c>
    </row>
    <row r="18" spans="2:18" ht="30">
      <c r="B18" s="69">
        <v>2</v>
      </c>
      <c r="C18" s="69" t="s">
        <v>607</v>
      </c>
      <c r="D18" s="78" t="s">
        <v>608</v>
      </c>
      <c r="E18" s="74" t="s">
        <v>218</v>
      </c>
      <c r="F18" s="91" t="str">
        <f xml:space="preserve"> IFERROR( _xlfn.CONCAT("a", _xlfn.UNICHAR(HEX2DEC(RIGHT(E18,4)))), "")</f>
        <v>á</v>
      </c>
      <c r="H18" s="72">
        <v>5</v>
      </c>
      <c r="I18" s="90" t="str">
        <f t="shared" si="1"/>
        <v>⁵</v>
      </c>
    </row>
    <row r="19" spans="2:18" ht="30">
      <c r="B19" s="69">
        <v>3</v>
      </c>
      <c r="C19" s="69" t="s">
        <v>594</v>
      </c>
      <c r="D19" s="78" t="s">
        <v>595</v>
      </c>
      <c r="E19" s="74" t="s">
        <v>217</v>
      </c>
      <c r="F19" s="91" t="str">
        <f t="shared" si="2"/>
        <v>ǎ</v>
      </c>
      <c r="H19" s="92">
        <v>6</v>
      </c>
      <c r="I19" s="90" t="str">
        <f t="shared" si="1"/>
        <v>⁶</v>
      </c>
    </row>
    <row r="20" spans="2:18" ht="30">
      <c r="B20" s="79">
        <v>4</v>
      </c>
      <c r="C20" s="79" t="s">
        <v>594</v>
      </c>
      <c r="D20" s="78"/>
      <c r="E20" s="93" t="s">
        <v>217</v>
      </c>
      <c r="F20" s="94" t="str">
        <f xml:space="preserve"> IFERROR( _xlfn.CONCAT("a", _xlfn.UNICHAR(HEX2DEC(RIGHT(E20,4)))), "")</f>
        <v>ǎ</v>
      </c>
      <c r="H20" s="72">
        <v>7</v>
      </c>
      <c r="I20" s="90" t="str">
        <f t="shared" si="1"/>
        <v>⁷</v>
      </c>
    </row>
    <row r="21" spans="2:18" ht="30">
      <c r="B21" s="69">
        <v>5</v>
      </c>
      <c r="C21" s="69" t="s">
        <v>600</v>
      </c>
      <c r="D21" s="78" t="s">
        <v>601</v>
      </c>
      <c r="E21" s="74" t="s">
        <v>602</v>
      </c>
      <c r="F21" s="91" t="str">
        <f xml:space="preserve"> IFERROR( _xlfn.CONCAT("a", _xlfn.UNICHAR(HEX2DEC(RIGHT(E21,4)))), "")</f>
        <v>à</v>
      </c>
      <c r="H21" s="72">
        <v>8</v>
      </c>
      <c r="I21" s="90" t="str">
        <f t="shared" si="1"/>
        <v>⁸</v>
      </c>
    </row>
    <row r="22" spans="2:18" ht="30">
      <c r="B22" s="69">
        <v>6</v>
      </c>
      <c r="C22" s="69" t="s">
        <v>596</v>
      </c>
      <c r="D22" s="70" t="s">
        <v>598</v>
      </c>
      <c r="E22" s="74" t="s">
        <v>599</v>
      </c>
      <c r="F22" s="91" t="str">
        <f t="shared" ref="F22" si="3" xml:space="preserve"> IFERROR( _xlfn.CONCAT("a", _xlfn.UNICHAR(HEX2DEC(RIGHT(E22,4)))), "")</f>
        <v>â</v>
      </c>
      <c r="H22" s="72">
        <v>9</v>
      </c>
      <c r="I22" s="90" t="str">
        <f t="shared" si="1"/>
        <v>⁹</v>
      </c>
    </row>
    <row r="23" spans="2:18" ht="30">
      <c r="B23" s="69">
        <v>7</v>
      </c>
      <c r="C23" s="69" t="s">
        <v>604</v>
      </c>
      <c r="D23" s="78" t="s">
        <v>605</v>
      </c>
      <c r="E23" s="74" t="s">
        <v>611</v>
      </c>
      <c r="F23" s="91" t="str">
        <f xml:space="preserve"> IFERROR( _xlfn.CONCAT("a", _xlfn.UNICHAR(HEX2DEC(RIGHT(E23,4))), "h"), "")</f>
        <v>āh</v>
      </c>
      <c r="H23" s="95">
        <v>0</v>
      </c>
      <c r="I23" s="96" t="str">
        <f t="shared" si="1"/>
        <v>⁰</v>
      </c>
    </row>
    <row r="24" spans="2:18" ht="30">
      <c r="B24" s="69">
        <v>8</v>
      </c>
      <c r="C24" s="69" t="s">
        <v>612</v>
      </c>
      <c r="D24" s="78" t="s">
        <v>614</v>
      </c>
      <c r="E24" s="74" t="s">
        <v>218</v>
      </c>
      <c r="F24" s="91" t="str">
        <f xml:space="preserve"> IFERROR( _xlfn.CONCAT("a", _xlfn.UNICHAR(HEX2DEC(RIGHT(E24,4))), "h"), "")</f>
        <v>áh</v>
      </c>
      <c r="H24" s="11"/>
    </row>
    <row r="25" spans="2:18" ht="30">
      <c r="B25" s="69">
        <v>9</v>
      </c>
      <c r="C25" s="69" t="s">
        <v>617</v>
      </c>
      <c r="D25" s="78"/>
      <c r="E25" s="74"/>
      <c r="F25" s="91"/>
      <c r="H25" s="11"/>
      <c r="I25" s="11" t="str">
        <f xml:space="preserve"> IFERROR( _xlfn.CONCAT("l", "u", _xlfn.UNICHAR(HEX2DEC(RIGHT(G38,4))), "n"), "")</f>
        <v/>
      </c>
      <c r="J25" s="11"/>
      <c r="K25" s="11"/>
      <c r="L25" s="11"/>
      <c r="M25" s="11"/>
      <c r="N25" s="11"/>
      <c r="O25" s="11"/>
      <c r="P25" s="11"/>
      <c r="Q25" s="11"/>
      <c r="R25" s="11"/>
    </row>
    <row r="26" spans="2:18" ht="30">
      <c r="B26" s="69">
        <v>0</v>
      </c>
      <c r="C26" s="69" t="s">
        <v>617</v>
      </c>
      <c r="D26" s="78"/>
      <c r="E26" s="74"/>
      <c r="F26" s="91"/>
      <c r="H26" s="11"/>
      <c r="I26" s="11" t="str">
        <f xml:space="preserve"> IFERROR( _xlfn.CONCAT("l", "u", _xlfn.UNICHAR(HEX2DEC(RIGHT(G39,4))), "n"), "")</f>
        <v/>
      </c>
      <c r="J26" s="11"/>
      <c r="K26" s="11"/>
      <c r="L26" s="11"/>
      <c r="M26" s="11"/>
      <c r="N26" s="11"/>
      <c r="O26" s="11"/>
      <c r="P26" s="11"/>
      <c r="Q26" s="11"/>
      <c r="R26" s="11"/>
    </row>
    <row r="38" spans="6:7">
      <c r="F38" s="67"/>
      <c r="G38" s="67"/>
    </row>
    <row r="39" spans="6:7">
      <c r="F39" s="67"/>
      <c r="G39" s="67"/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0654-E373-48D5-9724-36529E809595}">
  <dimension ref="B1:V37"/>
  <sheetViews>
    <sheetView workbookViewId="0"/>
  </sheetViews>
  <sheetFormatPr defaultRowHeight="25.5"/>
  <cols>
    <col min="1" max="1" width="7.625" customWidth="1"/>
    <col min="2" max="2" width="9" style="145"/>
    <col min="3" max="4" width="19.625" customWidth="1"/>
    <col min="5" max="5" width="10.125" customWidth="1"/>
    <col min="6" max="8" width="19.625" customWidth="1"/>
    <col min="9" max="9" width="3.25" style="11" bestFit="1" customWidth="1"/>
    <col min="10" max="18" width="10.625" style="11" customWidth="1"/>
    <col min="19" max="22" width="9" style="11"/>
  </cols>
  <sheetData>
    <row r="1" spans="2:22" ht="15.75" customHeight="1" thickBot="1">
      <c r="I1" s="61"/>
      <c r="J1" s="61"/>
      <c r="K1" s="61"/>
      <c r="L1" s="59"/>
      <c r="M1" s="59"/>
      <c r="N1" s="33"/>
      <c r="O1" s="33"/>
      <c r="P1" s="33"/>
      <c r="Q1" s="33"/>
      <c r="R1" s="34"/>
      <c r="S1" s="35"/>
      <c r="T1" s="35"/>
      <c r="U1" s="34"/>
      <c r="V1" s="33"/>
    </row>
    <row r="2" spans="2:22" s="143" customFormat="1" ht="31.5" thickBot="1">
      <c r="B2" s="148" t="s">
        <v>872</v>
      </c>
      <c r="C2" s="148" t="s">
        <v>574</v>
      </c>
      <c r="D2" s="148" t="s">
        <v>575</v>
      </c>
      <c r="F2" s="150" t="s">
        <v>872</v>
      </c>
      <c r="G2" s="153" t="s">
        <v>871</v>
      </c>
      <c r="H2" s="123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2:22" ht="30.75" thickBot="1">
      <c r="B3" s="43"/>
      <c r="C3" s="144" t="s">
        <v>576</v>
      </c>
      <c r="D3" s="149" t="str">
        <f xml:space="preserve"> _xlfn.CONCAT("a", _xlfn.UNICHAR(HEX2DEC(RIGHT(C3,4))))</f>
        <v>ã</v>
      </c>
      <c r="F3" s="151" t="s">
        <v>879</v>
      </c>
      <c r="G3" s="152">
        <f xml:space="preserve"> _xlfn.UNICODE(G2)</f>
        <v>12444</v>
      </c>
      <c r="H3" s="33"/>
      <c r="J3" s="68" t="str">
        <f xml:space="preserve"> _xlfn.CONCAT("o", _xlfn.UNICHAR(HEX2DEC(RIGHT("U+0358",4))))</f>
        <v>o͘</v>
      </c>
      <c r="K3" s="63" t="s">
        <v>223</v>
      </c>
      <c r="L3" s="63" t="s">
        <v>267</v>
      </c>
      <c r="M3" s="63" t="s">
        <v>231</v>
      </c>
      <c r="N3" s="63" t="s">
        <v>249</v>
      </c>
      <c r="O3" s="63" t="s">
        <v>235</v>
      </c>
      <c r="P3" s="63" t="s">
        <v>193</v>
      </c>
      <c r="Q3" s="63" t="s">
        <v>194</v>
      </c>
    </row>
    <row r="4" spans="2:22" ht="30.75" thickBot="1">
      <c r="B4" s="43" t="s">
        <v>874</v>
      </c>
      <c r="C4" s="144" t="s">
        <v>577</v>
      </c>
      <c r="D4" s="149" t="str">
        <f xml:space="preserve"> _xlfn.CONCAT("a", _xlfn.UNICHAR(HEX2DEC(RIGHT(C4,4))))</f>
        <v>aʔ</v>
      </c>
      <c r="F4" s="151" t="s">
        <v>880</v>
      </c>
      <c r="G4" s="152" t="str">
        <f xml:space="preserve"> DEC2HEX(G3)</f>
        <v>309C</v>
      </c>
      <c r="H4" s="33"/>
      <c r="I4" s="11">
        <v>1</v>
      </c>
      <c r="J4" s="77" t="str">
        <f>IFERROR( _xlfn.CONCAT("o", _xlfn.UNICHAR(HEX2DEC(RIGHT("U+0358",4))), _xlfn.UNICHAR(HEX2DEC(RIGHT(【調】韻母標調!E4,4)))), $J$3)</f>
        <v>o͘</v>
      </c>
      <c r="K4" s="77" t="str">
        <f>IFERROR( _xlfn.CONCAT(K$3, IF(【調】韻母標調!$E4="", "", _xlfn.UNICHAR(HEX2DEC(RIGHT(【調】韻母標調!$E4,4))))), "")</f>
        <v>a</v>
      </c>
      <c r="L4" s="77" t="str">
        <f>IFERROR( _xlfn.CONCAT(L$3, IF(【調】韻母標調!$E4="", "", _xlfn.UNICHAR(HEX2DEC(RIGHT(【調】韻母標調!$E4,4))))), "")</f>
        <v>i</v>
      </c>
      <c r="M4" s="77" t="str">
        <f>IFERROR( _xlfn.CONCAT(M$3, IF(【調】韻母標調!$E4="", "", _xlfn.UNICHAR(HEX2DEC(RIGHT(【調】韻母標調!$E4,4))))), "")</f>
        <v>u</v>
      </c>
      <c r="N4" s="77" t="str">
        <f>IFERROR( _xlfn.CONCAT(N$3, IF(【調】韻母標調!$E4="", "", _xlfn.UNICHAR(HEX2DEC(RIGHT(【調】韻母標調!$E4,4))))), "")</f>
        <v>e</v>
      </c>
      <c r="O4" s="77" t="str">
        <f>IFERROR( _xlfn.CONCAT(O$3, IF(【調】韻母標調!$E4="", "", _xlfn.UNICHAR(HEX2DEC(RIGHT(【調】韻母標調!$E4,4))))), "")</f>
        <v>o</v>
      </c>
      <c r="P4" s="77" t="str">
        <f>IFERROR( _xlfn.CONCAT(P$3, IF(【調】韻母標調!$E4="", "", _xlfn.UNICHAR(HEX2DEC(RIGHT(【調】韻母標調!$E4,4))))), "")</f>
        <v>m</v>
      </c>
      <c r="Q4" s="77" t="str">
        <f>IFERROR( _xlfn.CONCAT(Q$3, IF(【調】韻母標調!$E4="", "", _xlfn.UNICHAR(HEX2DEC(RIGHT(【調】韻母標調!$E4,4))))), "")</f>
        <v>n</v>
      </c>
    </row>
    <row r="5" spans="2:22" ht="30.75" thickBot="1">
      <c r="B5" s="39" t="s">
        <v>871</v>
      </c>
      <c r="C5" s="144" t="s">
        <v>873</v>
      </c>
      <c r="D5" s="149" t="str">
        <f xml:space="preserve"> _xlfn.UNICHAR(HEX2DEC(RIGHT(C5,4)))</f>
        <v>゜</v>
      </c>
      <c r="F5" s="151" t="s">
        <v>574</v>
      </c>
      <c r="G5" s="152" t="str">
        <f>_xlfn.CONCAT("U+",F19)</f>
        <v>U+</v>
      </c>
      <c r="H5" s="33"/>
      <c r="I5" s="11">
        <v>2</v>
      </c>
      <c r="J5" s="77" t="str">
        <f>IFERROR( _xlfn.CONCAT("o", _xlfn.UNICHAR(HEX2DEC(RIGHT("U+0358",4))), _xlfn.UNICHAR(HEX2DEC(RIGHT(【調】韻母標調!E5,4)))), $J$3)</f>
        <v>ó͘</v>
      </c>
      <c r="K5" s="77" t="str">
        <f>IFERROR( _xlfn.CONCAT(K$3, IF(【調】韻母標調!$E5="", "", _xlfn.UNICHAR(HEX2DEC(RIGHT(【調】韻母標調!$E5,4))))), "")</f>
        <v>á</v>
      </c>
      <c r="L5" s="77" t="str">
        <f>IFERROR( _xlfn.CONCAT(L$3, IF(【調】韻母標調!$E5="", "", _xlfn.UNICHAR(HEX2DEC(RIGHT(【調】韻母標調!$E5,4))))), "")</f>
        <v>í</v>
      </c>
      <c r="M5" s="77" t="str">
        <f>IFERROR( _xlfn.CONCAT(M$3, IF(【調】韻母標調!$E5="", "", _xlfn.UNICHAR(HEX2DEC(RIGHT(【調】韻母標調!$E5,4))))), "")</f>
        <v>ú</v>
      </c>
      <c r="N5" s="77" t="str">
        <f>IFERROR( _xlfn.CONCAT(N$3, IF(【調】韻母標調!$E5="", "", _xlfn.UNICHAR(HEX2DEC(RIGHT(【調】韻母標調!$E5,4))))), "")</f>
        <v>é</v>
      </c>
      <c r="O5" s="77" t="str">
        <f>IFERROR( _xlfn.CONCAT(O$3, IF(【調】韻母標調!$E5="", "", _xlfn.UNICHAR(HEX2DEC(RIGHT(【調】韻母標調!$E5,4))))), "")</f>
        <v>ó</v>
      </c>
      <c r="P5" s="77" t="str">
        <f>IFERROR( _xlfn.CONCAT(P$3, IF(【調】韻母標調!$E5="", "", _xlfn.UNICHAR(HEX2DEC(RIGHT(【調】韻母標調!$E5,4))))), "")</f>
        <v>ḿ</v>
      </c>
      <c r="Q5" s="77" t="str">
        <f>IFERROR( _xlfn.CONCAT(Q$3, IF(【調】韻母標調!$E5="", "", _xlfn.UNICHAR(HEX2DEC(RIGHT(【調】韻母標調!$E5,4))))), "")</f>
        <v>ń</v>
      </c>
    </row>
    <row r="6" spans="2:22" ht="30.75" thickBot="1">
      <c r="B6" s="39"/>
      <c r="C6" s="144" t="s">
        <v>578</v>
      </c>
      <c r="D6" s="149" t="str">
        <f xml:space="preserve"> _xlfn.CONCAT("a", _xlfn.UNICHAR(HEX2DEC(RIGHT(C6,4))))</f>
        <v>aࡖ</v>
      </c>
      <c r="G6" s="154" t="str">
        <f>RIGHT(C5,4)</f>
        <v>309C</v>
      </c>
      <c r="H6" s="33"/>
      <c r="I6" s="11">
        <v>3</v>
      </c>
      <c r="J6" s="77" t="str">
        <f>IFERROR( _xlfn.CONCAT("o", _xlfn.UNICHAR(HEX2DEC(RIGHT("U+0358",4))), _xlfn.UNICHAR(HEX2DEC(RIGHT(【調】韻母標調!E6,4)))), $J$3)</f>
        <v>ò͘</v>
      </c>
      <c r="K6" s="77" t="str">
        <f>IFERROR( _xlfn.CONCAT(K$3, IF(【調】韻母標調!$E6="", "", _xlfn.UNICHAR(HEX2DEC(RIGHT(【調】韻母標調!$E6,4))))), "")</f>
        <v>à</v>
      </c>
      <c r="L6" s="77" t="str">
        <f>IFERROR( _xlfn.CONCAT(L$3, IF(【調】韻母標調!$E6="", "", _xlfn.UNICHAR(HEX2DEC(RIGHT(【調】韻母標調!$E6,4))))), "")</f>
        <v>ì</v>
      </c>
      <c r="M6" s="77" t="str">
        <f>IFERROR( _xlfn.CONCAT(M$3, IF(【調】韻母標調!$E6="", "", _xlfn.UNICHAR(HEX2DEC(RIGHT(【調】韻母標調!$E6,4))))), "")</f>
        <v>ù</v>
      </c>
      <c r="N6" s="77" t="str">
        <f>IFERROR( _xlfn.CONCAT(N$3, IF(【調】韻母標調!$E6="", "", _xlfn.UNICHAR(HEX2DEC(RIGHT(【調】韻母標調!$E6,4))))), "")</f>
        <v>è</v>
      </c>
      <c r="O6" s="77" t="str">
        <f>IFERROR( _xlfn.CONCAT(O$3, IF(【調】韻母標調!$E6="", "", _xlfn.UNICHAR(HEX2DEC(RIGHT(【調】韻母標調!$E6,4))))), "")</f>
        <v>ò</v>
      </c>
      <c r="P6" s="77" t="str">
        <f>IFERROR( _xlfn.CONCAT(P$3, IF(【調】韻母標調!$E6="", "", _xlfn.UNICHAR(HEX2DEC(RIGHT(【調】韻母標調!$E6,4))))), "")</f>
        <v>m̀</v>
      </c>
      <c r="Q6" s="77" t="str">
        <f>IFERROR( _xlfn.CONCAT(Q$3, IF(【調】韻母標調!$E6="", "", _xlfn.UNICHAR(HEX2DEC(RIGHT(【調】韻母標調!$E6,4))))), "")</f>
        <v>ǹ</v>
      </c>
    </row>
    <row r="7" spans="2:22" ht="30.75" thickBot="1">
      <c r="B7" s="39"/>
      <c r="C7" s="144"/>
      <c r="D7" s="39"/>
      <c r="G7" s="154">
        <f xml:space="preserve"> HEX2DEC(G6)</f>
        <v>12444</v>
      </c>
      <c r="H7" s="33"/>
      <c r="I7" s="11">
        <v>4</v>
      </c>
      <c r="J7" s="77" t="str">
        <f>IFERROR( _xlfn.CONCAT("o", _xlfn.UNICHAR(HEX2DEC(RIGHT("U+0358",4))), _xlfn.UNICHAR(HEX2DEC(RIGHT(【調】韻母標調!E7,4)))), $J$3)</f>
        <v>o͘</v>
      </c>
      <c r="K7" s="77" t="str">
        <f>IFERROR( _xlfn.CONCAT(K$3, IF(【調】韻母標調!$E7="", "", _xlfn.UNICHAR(HEX2DEC(RIGHT(【調】韻母標調!$E7,4))))), "")</f>
        <v>a</v>
      </c>
      <c r="L7" s="77" t="str">
        <f>IFERROR( _xlfn.CONCAT(L$3, IF(【調】韻母標調!$E7="", "", _xlfn.UNICHAR(HEX2DEC(RIGHT(【調】韻母標調!$E7,4))))), "")</f>
        <v>i</v>
      </c>
      <c r="M7" s="77" t="str">
        <f>IFERROR( _xlfn.CONCAT(M$3, IF(【調】韻母標調!$E7="", "", _xlfn.UNICHAR(HEX2DEC(RIGHT(【調】韻母標調!$E7,4))))), "")</f>
        <v>u</v>
      </c>
      <c r="N7" s="77" t="str">
        <f>IFERROR( _xlfn.CONCAT(N$3, IF(【調】韻母標調!$E7="", "", _xlfn.UNICHAR(HEX2DEC(RIGHT(【調】韻母標調!$E7,4))))), "")</f>
        <v>e</v>
      </c>
      <c r="O7" s="77" t="str">
        <f>IFERROR( _xlfn.CONCAT(O$3, IF(【調】韻母標調!$E7="", "", _xlfn.UNICHAR(HEX2DEC(RIGHT(【調】韻母標調!$E7,4))))), "")</f>
        <v>o</v>
      </c>
      <c r="P7" s="77" t="str">
        <f>IFERROR( _xlfn.CONCAT(P$3, IF(【調】韻母標調!$E7="", "", _xlfn.UNICHAR(HEX2DEC(RIGHT(【調】韻母標調!$E7,4))))), "")</f>
        <v>m</v>
      </c>
      <c r="Q7" s="77" t="str">
        <f>IFERROR( _xlfn.CONCAT(Q$3, IF(【調】韻母標調!$E7="", "", _xlfn.UNICHAR(HEX2DEC(RIGHT(【調】韻母標調!$E7,4))))), "")</f>
        <v>n</v>
      </c>
    </row>
    <row r="8" spans="2:22" ht="30.75" thickBot="1">
      <c r="B8"/>
      <c r="G8" s="154" t="str">
        <f xml:space="preserve"> _xlfn.UNICHAR(G7)</f>
        <v>゜</v>
      </c>
      <c r="H8" s="33"/>
      <c r="I8" s="11">
        <v>5</v>
      </c>
      <c r="J8" s="77" t="str">
        <f>IFERROR( _xlfn.CONCAT("o", _xlfn.UNICHAR(HEX2DEC(RIGHT("U+0358",4))), _xlfn.UNICHAR(HEX2DEC(RIGHT(【調】韻母標調!E8,4)))), "")</f>
        <v>ǒ͘</v>
      </c>
      <c r="K8" s="77" t="str">
        <f>IFERROR( _xlfn.CONCAT(K$3, IF(【調】韻母標調!$E8="", "", _xlfn.UNICHAR(HEX2DEC(RIGHT(【調】韻母標調!$E8,4))))), "")</f>
        <v>ǎ</v>
      </c>
      <c r="L8" s="77" t="str">
        <f>IFERROR( _xlfn.CONCAT(L$3, IF(【調】韻母標調!$E8="", "", _xlfn.UNICHAR(HEX2DEC(RIGHT(【調】韻母標調!$E8,4))))), "")</f>
        <v>ǐ</v>
      </c>
      <c r="M8" s="77" t="str">
        <f>IFERROR( _xlfn.CONCAT(M$3, IF(【調】韻母標調!$E8="", "", _xlfn.UNICHAR(HEX2DEC(RIGHT(【調】韻母標調!$E8,4))))), "")</f>
        <v>ǔ</v>
      </c>
      <c r="N8" s="77" t="str">
        <f>IFERROR( _xlfn.CONCAT(N$3, IF(【調】韻母標調!$E8="", "", _xlfn.UNICHAR(HEX2DEC(RIGHT(【調】韻母標調!$E8,4))))), "")</f>
        <v>ě</v>
      </c>
      <c r="O8" s="77" t="str">
        <f>IFERROR( _xlfn.CONCAT(O$3, IF(【調】韻母標調!$E8="", "", _xlfn.UNICHAR(HEX2DEC(RIGHT(【調】韻母標調!$E8,4))))), "")</f>
        <v>ǒ</v>
      </c>
      <c r="P8" s="77" t="str">
        <f>IFERROR( _xlfn.CONCAT(P$3, IF(【調】韻母標調!$E8="", "", _xlfn.UNICHAR(HEX2DEC(RIGHT(【調】韻母標調!$E8,4))))), "")</f>
        <v>m̌</v>
      </c>
      <c r="Q8" s="77" t="str">
        <f>IFERROR( _xlfn.CONCAT(Q$3, IF(【調】韻母標調!$E8="", "", _xlfn.UNICHAR(HEX2DEC(RIGHT(【調】韻母標調!$E8,4))))), "")</f>
        <v>ň</v>
      </c>
    </row>
    <row r="9" spans="2:22" ht="30.75" thickBot="1">
      <c r="B9" s="148" t="s">
        <v>872</v>
      </c>
      <c r="C9" s="148" t="s">
        <v>574</v>
      </c>
      <c r="D9" s="148" t="s">
        <v>575</v>
      </c>
      <c r="G9" s="33"/>
      <c r="H9" s="33"/>
      <c r="I9" s="11">
        <v>6</v>
      </c>
      <c r="J9" s="77" t="str">
        <f>IFERROR( _xlfn.CONCAT("o", _xlfn.UNICHAR(HEX2DEC(RIGHT("U+0358",4))), _xlfn.UNICHAR(HEX2DEC(RIGHT(【調】韻母標調!E9,4)))), "")</f>
        <v>ó͘</v>
      </c>
      <c r="K9" s="77" t="str">
        <f>IFERROR( _xlfn.CONCAT(K$3, IF(【調】韻母標調!$E9="", "", _xlfn.UNICHAR(HEX2DEC(RIGHT(【調】韻母標調!$E9,4))))), "")</f>
        <v>á</v>
      </c>
      <c r="L9" s="77" t="str">
        <f>IFERROR( _xlfn.CONCAT(L$3, IF(【調】韻母標調!$E9="", "", _xlfn.UNICHAR(HEX2DEC(RIGHT(【調】韻母標調!$E9,4))))), "")</f>
        <v>í</v>
      </c>
      <c r="M9" s="77" t="str">
        <f>IFERROR( _xlfn.CONCAT(M$3, IF(【調】韻母標調!$E9="", "", _xlfn.UNICHAR(HEX2DEC(RIGHT(【調】韻母標調!$E9,4))))), "")</f>
        <v>ú</v>
      </c>
      <c r="N9" s="77" t="str">
        <f>IFERROR( _xlfn.CONCAT(N$3, IF(【調】韻母標調!$E9="", "", _xlfn.UNICHAR(HEX2DEC(RIGHT(【調】韻母標調!$E9,4))))), "")</f>
        <v>é</v>
      </c>
      <c r="O9" s="77" t="str">
        <f>IFERROR( _xlfn.CONCAT(O$3, IF(【調】韻母標調!$E9="", "", _xlfn.UNICHAR(HEX2DEC(RIGHT(【調】韻母標調!$E9,4))))), "")</f>
        <v>ó</v>
      </c>
      <c r="P9" s="77" t="str">
        <f>IFERROR( _xlfn.CONCAT(P$3, IF(【調】韻母標調!$E9="", "", _xlfn.UNICHAR(HEX2DEC(RIGHT(【調】韻母標調!$E9,4))))), "")</f>
        <v>ḿ</v>
      </c>
      <c r="Q9" s="77" t="str">
        <f>IFERROR( _xlfn.CONCAT(Q$3, IF(【調】韻母標調!$E9="", "", _xlfn.UNICHAR(HEX2DEC(RIGHT(【調】韻母標調!$E9,4))))), "")</f>
        <v>ń</v>
      </c>
    </row>
    <row r="10" spans="2:22" ht="30.75" thickBot="1">
      <c r="B10" s="147" t="s">
        <v>876</v>
      </c>
      <c r="C10" s="39" t="str">
        <f xml:space="preserve"> _xlfn.CONCAT("U+", TEXT(DEC2HEX(_xlfn.UNICODE(B10)), "0000"))</f>
        <v>U+14B</v>
      </c>
      <c r="D10" s="147" t="s">
        <v>876</v>
      </c>
      <c r="G10" s="33"/>
      <c r="H10" s="33"/>
      <c r="I10" s="11">
        <v>7</v>
      </c>
      <c r="J10" s="77" t="str">
        <f>IFERROR( _xlfn.CONCAT("o", _xlfn.UNICHAR(HEX2DEC(RIGHT("U+0358",4))), _xlfn.UNICHAR(HEX2DEC(RIGHT(【調】韻母標調!E10,4)))), "")</f>
        <v>ō͘</v>
      </c>
      <c r="K10" s="77" t="str">
        <f>IFERROR( _xlfn.CONCAT(K$3, IF(【調】韻母標調!$E10="", "", _xlfn.UNICHAR(HEX2DEC(RIGHT(【調】韻母標調!$E10,4))))), "")</f>
        <v>ā</v>
      </c>
      <c r="L10" s="77" t="str">
        <f>IFERROR( _xlfn.CONCAT(L$3, IF(【調】韻母標調!$E10="", "", _xlfn.UNICHAR(HEX2DEC(RIGHT(【調】韻母標調!$E10,4))))), "")</f>
        <v>ī</v>
      </c>
      <c r="M10" s="77" t="str">
        <f>IFERROR( _xlfn.CONCAT(M$3, IF(【調】韻母標調!$E10="", "", _xlfn.UNICHAR(HEX2DEC(RIGHT(【調】韻母標調!$E10,4))))), "")</f>
        <v>ū</v>
      </c>
      <c r="N10" s="77" t="str">
        <f>IFERROR( _xlfn.CONCAT(N$3, IF(【調】韻母標調!$E10="", "", _xlfn.UNICHAR(HEX2DEC(RIGHT(【調】韻母標調!$E10,4))))), "")</f>
        <v>ē</v>
      </c>
      <c r="O10" s="77" t="str">
        <f>IFERROR( _xlfn.CONCAT(O$3, IF(【調】韻母標調!$E10="", "", _xlfn.UNICHAR(HEX2DEC(RIGHT(【調】韻母標調!$E10,4))))), "")</f>
        <v>ō</v>
      </c>
      <c r="P10" s="77" t="str">
        <f>IFERROR( _xlfn.CONCAT(P$3, IF(【調】韻母標調!$E10="", "", _xlfn.UNICHAR(HEX2DEC(RIGHT(【調】韻母標調!$E10,4))))), "")</f>
        <v>m̄</v>
      </c>
      <c r="Q10" s="77" t="str">
        <f>IFERROR( _xlfn.CONCAT(Q$3, IF(【調】韻母標調!$E10="", "", _xlfn.UNICHAR(HEX2DEC(RIGHT(【調】韻母標調!$E10,4))))), "")</f>
        <v>n̄</v>
      </c>
    </row>
    <row r="11" spans="2:22" ht="30.75" thickBot="1">
      <c r="B11" s="39" t="s">
        <v>438</v>
      </c>
      <c r="C11" s="39"/>
      <c r="D11" s="39" t="s">
        <v>438</v>
      </c>
      <c r="H11" s="33"/>
      <c r="I11" s="11">
        <v>8</v>
      </c>
      <c r="J11" s="77" t="str">
        <f>IFERROR( _xlfn.CONCAT("o", _xlfn.UNICHAR(HEX2DEC(RIGHT("U+0358",4))), _xlfn.UNICHAR(HEX2DEC(RIGHT(【調】韻母標調!E11,4)))), "")</f>
        <v>o̍͘</v>
      </c>
      <c r="K11" s="77" t="str">
        <f>IFERROR( _xlfn.CONCAT(K$3, IF(【調】韻母標調!$E11="", "", _xlfn.UNICHAR(HEX2DEC(RIGHT(【調】韻母標調!$E11,4))))), "")</f>
        <v>a̍</v>
      </c>
      <c r="L11" s="77" t="str">
        <f>IFERROR( _xlfn.CONCAT(L$3, IF(【調】韻母標調!$E11="", "", _xlfn.UNICHAR(HEX2DEC(RIGHT(【調】韻母標調!$E11,4))))), "")</f>
        <v>i̍</v>
      </c>
      <c r="M11" s="77" t="str">
        <f>IFERROR( _xlfn.CONCAT(M$3, IF(【調】韻母標調!$E11="", "", _xlfn.UNICHAR(HEX2DEC(RIGHT(【調】韻母標調!$E11,4))))), "")</f>
        <v>u̍</v>
      </c>
      <c r="N11" s="77" t="str">
        <f>IFERROR( _xlfn.CONCAT(N$3, IF(【調】韻母標調!$E11="", "", _xlfn.UNICHAR(HEX2DEC(RIGHT(【調】韻母標調!$E11,4))))), "")</f>
        <v>e̍</v>
      </c>
      <c r="O11" s="77" t="str">
        <f>IFERROR( _xlfn.CONCAT(O$3, IF(【調】韻母標調!$E11="", "", _xlfn.UNICHAR(HEX2DEC(RIGHT(【調】韻母標調!$E11,4))))), "")</f>
        <v>o̍</v>
      </c>
      <c r="P11" s="77" t="str">
        <f>IFERROR( _xlfn.CONCAT(P$3, IF(【調】韻母標調!$E11="", "", _xlfn.UNICHAR(HEX2DEC(RIGHT(【調】韻母標調!$E11,4))))), "")</f>
        <v>m̍</v>
      </c>
      <c r="Q11" s="77" t="str">
        <f>IFERROR( _xlfn.CONCAT(Q$3, IF(【調】韻母標調!$E11="", "", _xlfn.UNICHAR(HEX2DEC(RIGHT(【調】韻母標調!$E11,4))))), "")</f>
        <v>n̍</v>
      </c>
    </row>
    <row r="12" spans="2:22" ht="30.75" thickBot="1">
      <c r="B12" s="147" t="s">
        <v>444</v>
      </c>
      <c r="C12" s="39"/>
      <c r="D12" s="147" t="s">
        <v>444</v>
      </c>
      <c r="I12" s="11">
        <v>9</v>
      </c>
      <c r="J12" s="77" t="str">
        <f>IFERROR( _xlfn.CONCAT("o", _xlfn.UNICHAR(HEX2DEC(RIGHT("U+0358",4))), _xlfn.UNICHAR(HEX2DEC(RIGHT(【調】韻母標調!E12,4)))), "")</f>
        <v>ő͘</v>
      </c>
      <c r="K12" s="77" t="str">
        <f>IFERROR( _xlfn.CONCAT(K$3, IF(【調】韻母標調!$E12="", "", _xlfn.UNICHAR(HEX2DEC(RIGHT(【調】韻母標調!$E12,4))))), "")</f>
        <v>a̋</v>
      </c>
      <c r="L12" s="77" t="str">
        <f>IFERROR( _xlfn.CONCAT(L$3, IF(【調】韻母標調!$E12="", "", _xlfn.UNICHAR(HEX2DEC(RIGHT(【調】韻母標調!$E12,4))))), "")</f>
        <v>i̋</v>
      </c>
      <c r="M12" s="77" t="str">
        <f>IFERROR( _xlfn.CONCAT(M$3, IF(【調】韻母標調!$E12="", "", _xlfn.UNICHAR(HEX2DEC(RIGHT(【調】韻母標調!$E12,4))))), "")</f>
        <v>ű</v>
      </c>
      <c r="N12" s="77" t="str">
        <f>IFERROR( _xlfn.CONCAT(N$3, IF(【調】韻母標調!$E12="", "", _xlfn.UNICHAR(HEX2DEC(RIGHT(【調】韻母標調!$E12,4))))), "")</f>
        <v>e̋</v>
      </c>
      <c r="O12" s="77" t="str">
        <f>IFERROR( _xlfn.CONCAT(O$3, IF(【調】韻母標調!$E12="", "", _xlfn.UNICHAR(HEX2DEC(RIGHT(【調】韻母標調!$E12,4))))), "")</f>
        <v>ő</v>
      </c>
      <c r="P12" s="77" t="str">
        <f>IFERROR( _xlfn.CONCAT(P$3, IF(【調】韻母標調!$E12="", "", _xlfn.UNICHAR(HEX2DEC(RIGHT(【調】韻母標調!$E12,4))))), "")</f>
        <v>m̋</v>
      </c>
      <c r="Q12" s="77" t="str">
        <f>IFERROR( _xlfn.CONCAT(Q$3, IF(【調】韻母標調!$E12="", "", _xlfn.UNICHAR(HEX2DEC(RIGHT(【調】韻母標調!$E12,4))))), "")</f>
        <v>n̋</v>
      </c>
    </row>
    <row r="13" spans="2:22" ht="35.25" thickBot="1">
      <c r="B13" s="39" t="s">
        <v>875</v>
      </c>
      <c r="C13" s="39"/>
      <c r="D13" s="146" t="str">
        <f xml:space="preserve"> _xlfn.CONCAT(B12,B10)</f>
        <v>əŋ</v>
      </c>
      <c r="I13" s="11">
        <v>0</v>
      </c>
      <c r="J13" s="77" t="str">
        <f>IFERROR( _xlfn.CONCAT("o", _xlfn.UNICHAR(HEX2DEC(RIGHT("U+0358",4))), _xlfn.UNICHAR(HEX2DEC(RIGHT(【調】韻母標調!E13,4)))), "")</f>
        <v>o̊͘</v>
      </c>
      <c r="K13" s="77" t="str">
        <f>IFERROR( _xlfn.CONCAT(K$3, IF(【調】韻母標調!$E13="", "", _xlfn.UNICHAR(HEX2DEC(RIGHT(【調】韻母標調!$E13,4))))), "")</f>
        <v>å</v>
      </c>
      <c r="L13" s="77" t="str">
        <f>IFERROR( _xlfn.CONCAT(L$3, IF(【調】韻母標調!$E13="", "", _xlfn.UNICHAR(HEX2DEC(RIGHT(【調】韻母標調!$E13,4))))), "")</f>
        <v>i̊</v>
      </c>
      <c r="M13" s="77" t="str">
        <f>IFERROR( _xlfn.CONCAT(M$3, IF(【調】韻母標調!$E13="", "", _xlfn.UNICHAR(HEX2DEC(RIGHT(【調】韻母標調!$E13,4))))), "")</f>
        <v>ů</v>
      </c>
      <c r="N13" s="77" t="str">
        <f>IFERROR( _xlfn.CONCAT(N$3, IF(【調】韻母標調!$E13="", "", _xlfn.UNICHAR(HEX2DEC(RIGHT(【調】韻母標調!$E13,4))))), "")</f>
        <v>e̊</v>
      </c>
      <c r="O13" s="77" t="str">
        <f>IFERROR( _xlfn.CONCAT(O$3, IF(【調】韻母標調!$E13="", "", _xlfn.UNICHAR(HEX2DEC(RIGHT(【調】韻母標調!$E13,4))))), "")</f>
        <v>o̊</v>
      </c>
      <c r="P13" s="77" t="str">
        <f>IFERROR( _xlfn.CONCAT(P$3, IF(【調】韻母標調!$E13="", "", _xlfn.UNICHAR(HEX2DEC(RIGHT(【調】韻母標調!$E13,4))))), "")</f>
        <v>m̊</v>
      </c>
      <c r="Q13" s="77" t="str">
        <f>IFERROR( _xlfn.CONCAT(Q$3, IF(【調】韻母標調!$E13="", "", _xlfn.UNICHAR(HEX2DEC(RIGHT(【調】韻母標調!$E13,4))))), "")</f>
        <v>n̊</v>
      </c>
    </row>
    <row r="14" spans="2:22" ht="26.25" thickBot="1">
      <c r="B14" s="147" t="s">
        <v>878</v>
      </c>
      <c r="C14" s="39"/>
      <c r="D14" s="147" t="s">
        <v>878</v>
      </c>
    </row>
    <row r="16" spans="2:22">
      <c r="J16" s="63" t="s">
        <v>223</v>
      </c>
      <c r="K16" s="63" t="s">
        <v>267</v>
      </c>
      <c r="L16" s="63" t="s">
        <v>231</v>
      </c>
      <c r="M16" s="63" t="s">
        <v>249</v>
      </c>
      <c r="N16" s="63" t="s">
        <v>235</v>
      </c>
      <c r="O16" s="63" t="s">
        <v>193</v>
      </c>
      <c r="P16" s="63" t="s">
        <v>194</v>
      </c>
      <c r="S16" s="11" t="str">
        <f xml:space="preserve"> IFERROR( _xlfn.CONCAT("l", "u", _xlfn.UNICHAR(HEX2DEC(RIGHT(【調】韻母標調!$O4,4))), "n"), "")</f>
        <v>lūn</v>
      </c>
      <c r="T16" s="11" t="str">
        <f xml:space="preserve"> IFERROR( _xlfn.CONCAT("n", "g", "o", _xlfn.UNICHAR(HEX2DEC(RIGHT(【調】韻母標調!$O4,4))), "o"), "")</f>
        <v>ngōo</v>
      </c>
    </row>
    <row r="17" spans="2:20" ht="30">
      <c r="I17" s="11">
        <v>1</v>
      </c>
      <c r="J17" s="77" t="str">
        <f>IFERROR( _xlfn.CONCAT(K$3, IF(【調】韻母標調!$E17="", "", _xlfn.UNICHAR(HEX2DEC(RIGHT(【調】韻母標調!$E17,4))))), "")</f>
        <v>ā</v>
      </c>
      <c r="K17" s="77" t="str">
        <f>IFERROR( _xlfn.CONCAT(L$3, IF(【調】韻母標調!$E17="", "", _xlfn.UNICHAR(HEX2DEC(RIGHT(【調】韻母標調!$E17,4))))), "")</f>
        <v>ī</v>
      </c>
      <c r="L17" s="77" t="str">
        <f>IFERROR( _xlfn.CONCAT(M$3, IF(【調】韻母標調!$E17="", "", _xlfn.UNICHAR(HEX2DEC(RIGHT(【調】韻母標調!$E17,4))))), "")</f>
        <v>ū</v>
      </c>
      <c r="M17" s="77" t="str">
        <f>IFERROR( _xlfn.CONCAT(N$3, IF(【調】韻母標調!$E17="", "", _xlfn.UNICHAR(HEX2DEC(RIGHT(【調】韻母標調!$E17,4))))), "")</f>
        <v>ē</v>
      </c>
      <c r="N17" s="77" t="str">
        <f>IFERROR( _xlfn.CONCAT(O$3, IF(【調】韻母標調!$E17="", "", _xlfn.UNICHAR(HEX2DEC(RIGHT(【調】韻母標調!$E17,4))))), "")</f>
        <v>ō</v>
      </c>
      <c r="O17" s="77" t="str">
        <f>IFERROR( _xlfn.CONCAT(P$3, IF(【調】韻母標調!$E17="", "", _xlfn.UNICHAR(HEX2DEC(RIGHT(【調】韻母標調!$E17,4))))), "")</f>
        <v>m̄</v>
      </c>
      <c r="P17" s="77" t="str">
        <f>IFERROR( _xlfn.CONCAT(Q$3, IF(【調】韻母標調!$E17="", "", _xlfn.UNICHAR(HEX2DEC(RIGHT(【調】韻母標調!$E17,4))))), "")</f>
        <v>n̄</v>
      </c>
      <c r="S17" s="11" t="str">
        <f xml:space="preserve"> IFERROR( _xlfn.CONCAT("l", "u", _xlfn.UNICHAR(HEX2DEC(RIGHT(【調】韻母標調!$O7,4))), "n"), "")</f>
        <v>lǔn</v>
      </c>
      <c r="T17" s="11" t="str">
        <f xml:space="preserve"> IFERROR( _xlfn.CONCAT("n", "g", "o", _xlfn.UNICHAR(HEX2DEC(RIGHT(【調】韻母標調!$O7,4))), "o"), "")</f>
        <v>ngǒo</v>
      </c>
    </row>
    <row r="18" spans="2:20" ht="30">
      <c r="B18" s="33" t="s">
        <v>579</v>
      </c>
      <c r="I18" s="11">
        <v>2</v>
      </c>
      <c r="J18" s="77" t="str">
        <f>IFERROR( _xlfn.CONCAT(K$3, IF(【調】韻母標調!$E18="", "", _xlfn.UNICHAR(HEX2DEC(RIGHT(【調】韻母標調!$E18,4))))), "")</f>
        <v>á</v>
      </c>
      <c r="K18" s="77" t="str">
        <f>IFERROR( _xlfn.CONCAT(L$3, IF(【調】韻母標調!$E18="", "", _xlfn.UNICHAR(HEX2DEC(RIGHT(【調】韻母標調!$E18,4))))), "")</f>
        <v>í</v>
      </c>
      <c r="L18" s="77" t="str">
        <f>IFERROR( _xlfn.CONCAT(M$3, IF(【調】韻母標調!$E18="", "", _xlfn.UNICHAR(HEX2DEC(RIGHT(【調】韻母標調!$E18,4))))), "")</f>
        <v>ú</v>
      </c>
      <c r="M18" s="77" t="str">
        <f>IFERROR( _xlfn.CONCAT(N$3, IF(【調】韻母標調!$E18="", "", _xlfn.UNICHAR(HEX2DEC(RIGHT(【調】韻母標調!$E18,4))))), "")</f>
        <v>é</v>
      </c>
      <c r="N18" s="77" t="str">
        <f>IFERROR( _xlfn.CONCAT(O$3, IF(【調】韻母標調!$E18="", "", _xlfn.UNICHAR(HEX2DEC(RIGHT(【調】韻母標調!$E18,4))))), "")</f>
        <v>ó</v>
      </c>
      <c r="O18" s="77" t="str">
        <f>IFERROR( _xlfn.CONCAT(P$3, IF(【調】韻母標調!$E18="", "", _xlfn.UNICHAR(HEX2DEC(RIGHT(【調】韻母標調!$E18,4))))), "")</f>
        <v>ḿ</v>
      </c>
      <c r="P18" s="77" t="str">
        <f>IFERROR( _xlfn.CONCAT(Q$3, IF(【調】韻母標調!$E18="", "", _xlfn.UNICHAR(HEX2DEC(RIGHT(【調】韻母標調!$E18,4))))), "")</f>
        <v>ń</v>
      </c>
      <c r="S18" s="11" t="str">
        <f xml:space="preserve"> IFERROR( _xlfn.CONCAT("l", "u", _xlfn.UNICHAR(HEX2DEC(RIGHT(【調】韻母標調!$O6,4))), "n"), "")</f>
        <v>lùn</v>
      </c>
      <c r="T18" s="11" t="str">
        <f xml:space="preserve"> IFERROR( _xlfn.CONCAT("n", "g", "o", _xlfn.UNICHAR(HEX2DEC(RIGHT(【調】韻母標調!$O6,4))), "o"), "")</f>
        <v>ngòo</v>
      </c>
    </row>
    <row r="19" spans="2:20" ht="30">
      <c r="B19" s="33" t="s">
        <v>580</v>
      </c>
      <c r="I19" s="11">
        <v>3</v>
      </c>
      <c r="J19" s="77" t="str">
        <f>IFERROR( _xlfn.CONCAT(K$3, IF(【調】韻母標調!$E19="", "", _xlfn.UNICHAR(HEX2DEC(RIGHT(【調】韻母標調!$E19,4))))), "")</f>
        <v>ǎ</v>
      </c>
      <c r="K19" s="77" t="str">
        <f>IFERROR( _xlfn.CONCAT(L$3, IF(【調】韻母標調!$E19="", "", _xlfn.UNICHAR(HEX2DEC(RIGHT(【調】韻母標調!$E19,4))))), "")</f>
        <v>ǐ</v>
      </c>
      <c r="L19" s="77" t="str">
        <f>IFERROR( _xlfn.CONCAT(M$3, IF(【調】韻母標調!$E19="", "", _xlfn.UNICHAR(HEX2DEC(RIGHT(【調】韻母標調!$E19,4))))), "")</f>
        <v>ǔ</v>
      </c>
      <c r="M19" s="77" t="str">
        <f>IFERROR( _xlfn.CONCAT(N$3, IF(【調】韻母標調!$E19="", "", _xlfn.UNICHAR(HEX2DEC(RIGHT(【調】韻母標調!$E19,4))))), "")</f>
        <v>ě</v>
      </c>
      <c r="N19" s="77" t="str">
        <f>IFERROR( _xlfn.CONCAT(O$3, IF(【調】韻母標調!$E19="", "", _xlfn.UNICHAR(HEX2DEC(RIGHT(【調】韻母標調!$E19,4))))), "")</f>
        <v>ǒ</v>
      </c>
      <c r="O19" s="77" t="str">
        <f>IFERROR( _xlfn.CONCAT(P$3, IF(【調】韻母標調!$E19="", "", _xlfn.UNICHAR(HEX2DEC(RIGHT(【調】韻母標調!$E19,4))))), "")</f>
        <v>m̌</v>
      </c>
      <c r="P19" s="77" t="str">
        <f>IFERROR( _xlfn.CONCAT(Q$3, IF(【調】韻母標調!$E19="", "", _xlfn.UNICHAR(HEX2DEC(RIGHT(【調】韻母標調!$E19,4))))), "")</f>
        <v>ň</v>
      </c>
      <c r="S19" s="11" t="str">
        <f xml:space="preserve"> IFERROR( _xlfn.CONCAT("l", "u", _xlfn.UNICHAR(HEX2DEC(RIGHT(【調】韻母標調!$O9,4))), "n"), "")</f>
        <v>lūn</v>
      </c>
      <c r="T19" s="11" t="str">
        <f xml:space="preserve"> IFERROR( _xlfn.CONCAT("n", "g", "o", _xlfn.UNICHAR(HEX2DEC(RIGHT(【調】韻母標調!$O9,4))), "o"), "")</f>
        <v>ngōo</v>
      </c>
    </row>
    <row r="20" spans="2:20" ht="30">
      <c r="I20" s="11">
        <v>4</v>
      </c>
      <c r="J20" s="77" t="str">
        <f>IFERROR( _xlfn.CONCAT(K$3, IF(【調】韻母標調!$E20="", "", _xlfn.UNICHAR(HEX2DEC(RIGHT(【調】韻母標調!$E20,4))))), "")</f>
        <v>ǎ</v>
      </c>
      <c r="K20" s="77" t="str">
        <f>IFERROR( _xlfn.CONCAT(L$3, IF(【調】韻母標調!$E20="", "", _xlfn.UNICHAR(HEX2DEC(RIGHT(【調】韻母標調!$E20,4))))), "")</f>
        <v>ǐ</v>
      </c>
      <c r="L20" s="77" t="str">
        <f>IFERROR( _xlfn.CONCAT(M$3, IF(【調】韻母標調!$E20="", "", _xlfn.UNICHAR(HEX2DEC(RIGHT(【調】韻母標調!$E20,4))))), "")</f>
        <v>ǔ</v>
      </c>
      <c r="M20" s="77" t="str">
        <f>IFERROR( _xlfn.CONCAT(N$3, IF(【調】韻母標調!$E20="", "", _xlfn.UNICHAR(HEX2DEC(RIGHT(【調】韻母標調!$E20,4))))), "")</f>
        <v>ě</v>
      </c>
      <c r="N20" s="77" t="str">
        <f>IFERROR( _xlfn.CONCAT(O$3, IF(【調】韻母標調!$E20="", "", _xlfn.UNICHAR(HEX2DEC(RIGHT(【調】韻母標調!$E20,4))))), "")</f>
        <v>ǒ</v>
      </c>
      <c r="O20" s="77" t="str">
        <f>IFERROR( _xlfn.CONCAT(P$3, IF(【調】韻母標調!$E20="", "", _xlfn.UNICHAR(HEX2DEC(RIGHT(【調】韻母標調!$E20,4))))), "")</f>
        <v>m̌</v>
      </c>
      <c r="P20" s="77" t="str">
        <f>IFERROR( _xlfn.CONCAT(Q$3, IF(【調】韻母標調!$E20="", "", _xlfn.UNICHAR(HEX2DEC(RIGHT(【調】韻母標調!$E20,4))))), "")</f>
        <v>ň</v>
      </c>
      <c r="S20" s="11" t="str">
        <f xml:space="preserve"> IFERROR( _xlfn.CONCAT("l", "u", _xlfn.UNICHAR(HEX2DEC(RIGHT(【調】韻母標調!$O8,4))), "n"), "")</f>
        <v>lún</v>
      </c>
      <c r="T20" s="11" t="str">
        <f xml:space="preserve"> IFERROR( _xlfn.CONCAT("n", "g", "o", _xlfn.UNICHAR(HEX2DEC(RIGHT(【調】韻母標調!$O8,4))), "o"), "")</f>
        <v>ngóo</v>
      </c>
    </row>
    <row r="21" spans="2:20" ht="30">
      <c r="I21" s="11">
        <v>5</v>
      </c>
      <c r="J21" s="77" t="str">
        <f>IFERROR( _xlfn.CONCAT(K$3, IF(【調】韻母標調!$E21="", "", _xlfn.UNICHAR(HEX2DEC(RIGHT(【調】韻母標調!$E21,4))))), "")</f>
        <v>à</v>
      </c>
      <c r="K21" s="77" t="str">
        <f>IFERROR( _xlfn.CONCAT(L$3, IF(【調】韻母標調!$E21="", "", _xlfn.UNICHAR(HEX2DEC(RIGHT(【調】韻母標調!$E21,4))))), "")</f>
        <v>ì</v>
      </c>
      <c r="L21" s="77" t="str">
        <f>IFERROR( _xlfn.CONCAT(M$3, IF(【調】韻母標調!$E21="", "", _xlfn.UNICHAR(HEX2DEC(RIGHT(【調】韻母標調!$E21,4))))), "")</f>
        <v>ù</v>
      </c>
      <c r="M21" s="77" t="str">
        <f>IFERROR( _xlfn.CONCAT(N$3, IF(【調】韻母標調!$E21="", "", _xlfn.UNICHAR(HEX2DEC(RIGHT(【調】韻母標調!$E21,4))))), "")</f>
        <v>è</v>
      </c>
      <c r="N21" s="77" t="str">
        <f>IFERROR( _xlfn.CONCAT(O$3, IF(【調】韻母標調!$E21="", "", _xlfn.UNICHAR(HEX2DEC(RIGHT(【調】韻母標調!$E21,4))))), "")</f>
        <v>ò</v>
      </c>
      <c r="O21" s="77" t="str">
        <f>IFERROR( _xlfn.CONCAT(P$3, IF(【調】韻母標調!$E21="", "", _xlfn.UNICHAR(HEX2DEC(RIGHT(【調】韻母標調!$E21,4))))), "")</f>
        <v>m̀</v>
      </c>
      <c r="P21" s="77" t="str">
        <f>IFERROR( _xlfn.CONCAT(Q$3, IF(【調】韻母標調!$E21="", "", _xlfn.UNICHAR(HEX2DEC(RIGHT(【調】韻母標調!$E21,4))))), "")</f>
        <v>ǹ</v>
      </c>
      <c r="S21" s="11" t="str">
        <f xml:space="preserve"> IFERROR( _xlfn.CONCAT("l", "u", _xlfn.UNICHAR(HEX2DEC(RIGHT(【調】韻母標調!$O11,4))), "n"), "")</f>
        <v>lǔn</v>
      </c>
      <c r="T21" s="11" t="str">
        <f xml:space="preserve"> IFERROR( _xlfn.CONCAT("n", "g", "o", _xlfn.UNICHAR(HEX2DEC(RIGHT(【調】韻母標調!$O11,4))), "o"), "")</f>
        <v>ngǒo</v>
      </c>
    </row>
    <row r="22" spans="2:20" ht="30">
      <c r="I22" s="11">
        <v>6</v>
      </c>
      <c r="J22" s="77" t="str">
        <f>IFERROR( _xlfn.CONCAT(K$3, IF(【調】韻母標調!$E22="", "", _xlfn.UNICHAR(HEX2DEC(RIGHT(【調】韻母標調!$E22,4))))), "")</f>
        <v>â</v>
      </c>
      <c r="K22" s="77" t="str">
        <f>IFERROR( _xlfn.CONCAT(L$3, IF(【調】韻母標調!$E22="", "", _xlfn.UNICHAR(HEX2DEC(RIGHT(【調】韻母標調!$E22,4))))), "")</f>
        <v>î</v>
      </c>
      <c r="L22" s="77" t="str">
        <f>IFERROR( _xlfn.CONCAT(M$3, IF(【調】韻母標調!$E22="", "", _xlfn.UNICHAR(HEX2DEC(RIGHT(【調】韻母標調!$E22,4))))), "")</f>
        <v>û</v>
      </c>
      <c r="M22" s="77" t="str">
        <f>IFERROR( _xlfn.CONCAT(N$3, IF(【調】韻母標調!$E22="", "", _xlfn.UNICHAR(HEX2DEC(RIGHT(【調】韻母標調!$E22,4))))), "")</f>
        <v>ê</v>
      </c>
      <c r="N22" s="77" t="str">
        <f>IFERROR( _xlfn.CONCAT(O$3, IF(【調】韻母標調!$E22="", "", _xlfn.UNICHAR(HEX2DEC(RIGHT(【調】韻母標調!$E22,4))))), "")</f>
        <v>ô</v>
      </c>
      <c r="O22" s="77" t="str">
        <f>IFERROR( _xlfn.CONCAT(P$3, IF(【調】韻母標調!$E22="", "", _xlfn.UNICHAR(HEX2DEC(RIGHT(【調】韻母標調!$E22,4))))), "")</f>
        <v>m̂</v>
      </c>
      <c r="P22" s="77" t="str">
        <f>IFERROR( _xlfn.CONCAT(Q$3, IF(【調】韻母標調!$E22="", "", _xlfn.UNICHAR(HEX2DEC(RIGHT(【調】韻母標調!$E22,4))))), "")</f>
        <v>n̂</v>
      </c>
      <c r="S22" s="11" t="str">
        <f xml:space="preserve"> IFERROR( _xlfn.CONCAT("l", "u", _xlfn.UNICHAR(HEX2DEC(RIGHT(【調】韻母標調!$O5,4))), "n"), "")</f>
        <v>lûn</v>
      </c>
      <c r="T22" s="11" t="str">
        <f xml:space="preserve"> IFERROR( _xlfn.CONCAT("n", "g", "o", _xlfn.UNICHAR(HEX2DEC(RIGHT(【調】韻母標調!$O5,4))), "o"), "")</f>
        <v>ngôo</v>
      </c>
    </row>
    <row r="23" spans="2:20" ht="30">
      <c r="I23" s="11">
        <v>7</v>
      </c>
      <c r="J23" s="77" t="str">
        <f>IFERROR( _xlfn.CONCAT(K$3, IF(【調】韻母標調!$E23="", "", _xlfn.UNICHAR(HEX2DEC(RIGHT(【調】韻母標調!$E23,4))))), "")</f>
        <v>ā</v>
      </c>
      <c r="K23" s="77" t="str">
        <f>IFERROR( _xlfn.CONCAT(L$3, IF(【調】韻母標調!$E23="", "", _xlfn.UNICHAR(HEX2DEC(RIGHT(【調】韻母標調!$E23,4))))), "")</f>
        <v>ī</v>
      </c>
      <c r="L23" s="77" t="str">
        <f>IFERROR( _xlfn.CONCAT(M$3, IF(【調】韻母標調!$E23="", "", _xlfn.UNICHAR(HEX2DEC(RIGHT(【調】韻母標調!$E23,4))))), "")</f>
        <v>ū</v>
      </c>
      <c r="M23" s="77" t="str">
        <f>IFERROR( _xlfn.CONCAT(N$3, IF(【調】韻母標調!$E23="", "", _xlfn.UNICHAR(HEX2DEC(RIGHT(【調】韻母標調!$E23,4))))), "")</f>
        <v>ē</v>
      </c>
      <c r="N23" s="77" t="str">
        <f>IFERROR( _xlfn.CONCAT(O$3, IF(【調】韻母標調!$E23="", "", _xlfn.UNICHAR(HEX2DEC(RIGHT(【調】韻母標調!$E23,4))))), "")</f>
        <v>ō</v>
      </c>
      <c r="O23" s="77" t="str">
        <f>IFERROR( _xlfn.CONCAT(P$3, IF(【調】韻母標調!$E23="", "", _xlfn.UNICHAR(HEX2DEC(RIGHT(【調】韻母標調!$E23,4))))), "")</f>
        <v>m̄</v>
      </c>
      <c r="P23" s="77" t="str">
        <f>IFERROR( _xlfn.CONCAT(Q$3, IF(【調】韻母標調!$E23="", "", _xlfn.UNICHAR(HEX2DEC(RIGHT(【調】韻母標調!$E23,4))))), "")</f>
        <v>n̄</v>
      </c>
      <c r="S23" s="11" t="str">
        <f xml:space="preserve"> IFERROR( _xlfn.CONCAT("l", "u", _xlfn.UNICHAR(HEX2DEC(RIGHT(【調】韻母標調!$O10,4))), "n"), "")</f>
        <v>lún</v>
      </c>
      <c r="T23" s="11" t="str">
        <f xml:space="preserve"> IFERROR( _xlfn.CONCAT("n", "g", "o", _xlfn.UNICHAR(HEX2DEC(RIGHT(【調】韻母標調!$O10,4))), "o"), "")</f>
        <v>ngóo</v>
      </c>
    </row>
    <row r="24" spans="2:20" ht="30">
      <c r="I24" s="11">
        <v>8</v>
      </c>
      <c r="J24" s="77" t="str">
        <f>IFERROR( _xlfn.CONCAT(K$3, IF(【調】韻母標調!$E24="", "", _xlfn.UNICHAR(HEX2DEC(RIGHT(【調】韻母標調!$E24,4))))), "")</f>
        <v>á</v>
      </c>
      <c r="K24" s="77" t="str">
        <f>IFERROR( _xlfn.CONCAT(L$3, IF(【調】韻母標調!$E24="", "", _xlfn.UNICHAR(HEX2DEC(RIGHT(【調】韻母標調!$E24,4))))), "")</f>
        <v>í</v>
      </c>
      <c r="L24" s="77" t="str">
        <f>IFERROR( _xlfn.CONCAT(M$3, IF(【調】韻母標調!$E24="", "", _xlfn.UNICHAR(HEX2DEC(RIGHT(【調】韻母標調!$E24,4))))), "")</f>
        <v>ú</v>
      </c>
      <c r="M24" s="77" t="str">
        <f>IFERROR( _xlfn.CONCAT(N$3, IF(【調】韻母標調!$E24="", "", _xlfn.UNICHAR(HEX2DEC(RIGHT(【調】韻母標調!$E24,4))))), "")</f>
        <v>é</v>
      </c>
      <c r="N24" s="77" t="str">
        <f>IFERROR( _xlfn.CONCAT(O$3, IF(【調】韻母標調!$E24="", "", _xlfn.UNICHAR(HEX2DEC(RIGHT(【調】韻母標調!$E24,4))))), "")</f>
        <v>ó</v>
      </c>
      <c r="O24" s="77" t="str">
        <f>IFERROR( _xlfn.CONCAT(P$3, IF(【調】韻母標調!$E24="", "", _xlfn.UNICHAR(HEX2DEC(RIGHT(【調】韻母標調!$E24,4))))), "")</f>
        <v>ḿ</v>
      </c>
      <c r="P24" s="77" t="str">
        <f>IFERROR( _xlfn.CONCAT(Q$3, IF(【調】韻母標調!$E24="", "", _xlfn.UNICHAR(HEX2DEC(RIGHT(【調】韻母標調!$E24,4))))), "")</f>
        <v>ń</v>
      </c>
    </row>
    <row r="29" spans="2:20">
      <c r="J29" s="63" t="s">
        <v>223</v>
      </c>
      <c r="K29" s="63" t="s">
        <v>267</v>
      </c>
      <c r="L29" s="63" t="s">
        <v>231</v>
      </c>
      <c r="M29" s="63" t="s">
        <v>249</v>
      </c>
      <c r="N29" s="63" t="s">
        <v>235</v>
      </c>
      <c r="O29" s="63" t="s">
        <v>193</v>
      </c>
      <c r="P29" s="63" t="s">
        <v>194</v>
      </c>
      <c r="S29" s="11" t="s">
        <v>235</v>
      </c>
      <c r="T29" s="11" t="s">
        <v>235</v>
      </c>
    </row>
    <row r="30" spans="2:20" ht="30">
      <c r="I30" s="11">
        <v>1</v>
      </c>
      <c r="J30" s="77" t="str">
        <f>IFERROR( _xlfn.CONCAT(K$3, IF(【調】韻母標調!$E28="", "", _xlfn.UNICHAR(HEX2DEC(RIGHT(【調】韻母標調!$E28,4))))), "")</f>
        <v>a</v>
      </c>
      <c r="K30" s="77" t="str">
        <f>IFERROR( _xlfn.CONCAT(L$3, IF(【調】韻母標調!$E28="", "", _xlfn.UNICHAR(HEX2DEC(RIGHT(【調】韻母標調!$E28,4))))), "")</f>
        <v>i</v>
      </c>
      <c r="L30" s="77" t="str">
        <f>IFERROR( _xlfn.CONCAT(M$3, IF(【調】韻母標調!$E28="", "", _xlfn.UNICHAR(HEX2DEC(RIGHT(【調】韻母標調!$E28,4))))), "")</f>
        <v>u</v>
      </c>
      <c r="M30" s="77" t="str">
        <f>IFERROR( _xlfn.CONCAT(N$3, IF(【調】韻母標調!$E28="", "", _xlfn.UNICHAR(HEX2DEC(RIGHT(【調】韻母標調!$E28,4))))), "")</f>
        <v>e</v>
      </c>
      <c r="N30" s="77" t="str">
        <f>IFERROR( _xlfn.CONCAT(O$3, IF(【調】韻母標調!$E28="", "", _xlfn.UNICHAR(HEX2DEC(RIGHT(【調】韻母標調!$E28,4))))), "")</f>
        <v>o</v>
      </c>
      <c r="O30" s="77" t="str">
        <f>IFERROR( _xlfn.CONCAT(P$3, IF(【調】韻母標調!$E28="", "", _xlfn.UNICHAR(HEX2DEC(RIGHT(【調】韻母標調!$E28,4))))), "")</f>
        <v>m</v>
      </c>
      <c r="P30" s="77" t="str">
        <f>IFERROR( _xlfn.CONCAT(Q$3, IF(【調】韻母標調!$E28="", "", _xlfn.UNICHAR(HEX2DEC(RIGHT(【調】韻母標調!$E28,4))))), "")</f>
        <v>n</v>
      </c>
      <c r="S30" s="97" t="str">
        <f>IFERROR( _xlfn.CONCAT("l", "o", IF(【調】韻母標調!$M4="", "", _xlfn.UNICHAR(HEX2DEC(RIGHT(【調】韻母標調!$M4,4))))), "")</f>
        <v>lo</v>
      </c>
      <c r="T30" s="97" t="str">
        <f>IFERROR( _xlfn.CONCAT("l", "o", IF(【調】韻母標調!$M4="", "", _xlfn.UNICHAR(HEX2DEC(RIGHT(【調】韻母標調!$M4,4)))), "r", IF(OR(I30=4, I30=8), "k", "")), "")</f>
        <v>lor</v>
      </c>
    </row>
    <row r="31" spans="2:20" ht="30">
      <c r="I31" s="11">
        <v>2</v>
      </c>
      <c r="J31" s="77" t="str">
        <f>IFERROR( _xlfn.CONCAT(K$3, IF(【調】韻母標調!$M3="", "", _xlfn.UNICHAR(HEX2DEC(RIGHT(【調】韻母標調!$M3,4))))), "")</f>
        <v/>
      </c>
      <c r="K31" s="77" t="str">
        <f>IFERROR( _xlfn.CONCAT(L$3, IF(【調】韻母標調!$M3="", "", _xlfn.UNICHAR(HEX2DEC(RIGHT(【調】韻母標調!$M3,4))))), "")</f>
        <v/>
      </c>
      <c r="L31" s="77" t="str">
        <f>IFERROR( _xlfn.CONCAT(M$3, IF(【調】韻母標調!$M3="", "", _xlfn.UNICHAR(HEX2DEC(RIGHT(【調】韻母標調!$M3,4))))), "")</f>
        <v/>
      </c>
      <c r="M31" s="77" t="str">
        <f>IFERROR( _xlfn.CONCAT(N$3, IF(【調】韻母標調!$M3="", "", _xlfn.UNICHAR(HEX2DEC(RIGHT(【調】韻母標調!$M3,4))))), "")</f>
        <v/>
      </c>
      <c r="N31" s="77" t="str">
        <f>IFERROR( _xlfn.CONCAT(O$3, IF(【調】韻母標調!$M3="", "", _xlfn.UNICHAR(HEX2DEC(RIGHT(【調】韻母標調!$M3,4))))), "")</f>
        <v/>
      </c>
      <c r="O31" s="77" t="str">
        <f>IFERROR( _xlfn.CONCAT(P$3, IF(【調】韻母標調!$M3="", "", _xlfn.UNICHAR(HEX2DEC(RIGHT(【調】韻母標調!$M3,4))))), "")</f>
        <v/>
      </c>
      <c r="P31" s="77" t="str">
        <f>IFERROR( _xlfn.CONCAT(Q$3, IF(【調】韻母標調!$M3="", "", _xlfn.UNICHAR(HEX2DEC(RIGHT(【調】韻母標調!$M3,4))))), "")</f>
        <v/>
      </c>
      <c r="S31" s="97" t="str">
        <f>IFERROR( _xlfn.CONCAT("l", "o", IF(【調】韻母標調!$M6="", "", _xlfn.UNICHAR(HEX2DEC(RIGHT(【調】韻母標調!$M6,4))))), "")</f>
        <v>ló</v>
      </c>
      <c r="T31" s="97" t="str">
        <f>IFERROR( _xlfn.CONCAT("l", "o", IF(【調】韻母標調!$M6="", "", _xlfn.UNICHAR(HEX2DEC(RIGHT(【調】韻母標調!$M6,4)))), "r", IF(OR(I31=4, I31=8), "k", "")), "")</f>
        <v>lór</v>
      </c>
    </row>
    <row r="32" spans="2:20" ht="30">
      <c r="I32" s="11">
        <v>3</v>
      </c>
      <c r="J32" s="77" t="str">
        <f>IFERROR( _xlfn.CONCAT(K$3, IF(【調】韻母標調!$M4="", "", _xlfn.UNICHAR(HEX2DEC(RIGHT(【調】韻母標調!$M4,4))))), "")</f>
        <v>a</v>
      </c>
      <c r="K32" s="77" t="str">
        <f>IFERROR( _xlfn.CONCAT(L$3, IF(【調】韻母標調!$M4="", "", _xlfn.UNICHAR(HEX2DEC(RIGHT(【調】韻母標調!$M4,4))))), "")</f>
        <v>i</v>
      </c>
      <c r="L32" s="77" t="str">
        <f>IFERROR( _xlfn.CONCAT(M$3, IF(【調】韻母標調!$M4="", "", _xlfn.UNICHAR(HEX2DEC(RIGHT(【調】韻母標調!$M4,4))))), "")</f>
        <v>u</v>
      </c>
      <c r="M32" s="77" t="str">
        <f>IFERROR( _xlfn.CONCAT(N$3, IF(【調】韻母標調!$M4="", "", _xlfn.UNICHAR(HEX2DEC(RIGHT(【調】韻母標調!$M4,4))))), "")</f>
        <v>e</v>
      </c>
      <c r="N32" s="77" t="str">
        <f>IFERROR( _xlfn.CONCAT(O$3, IF(【調】韻母標調!$M4="", "", _xlfn.UNICHAR(HEX2DEC(RIGHT(【調】韻母標調!$M4,4))))), "")</f>
        <v>o</v>
      </c>
      <c r="O32" s="77" t="str">
        <f>IFERROR( _xlfn.CONCAT(P$3, IF(【調】韻母標調!$M4="", "", _xlfn.UNICHAR(HEX2DEC(RIGHT(【調】韻母標調!$M4,4))))), "")</f>
        <v>m</v>
      </c>
      <c r="P32" s="77" t="str">
        <f>IFERROR( _xlfn.CONCAT(Q$3, IF(【調】韻母標調!$M4="", "", _xlfn.UNICHAR(HEX2DEC(RIGHT(【調】韻母標調!$M4,4))))), "")</f>
        <v>n</v>
      </c>
      <c r="S32" s="97" t="str">
        <f>IFERROR( _xlfn.CONCAT("l", "o", IF(【調】韻母標調!$M7="", "", _xlfn.UNICHAR(HEX2DEC(RIGHT(【調】韻母標調!$M7,4))))), "")</f>
        <v>lò</v>
      </c>
      <c r="T32" s="97" t="str">
        <f>IFERROR( _xlfn.CONCAT("l", "o", IF(【調】韻母標調!$M7="", "", _xlfn.UNICHAR(HEX2DEC(RIGHT(【調】韻母標調!$M7,4)))), "r", IF(OR(I32=4, I32=8), "k", "")), "")</f>
        <v>lòr</v>
      </c>
    </row>
    <row r="33" spans="9:20" ht="30">
      <c r="I33" s="11">
        <v>4</v>
      </c>
      <c r="J33" s="77" t="str">
        <f>IFERROR( _xlfn.CONCAT(K$3, IF(【調】韻母標調!$M6="", "", _xlfn.UNICHAR(HEX2DEC(RIGHT(【調】韻母標調!$M6,4))))), "")</f>
        <v>á</v>
      </c>
      <c r="K33" s="77" t="str">
        <f>IFERROR( _xlfn.CONCAT(L$3, IF(【調】韻母標調!$M6="", "", _xlfn.UNICHAR(HEX2DEC(RIGHT(【調】韻母標調!$M6,4))))), "")</f>
        <v>í</v>
      </c>
      <c r="L33" s="77" t="str">
        <f>IFERROR( _xlfn.CONCAT(M$3, IF(【調】韻母標調!$M6="", "", _xlfn.UNICHAR(HEX2DEC(RIGHT(【調】韻母標調!$M6,4))))), "")</f>
        <v>ú</v>
      </c>
      <c r="M33" s="77" t="str">
        <f>IFERROR( _xlfn.CONCAT(N$3, IF(【調】韻母標調!$M6="", "", _xlfn.UNICHAR(HEX2DEC(RIGHT(【調】韻母標調!$M6,4))))), "")</f>
        <v>é</v>
      </c>
      <c r="N33" s="77" t="str">
        <f>IFERROR( _xlfn.CONCAT(O$3, IF(【調】韻母標調!$M6="", "", _xlfn.UNICHAR(HEX2DEC(RIGHT(【調】韻母標調!$M6,4))))), "")</f>
        <v>ó</v>
      </c>
      <c r="O33" s="77" t="str">
        <f>IFERROR( _xlfn.CONCAT(P$3, IF(【調】韻母標調!$M6="", "", _xlfn.UNICHAR(HEX2DEC(RIGHT(【調】韻母標調!$M6,4))))), "")</f>
        <v>ḿ</v>
      </c>
      <c r="P33" s="77" t="str">
        <f>IFERROR( _xlfn.CONCAT(Q$3, IF(【調】韻母標調!$M6="", "", _xlfn.UNICHAR(HEX2DEC(RIGHT(【調】韻母標調!$M6,4))))), "")</f>
        <v>ń</v>
      </c>
      <c r="S33" s="97" t="str">
        <f>IFERROR( _xlfn.CONCAT("l", "o", IF(【調】韻母標調!$M8="", "", _xlfn.UNICHAR(HEX2DEC(RIGHT(【調】韻母標調!$M8,4)))), "k"), "")</f>
        <v>lók</v>
      </c>
      <c r="T33" s="97" t="str">
        <f>IFERROR( _xlfn.CONCAT("l", "o", IF(【調】韻母標調!$M8="", "", _xlfn.UNICHAR(HEX2DEC(RIGHT(【調】韻母標調!$M8,4)))), "r", IF(OR(I33=4, I33=8), "k", "")), "")</f>
        <v>lórk</v>
      </c>
    </row>
    <row r="34" spans="9:20" ht="30">
      <c r="I34" s="11">
        <v>5</v>
      </c>
      <c r="J34" s="77" t="str">
        <f>IFERROR( _xlfn.CONCAT(K$3, IF(【調】韻母標調!$M7="", "", _xlfn.UNICHAR(HEX2DEC(RIGHT(【調】韻母標調!$M7,4))))), "")</f>
        <v>à</v>
      </c>
      <c r="K34" s="77" t="str">
        <f>IFERROR( _xlfn.CONCAT(L$3, IF(【調】韻母標調!$M7="", "", _xlfn.UNICHAR(HEX2DEC(RIGHT(【調】韻母標調!$M7,4))))), "")</f>
        <v>ì</v>
      </c>
      <c r="L34" s="77" t="str">
        <f>IFERROR( _xlfn.CONCAT(M$3, IF(【調】韻母標調!$M7="", "", _xlfn.UNICHAR(HEX2DEC(RIGHT(【調】韻母標調!$M7,4))))), "")</f>
        <v>ù</v>
      </c>
      <c r="M34" s="77" t="str">
        <f>IFERROR( _xlfn.CONCAT(N$3, IF(【調】韻母標調!$M7="", "", _xlfn.UNICHAR(HEX2DEC(RIGHT(【調】韻母標調!$M7,4))))), "")</f>
        <v>è</v>
      </c>
      <c r="N34" s="77" t="str">
        <f>IFERROR( _xlfn.CONCAT(O$3, IF(【調】韻母標調!$M7="", "", _xlfn.UNICHAR(HEX2DEC(RIGHT(【調】韻母標調!$M7,4))))), "")</f>
        <v>ò</v>
      </c>
      <c r="O34" s="77" t="str">
        <f>IFERROR( _xlfn.CONCAT(P$3, IF(【調】韻母標調!$M7="", "", _xlfn.UNICHAR(HEX2DEC(RIGHT(【調】韻母標調!$M7,4))))), "")</f>
        <v>m̀</v>
      </c>
      <c r="P34" s="77" t="str">
        <f>IFERROR( _xlfn.CONCAT(Q$3, IF(【調】韻母標調!$M7="", "", _xlfn.UNICHAR(HEX2DEC(RIGHT(【調】韻母標調!$M7,4))))), "")</f>
        <v>ǹ</v>
      </c>
      <c r="S34" s="97" t="str">
        <f>IFERROR( _xlfn.CONCAT("l", "o", IF(【調】韻母標調!$M9="", "", _xlfn.UNICHAR(HEX2DEC(RIGHT(【調】韻母標調!$M9,4))))), "")</f>
        <v>lǒ</v>
      </c>
      <c r="T34" s="97" t="str">
        <f>IFERROR( _xlfn.CONCAT("l", "o", IF(【調】韻母標調!$M9="", "", _xlfn.UNICHAR(HEX2DEC(RIGHT(【調】韻母標調!$M9,4)))), "r", IF(OR(I34=4, I34=8), "k", "")), "")</f>
        <v>lǒr</v>
      </c>
    </row>
    <row r="35" spans="9:20" ht="30">
      <c r="I35" s="11">
        <v>6</v>
      </c>
      <c r="J35" s="77" t="str">
        <f>IFERROR( _xlfn.CONCAT(K$3, IF(【調】韻母標調!$M8="", "", _xlfn.UNICHAR(HEX2DEC(RIGHT(【調】韻母標調!$M8,4))))), "")</f>
        <v>á</v>
      </c>
      <c r="K35" s="77" t="str">
        <f>IFERROR( _xlfn.CONCAT(L$3, IF(【調】韻母標調!$M8="", "", _xlfn.UNICHAR(HEX2DEC(RIGHT(【調】韻母標調!$M8,4))))), "")</f>
        <v>í</v>
      </c>
      <c r="L35" s="77" t="str">
        <f>IFERROR( _xlfn.CONCAT(M$3, IF(【調】韻母標調!$M8="", "", _xlfn.UNICHAR(HEX2DEC(RIGHT(【調】韻母標調!$M8,4))))), "")</f>
        <v>ú</v>
      </c>
      <c r="M35" s="77" t="str">
        <f>IFERROR( _xlfn.CONCAT(N$3, IF(【調】韻母標調!$M8="", "", _xlfn.UNICHAR(HEX2DEC(RIGHT(【調】韻母標調!$M8,4))))), "")</f>
        <v>é</v>
      </c>
      <c r="N35" s="77" t="str">
        <f>IFERROR( _xlfn.CONCAT(O$3, IF(【調】韻母標調!$M8="", "", _xlfn.UNICHAR(HEX2DEC(RIGHT(【調】韻母標調!$M8,4))))), "")</f>
        <v>ó</v>
      </c>
      <c r="O35" s="77" t="str">
        <f>IFERROR( _xlfn.CONCAT(P$3, IF(【調】韻母標調!$M8="", "", _xlfn.UNICHAR(HEX2DEC(RIGHT(【調】韻母標調!$M8,4))))), "")</f>
        <v>ḿ</v>
      </c>
      <c r="P35" s="77" t="str">
        <f>IFERROR( _xlfn.CONCAT(Q$3, IF(【調】韻母標調!$M8="", "", _xlfn.UNICHAR(HEX2DEC(RIGHT(【調】韻母標調!$M8,4))))), "")</f>
        <v>ń</v>
      </c>
      <c r="S35" s="97" t="str">
        <f>IFERROR( _xlfn.CONCAT("l", "o", IF(【調】韻母標調!$M11="", "", _xlfn.UNICHAR(HEX2DEC(RIGHT(【調】韻母標調!$M11,4))))), "")</f>
        <v>ló</v>
      </c>
      <c r="T35" s="97" t="str">
        <f>IFERROR( _xlfn.CONCAT("l", "o", IF(【調】韻母標調!$M11="", "", _xlfn.UNICHAR(HEX2DEC(RIGHT(【調】韻母標調!$M11,4)))), "r", IF(OR(I35=4, I35=8), "k", "")), "")</f>
        <v>lór</v>
      </c>
    </row>
    <row r="36" spans="9:20" ht="30">
      <c r="I36" s="11">
        <v>7</v>
      </c>
      <c r="J36" s="77" t="str">
        <f>IFERROR( _xlfn.CONCAT(K$3, IF(【調】韻母標調!$M9="", "", _xlfn.UNICHAR(HEX2DEC(RIGHT(【調】韻母標調!$M9,4))))), "")</f>
        <v>ǎ</v>
      </c>
      <c r="K36" s="77" t="str">
        <f>IFERROR( _xlfn.CONCAT(L$3, IF(【調】韻母標調!$M9="", "", _xlfn.UNICHAR(HEX2DEC(RIGHT(【調】韻母標調!$M9,4))))), "")</f>
        <v>ǐ</v>
      </c>
      <c r="L36" s="77" t="str">
        <f>IFERROR( _xlfn.CONCAT(M$3, IF(【調】韻母標調!$M9="", "", _xlfn.UNICHAR(HEX2DEC(RIGHT(【調】韻母標調!$M9,4))))), "")</f>
        <v>ǔ</v>
      </c>
      <c r="M36" s="77" t="str">
        <f>IFERROR( _xlfn.CONCAT(N$3, IF(【調】韻母標調!$M9="", "", _xlfn.UNICHAR(HEX2DEC(RIGHT(【調】韻母標調!$M9,4))))), "")</f>
        <v>ě</v>
      </c>
      <c r="N36" s="77" t="str">
        <f>IFERROR( _xlfn.CONCAT(O$3, IF(【調】韻母標調!$M9="", "", _xlfn.UNICHAR(HEX2DEC(RIGHT(【調】韻母標調!$M9,4))))), "")</f>
        <v>ǒ</v>
      </c>
      <c r="O36" s="77" t="str">
        <f>IFERROR( _xlfn.CONCAT(P$3, IF(【調】韻母標調!$M9="", "", _xlfn.UNICHAR(HEX2DEC(RIGHT(【調】韻母標調!$M9,4))))), "")</f>
        <v>m̌</v>
      </c>
      <c r="P36" s="77" t="str">
        <f>IFERROR( _xlfn.CONCAT(Q$3, IF(【調】韻母標調!$M9="", "", _xlfn.UNICHAR(HEX2DEC(RIGHT(【調】韻母標調!$M9,4))))), "")</f>
        <v>ň</v>
      </c>
      <c r="S36" s="97" t="str">
        <f>IFERROR( _xlfn.CONCAT("l", "o", IF(【調】韻母標調!$M5="", "", _xlfn.UNICHAR(HEX2DEC(RIGHT(【調】韻母標調!$M5,4))))), "")</f>
        <v>lō</v>
      </c>
      <c r="T36" s="97" t="str">
        <f>IFERROR( _xlfn.CONCAT("l", "o", IF(【調】韻母標調!$M5="", "", _xlfn.UNICHAR(HEX2DEC(RIGHT(【調】韻母標調!$M5,4)))), "r", IF(OR(I36=4, I36=8), "k", "")), "")</f>
        <v>lōr</v>
      </c>
    </row>
    <row r="37" spans="9:20" ht="30">
      <c r="I37" s="11">
        <v>8</v>
      </c>
      <c r="J37" s="77" t="str">
        <f>IFERROR( _xlfn.CONCAT(K$3, IF(【調】韻母標調!$M11="", "", _xlfn.UNICHAR(HEX2DEC(RIGHT(【調】韻母標調!$M11,4))))), "")</f>
        <v>á</v>
      </c>
      <c r="K37" s="77" t="str">
        <f>IFERROR( _xlfn.CONCAT(L$3, IF(【調】韻母標調!$M11="", "", _xlfn.UNICHAR(HEX2DEC(RIGHT(【調】韻母標調!$M11,4))))), "")</f>
        <v>í</v>
      </c>
      <c r="L37" s="77" t="str">
        <f>IFERROR( _xlfn.CONCAT(M$3, IF(【調】韻母標調!$M11="", "", _xlfn.UNICHAR(HEX2DEC(RIGHT(【調】韻母標調!$M11,4))))), "")</f>
        <v>ú</v>
      </c>
      <c r="M37" s="77" t="str">
        <f>IFERROR( _xlfn.CONCAT(N$3, IF(【調】韻母標調!$M11="", "", _xlfn.UNICHAR(HEX2DEC(RIGHT(【調】韻母標調!$M11,4))))), "")</f>
        <v>é</v>
      </c>
      <c r="N37" s="77" t="str">
        <f>IFERROR( _xlfn.CONCAT(O$3, IF(【調】韻母標調!$M11="", "", _xlfn.UNICHAR(HEX2DEC(RIGHT(【調】韻母標調!$M11,4))))), "")</f>
        <v>ó</v>
      </c>
      <c r="O37" s="77" t="str">
        <f>IFERROR( _xlfn.CONCAT(P$3, IF(【調】韻母標調!$M11="", "", _xlfn.UNICHAR(HEX2DEC(RIGHT(【調】韻母標調!$M11,4))))), "")</f>
        <v>ḿ</v>
      </c>
      <c r="P37" s="77" t="str">
        <f>IFERROR( _xlfn.CONCAT(Q$3, IF(【調】韻母標調!$M11="", "", _xlfn.UNICHAR(HEX2DEC(RIGHT(【調】韻母標調!$M11,4))))), "")</f>
        <v>ń</v>
      </c>
      <c r="S37" s="97" t="str">
        <f>IFERROR( _xlfn.CONCAT("l", "o", IF(【調】韻母標調!$M10="", "", _xlfn.UNICHAR(HEX2DEC(RIGHT(【調】韻母標調!$M10,4)))), "k"), "")</f>
        <v>lo̍k</v>
      </c>
      <c r="T37" s="97" t="str">
        <f>IFERROR( _xlfn.CONCAT("l", "o", IF(【調】韻母標調!$M10="", "", _xlfn.UNICHAR(HEX2DEC(RIGHT(【調】韻母標調!$M10,4)))), "r", IF(OR(I37=4, I37=8), "k", "")), "")</f>
        <v>lo̍rk</v>
      </c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15E6-FF49-4936-8586-6336EEB68D9C}">
  <dimension ref="A1:AA89"/>
  <sheetViews>
    <sheetView workbookViewId="0"/>
  </sheetViews>
  <sheetFormatPr defaultRowHeight="22.5" outlineLevelRow="1"/>
  <cols>
    <col min="1" max="1" width="1" style="155" customWidth="1"/>
    <col min="2" max="2" width="6" style="155" customWidth="1"/>
    <col min="3" max="3" width="9.625" style="155" customWidth="1"/>
    <col min="4" max="4" width="9" style="155" customWidth="1"/>
    <col min="5" max="6" width="9.625" style="155" customWidth="1"/>
    <col min="7" max="24" width="9" style="155"/>
    <col min="25" max="25" width="9.625" style="155" customWidth="1"/>
    <col min="26" max="26" width="9" style="155" customWidth="1"/>
    <col min="27" max="27" width="9.625" style="155" customWidth="1"/>
    <col min="28" max="16384" width="9" style="155"/>
  </cols>
  <sheetData>
    <row r="1" spans="1:27" ht="9" customHeight="1"/>
    <row r="2" spans="1:27">
      <c r="B2" s="156"/>
      <c r="C2" s="156"/>
      <c r="D2" s="156"/>
      <c r="E2" s="156"/>
      <c r="F2" s="156"/>
      <c r="G2" s="157">
        <v>1</v>
      </c>
      <c r="H2" s="157">
        <v>1</v>
      </c>
      <c r="I2" s="157">
        <v>2</v>
      </c>
      <c r="J2" s="157">
        <v>3</v>
      </c>
      <c r="K2" s="157">
        <v>4</v>
      </c>
      <c r="L2" s="157">
        <v>5</v>
      </c>
      <c r="M2" s="157">
        <v>6</v>
      </c>
      <c r="N2" s="157">
        <v>7</v>
      </c>
      <c r="O2" s="157">
        <v>8</v>
      </c>
      <c r="P2" s="157">
        <v>9</v>
      </c>
      <c r="Q2" s="157">
        <v>10</v>
      </c>
      <c r="R2" s="157">
        <v>11</v>
      </c>
      <c r="S2" s="157">
        <v>12</v>
      </c>
      <c r="T2" s="157">
        <v>12</v>
      </c>
      <c r="U2" s="157">
        <v>13</v>
      </c>
      <c r="V2" s="157">
        <v>13</v>
      </c>
      <c r="W2" s="157">
        <v>14</v>
      </c>
      <c r="X2" s="157">
        <v>15</v>
      </c>
      <c r="Y2" s="156"/>
      <c r="Z2" s="156"/>
      <c r="AA2" s="156"/>
    </row>
    <row r="3" spans="1:27">
      <c r="B3" s="156"/>
      <c r="C3" s="156"/>
      <c r="D3" s="156"/>
      <c r="E3" s="156"/>
      <c r="F3" s="156"/>
      <c r="G3" s="158" t="s">
        <v>96</v>
      </c>
      <c r="H3" s="158" t="s">
        <v>16</v>
      </c>
      <c r="I3" s="158" t="s">
        <v>29</v>
      </c>
      <c r="J3" s="158" t="s">
        <v>118</v>
      </c>
      <c r="K3" s="158" t="s">
        <v>135</v>
      </c>
      <c r="L3" s="158" t="s">
        <v>122</v>
      </c>
      <c r="M3" s="158" t="s">
        <v>39</v>
      </c>
      <c r="N3" s="158" t="s">
        <v>125</v>
      </c>
      <c r="O3" s="158" t="s">
        <v>143</v>
      </c>
      <c r="P3" s="158" t="s">
        <v>67</v>
      </c>
      <c r="Q3" s="158" t="s">
        <v>137</v>
      </c>
      <c r="R3" s="158" t="s">
        <v>163</v>
      </c>
      <c r="S3" s="158" t="s">
        <v>30</v>
      </c>
      <c r="T3" s="158" t="s">
        <v>14</v>
      </c>
      <c r="U3" s="158" t="s">
        <v>35</v>
      </c>
      <c r="V3" s="158" t="s">
        <v>18</v>
      </c>
      <c r="W3" s="158" t="s">
        <v>149</v>
      </c>
      <c r="X3" s="158" t="s">
        <v>162</v>
      </c>
      <c r="Y3" s="156"/>
      <c r="Z3" s="156"/>
      <c r="AA3" s="156"/>
    </row>
    <row r="4" spans="1:27">
      <c r="A4" s="159"/>
      <c r="B4" s="160"/>
      <c r="C4" s="160"/>
      <c r="D4" s="160"/>
      <c r="E4" s="160"/>
      <c r="F4" s="160"/>
      <c r="G4" s="161" t="s">
        <v>60</v>
      </c>
      <c r="H4" s="161" t="s">
        <v>22</v>
      </c>
      <c r="I4" s="161" t="s">
        <v>19</v>
      </c>
      <c r="J4" s="161" t="s">
        <v>45</v>
      </c>
      <c r="K4" s="161" t="s">
        <v>59</v>
      </c>
      <c r="L4" s="161" t="s">
        <v>43</v>
      </c>
      <c r="M4" s="161" t="s">
        <v>50</v>
      </c>
      <c r="N4" s="161" t="s">
        <v>58</v>
      </c>
      <c r="O4" s="161" t="s">
        <v>73</v>
      </c>
      <c r="P4" s="161" t="s">
        <v>75</v>
      </c>
      <c r="Q4" s="161" t="s">
        <v>94</v>
      </c>
      <c r="R4" s="161"/>
      <c r="S4" s="161" t="s">
        <v>41</v>
      </c>
      <c r="T4" s="161" t="s">
        <v>20</v>
      </c>
      <c r="U4" s="161" t="s">
        <v>47</v>
      </c>
      <c r="V4" s="161" t="s">
        <v>24</v>
      </c>
      <c r="W4" s="161" t="s">
        <v>84</v>
      </c>
      <c r="X4" s="161" t="s">
        <v>86</v>
      </c>
      <c r="Y4" s="156"/>
      <c r="Z4" s="160"/>
      <c r="AA4" s="156"/>
    </row>
    <row r="5" spans="1:27" ht="7.5" customHeight="1">
      <c r="B5" s="162"/>
      <c r="C5" s="162"/>
      <c r="D5" s="162"/>
      <c r="E5" s="162"/>
      <c r="F5" s="162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4"/>
      <c r="Z5" s="156"/>
      <c r="AA5" s="156"/>
    </row>
    <row r="6" spans="1:27">
      <c r="B6" s="160" t="s">
        <v>881</v>
      </c>
      <c r="C6" s="160" t="s">
        <v>195</v>
      </c>
      <c r="D6" s="160" t="s">
        <v>197</v>
      </c>
      <c r="E6" s="165" t="s">
        <v>204</v>
      </c>
      <c r="F6" s="160" t="s">
        <v>882</v>
      </c>
      <c r="G6" s="188" t="s">
        <v>15</v>
      </c>
      <c r="H6" s="189" t="s">
        <v>962</v>
      </c>
      <c r="I6" s="188" t="s">
        <v>28</v>
      </c>
      <c r="J6" s="188" t="s">
        <v>33</v>
      </c>
      <c r="K6" s="188" t="s">
        <v>54</v>
      </c>
      <c r="L6" s="188" t="s">
        <v>31</v>
      </c>
      <c r="M6" s="188" t="s">
        <v>38</v>
      </c>
      <c r="N6" s="188" t="s">
        <v>52</v>
      </c>
      <c r="O6" s="188" t="s">
        <v>62</v>
      </c>
      <c r="P6" s="188" t="s">
        <v>64</v>
      </c>
      <c r="Q6" s="188" t="s">
        <v>89</v>
      </c>
      <c r="R6" s="188" t="s">
        <v>36</v>
      </c>
      <c r="S6" s="188" t="s">
        <v>13</v>
      </c>
      <c r="T6" s="189" t="s">
        <v>963</v>
      </c>
      <c r="U6" s="188" t="s">
        <v>17</v>
      </c>
      <c r="V6" s="189" t="s">
        <v>964</v>
      </c>
      <c r="W6" s="188" t="s">
        <v>77</v>
      </c>
      <c r="X6" s="188" t="s">
        <v>80</v>
      </c>
      <c r="Y6" s="165" t="s">
        <v>204</v>
      </c>
      <c r="Z6" s="160" t="s">
        <v>197</v>
      </c>
      <c r="AA6" s="156" t="s">
        <v>883</v>
      </c>
    </row>
    <row r="7" spans="1:27">
      <c r="B7" s="168">
        <v>1</v>
      </c>
      <c r="C7" s="156" t="s">
        <v>567</v>
      </c>
      <c r="D7" s="156" t="s">
        <v>567</v>
      </c>
      <c r="E7" s="164" t="s">
        <v>568</v>
      </c>
      <c r="F7" s="156" t="s">
        <v>710</v>
      </c>
      <c r="G7" s="169" t="str">
        <f xml:space="preserve"> IF([6]十五音音節表!F6&lt;&gt;"", _xlfn.CONCAT(G$4,$E7), "")</f>
        <v>ㄌㄨㄣ</v>
      </c>
      <c r="H7" s="169" t="str">
        <f xml:space="preserve"> IF([6]十五音音節表!G6&lt;&gt;"", _xlfn.CONCAT(H$4,$E7), "")</f>
        <v/>
      </c>
      <c r="I7" s="169" t="str">
        <f xml:space="preserve"> IF([6]十五音音節表!H6&lt;&gt;"", _xlfn.CONCAT(I$4,$E7), "")</f>
        <v>ㄅㄨㄣ</v>
      </c>
      <c r="J7" s="169" t="str">
        <f xml:space="preserve"> IF([6]十五音音節表!I6&lt;&gt;"", _xlfn.CONCAT(J$4,$E7), "")</f>
        <v>ㄍㄨㄣ</v>
      </c>
      <c r="K7" s="169" t="str">
        <f xml:space="preserve"> IF([6]十五音音節表!J6&lt;&gt;"", _xlfn.CONCAT(K$4,$E7), "")</f>
        <v>ㄎㄨㄣ</v>
      </c>
      <c r="L7" s="169" t="str">
        <f xml:space="preserve"> IF([6]十五音音節表!K6&lt;&gt;"", _xlfn.CONCAT(L$4,$E7), "")</f>
        <v>ㄉㄨㄣ</v>
      </c>
      <c r="M7" s="169" t="str">
        <f xml:space="preserve"> IF([6]十五音音節表!L6&lt;&gt;"", _xlfn.CONCAT(M$4,$E7), "")</f>
        <v>ㄆㄨㄣ</v>
      </c>
      <c r="N7" s="169" t="str">
        <f xml:space="preserve"> IF([6]十五音音節表!M6&lt;&gt;"", _xlfn.CONCAT(N$4,$E7), "")</f>
        <v>ㄊㄨㄣ</v>
      </c>
      <c r="O7" s="169" t="str">
        <f xml:space="preserve"> IF([6]十五音音節表!N6&lt;&gt;"", _xlfn.CONCAT(O$4,$E7), "")</f>
        <v>ㄗㄨㄣ</v>
      </c>
      <c r="P7" s="169" t="str">
        <f xml:space="preserve"> IF([6]十五音音節表!O6&lt;&gt;"", _xlfn.CONCAT(P$4,$E7), "")</f>
        <v>ㆡㄨㄣ</v>
      </c>
      <c r="Q7" s="169" t="str">
        <f xml:space="preserve"> IF([6]十五音音節表!P6&lt;&gt;"", _xlfn.CONCAT(Q$4,$E7), "")</f>
        <v>ㄙㄨㄣ</v>
      </c>
      <c r="R7" s="169" t="str">
        <f xml:space="preserve"> IF([6]十五音音節表!Q6&lt;&gt;"", _xlfn.CONCAT(R$4,$E7), "")</f>
        <v>ㄨㄣ</v>
      </c>
      <c r="S7" s="169" t="str">
        <f xml:space="preserve"> IF([6]十五音音節表!R6&lt;&gt;"", _xlfn.CONCAT(S$4,$E7), "")</f>
        <v>ㆠㄨㄣ</v>
      </c>
      <c r="T7" s="169" t="str">
        <f xml:space="preserve"> IF([6]十五音音節表!S6&lt;&gt;"", _xlfn.CONCAT(T$4,$E7), "")</f>
        <v/>
      </c>
      <c r="U7" s="169" t="str">
        <f xml:space="preserve"> IF([6]十五音音節表!T6&lt;&gt;"", _xlfn.CONCAT(U$4,$E7), "")</f>
        <v>ㆣㄨㄣ</v>
      </c>
      <c r="V7" s="169" t="str">
        <f xml:space="preserve"> IF([6]十五音音節表!U6&lt;&gt;"", _xlfn.CONCAT(V$4,$E7), "")</f>
        <v/>
      </c>
      <c r="W7" s="169" t="str">
        <f xml:space="preserve"> IF([6]十五音音節表!V6&lt;&gt;"", _xlfn.CONCAT(W$4,$E7), "")</f>
        <v>ㄘㄨㄣ</v>
      </c>
      <c r="X7" s="169" t="str">
        <f xml:space="preserve"> IF([6]十五音音節表!W6&lt;&gt;"", _xlfn.CONCAT(X$4,$E7), "")</f>
        <v>ㄏㄨㄣ</v>
      </c>
      <c r="Y7" s="164" t="s">
        <v>568</v>
      </c>
      <c r="Z7" s="156" t="s">
        <v>567</v>
      </c>
      <c r="AA7" s="156" t="s">
        <v>710</v>
      </c>
    </row>
    <row r="8" spans="1:27" outlineLevel="1">
      <c r="B8" s="168">
        <v>1</v>
      </c>
      <c r="C8" s="156" t="s">
        <v>895</v>
      </c>
      <c r="D8" s="156" t="s">
        <v>571</v>
      </c>
      <c r="E8" s="164" t="s">
        <v>572</v>
      </c>
      <c r="F8" s="156" t="s">
        <v>711</v>
      </c>
      <c r="G8" s="169" t="str">
        <f xml:space="preserve"> IF([6]十五音音節表!F7&lt;&gt;"", _xlfn.CONCAT(G$4,$E8), "")</f>
        <v>ㄌㄨㆵ</v>
      </c>
      <c r="H8" s="169" t="str">
        <f xml:space="preserve"> IF([6]十五音音節表!G7&lt;&gt;"", _xlfn.CONCAT(H$4,$E8), "")</f>
        <v/>
      </c>
      <c r="I8" s="169" t="str">
        <f xml:space="preserve"> IF([6]十五音音節表!H7&lt;&gt;"", _xlfn.CONCAT(I$4,$E8), "")</f>
        <v>ㄅㄨㆵ</v>
      </c>
      <c r="J8" s="169" t="str">
        <f xml:space="preserve"> IF([6]十五音音節表!I7&lt;&gt;"", _xlfn.CONCAT(J$4,$E8), "")</f>
        <v>ㄍㄨㆵ</v>
      </c>
      <c r="K8" s="169" t="str">
        <f xml:space="preserve"> IF([6]十五音音節表!J7&lt;&gt;"", _xlfn.CONCAT(K$4,$E8), "")</f>
        <v>ㄎㄨㆵ</v>
      </c>
      <c r="L8" s="169" t="str">
        <f xml:space="preserve"> IF([6]十五音音節表!K7&lt;&gt;"", _xlfn.CONCAT(L$4,$E8), "")</f>
        <v>ㄉㄨㆵ</v>
      </c>
      <c r="M8" s="169" t="str">
        <f xml:space="preserve"> IF([6]十五音音節表!L7&lt;&gt;"", _xlfn.CONCAT(M$4,$E8), "")</f>
        <v>ㄆㄨㆵ</v>
      </c>
      <c r="N8" s="169" t="str">
        <f xml:space="preserve"> IF([6]十五音音節表!M7&lt;&gt;"", _xlfn.CONCAT(N$4,$E8), "")</f>
        <v>ㄊㄨㆵ</v>
      </c>
      <c r="O8" s="169" t="str">
        <f xml:space="preserve"> IF([6]十五音音節表!N7&lt;&gt;"", _xlfn.CONCAT(O$4,$E8), "")</f>
        <v>ㄗㄨㆵ</v>
      </c>
      <c r="P8" s="169" t="str">
        <f xml:space="preserve"> IF([6]十五音音節表!O7&lt;&gt;"", _xlfn.CONCAT(P$4,$E8), "")</f>
        <v/>
      </c>
      <c r="Q8" s="169" t="str">
        <f xml:space="preserve"> IF([6]十五音音節表!P7&lt;&gt;"", _xlfn.CONCAT(Q$4,$E8), "")</f>
        <v>ㄙㄨㆵ</v>
      </c>
      <c r="R8" s="169" t="str">
        <f xml:space="preserve"> IF([6]十五音音節表!Q7&lt;&gt;"", _xlfn.CONCAT(R$4,$E8), "")</f>
        <v>ㄨㆵ</v>
      </c>
      <c r="S8" s="169" t="str">
        <f xml:space="preserve"> IF([6]十五音音節表!R7&lt;&gt;"", _xlfn.CONCAT(S$4,$E8), "")</f>
        <v>ㆠㄨㆵ</v>
      </c>
      <c r="T8" s="169" t="str">
        <f xml:space="preserve"> IF([6]十五音音節表!S7&lt;&gt;"", _xlfn.CONCAT(T$4,$E8), "")</f>
        <v/>
      </c>
      <c r="U8" s="169" t="str">
        <f xml:space="preserve"> IF([6]十五音音節表!T7&lt;&gt;"", _xlfn.CONCAT(U$4,$E8), "")</f>
        <v/>
      </c>
      <c r="V8" s="169" t="str">
        <f xml:space="preserve"> IF([6]十五音音節表!U7&lt;&gt;"", _xlfn.CONCAT(V$4,$E8), "")</f>
        <v/>
      </c>
      <c r="W8" s="169" t="str">
        <f xml:space="preserve"> IF([6]十五音音節表!V7&lt;&gt;"", _xlfn.CONCAT(W$4,$E8), "")</f>
        <v>ㄘㄨㆵ</v>
      </c>
      <c r="X8" s="169" t="str">
        <f xml:space="preserve"> IF([6]十五音音節表!W7&lt;&gt;"", _xlfn.CONCAT(X$4,$E8), "")</f>
        <v>ㄏㄨㆵ</v>
      </c>
      <c r="Y8" s="164" t="s">
        <v>572</v>
      </c>
      <c r="Z8" s="156" t="s">
        <v>571</v>
      </c>
      <c r="AA8" s="156" t="s">
        <v>711</v>
      </c>
    </row>
    <row r="9" spans="1:27">
      <c r="B9" s="168">
        <v>2</v>
      </c>
      <c r="C9" s="156" t="s">
        <v>896</v>
      </c>
      <c r="D9" s="156" t="s">
        <v>329</v>
      </c>
      <c r="E9" s="164" t="s">
        <v>330</v>
      </c>
      <c r="F9" s="156" t="s">
        <v>657</v>
      </c>
      <c r="G9" s="169" t="str">
        <f xml:space="preserve"> IF([6]十五音音節表!F8&lt;&gt;"", _xlfn.CONCAT(G$4,$E9), "")</f>
        <v>ㄌㄧㄢ</v>
      </c>
      <c r="H9" s="169" t="str">
        <f xml:space="preserve"> IF([6]十五音音節表!G8&lt;&gt;"", _xlfn.CONCAT(H$4,$E9), "")</f>
        <v/>
      </c>
      <c r="I9" s="169" t="str">
        <f xml:space="preserve"> IF([6]十五音音節表!H8&lt;&gt;"", _xlfn.CONCAT(I$4,$E9), "")</f>
        <v>ㄅㄧㄢ</v>
      </c>
      <c r="J9" s="169" t="str">
        <f xml:space="preserve"> IF([6]十五音音節表!I8&lt;&gt;"", _xlfn.CONCAT(J$4,$E9), "")</f>
        <v>ㄍㄧㄢ</v>
      </c>
      <c r="K9" s="169" t="str">
        <f xml:space="preserve"> IF([6]十五音音節表!J8&lt;&gt;"", _xlfn.CONCAT(K$4,$E9), "")</f>
        <v>ㄎㄧㄢ</v>
      </c>
      <c r="L9" s="169" t="str">
        <f xml:space="preserve"> IF([6]十五音音節表!K8&lt;&gt;"", _xlfn.CONCAT(L$4,$E9), "")</f>
        <v>ㄉㄧㄢ</v>
      </c>
      <c r="M9" s="169" t="str">
        <f xml:space="preserve"> IF([6]十五音音節表!L8&lt;&gt;"", _xlfn.CONCAT(M$4,$E9), "")</f>
        <v>ㄆㄧㄢ</v>
      </c>
      <c r="N9" s="169" t="str">
        <f xml:space="preserve"> IF([6]十五音音節表!M8&lt;&gt;"", _xlfn.CONCAT(N$4,$E9), "")</f>
        <v>ㄊㄧㄢ</v>
      </c>
      <c r="O9" s="169" t="str">
        <f xml:space="preserve"> IF([6]十五音音節表!N8&lt;&gt;"", _xlfn.CONCAT(O$4,$E9), "")</f>
        <v>ㄗㄧㄢ</v>
      </c>
      <c r="P9" s="169" t="str">
        <f xml:space="preserve"> IF([6]十五音音節表!O8&lt;&gt;"", _xlfn.CONCAT(P$4,$E9), "")</f>
        <v>ㆡㄧㄢ</v>
      </c>
      <c r="Q9" s="169" t="str">
        <f xml:space="preserve"> IF([6]十五音音節表!P8&lt;&gt;"", _xlfn.CONCAT(Q$4,$E9), "")</f>
        <v>ㄙㄧㄢ</v>
      </c>
      <c r="R9" s="169" t="str">
        <f xml:space="preserve"> IF([6]十五音音節表!Q8&lt;&gt;"", _xlfn.CONCAT(R$4,$E9), "")</f>
        <v>ㄧㄢ</v>
      </c>
      <c r="S9" s="169" t="str">
        <f xml:space="preserve"> IF([6]十五音音節表!R8&lt;&gt;"", _xlfn.CONCAT(S$4,$E9), "")</f>
        <v>ㆠㄧㄢ</v>
      </c>
      <c r="T9" s="169" t="str">
        <f xml:space="preserve"> IF([6]十五音音節表!S8&lt;&gt;"", _xlfn.CONCAT(T$4,$E9), "")</f>
        <v/>
      </c>
      <c r="U9" s="169" t="str">
        <f xml:space="preserve"> IF([6]十五音音節表!T8&lt;&gt;"", _xlfn.CONCAT(U$4,$E9), "")</f>
        <v>ㆣㄧㄢ</v>
      </c>
      <c r="V9" s="169" t="str">
        <f xml:space="preserve"> IF([6]十五音音節表!U8&lt;&gt;"", _xlfn.CONCAT(V$4,$E9), "")</f>
        <v/>
      </c>
      <c r="W9" s="169" t="str">
        <f xml:space="preserve"> IF([6]十五音音節表!V8&lt;&gt;"", _xlfn.CONCAT(W$4,$E9), "")</f>
        <v>ㄘㄧㄢ</v>
      </c>
      <c r="X9" s="169" t="str">
        <f xml:space="preserve"> IF([6]十五音音節表!W8&lt;&gt;"", _xlfn.CONCAT(X$4,$E9), "")</f>
        <v>ㄏㄧㄢ</v>
      </c>
      <c r="Y9" s="164" t="s">
        <v>330</v>
      </c>
      <c r="Z9" s="156" t="s">
        <v>329</v>
      </c>
      <c r="AA9" s="156" t="s">
        <v>657</v>
      </c>
    </row>
    <row r="10" spans="1:27" outlineLevel="1">
      <c r="B10" s="168">
        <v>2</v>
      </c>
      <c r="C10" s="156" t="s">
        <v>897</v>
      </c>
      <c r="D10" s="156" t="s">
        <v>346</v>
      </c>
      <c r="E10" s="164" t="s">
        <v>347</v>
      </c>
      <c r="F10" s="156" t="s">
        <v>661</v>
      </c>
      <c r="G10" s="169" t="str">
        <f xml:space="preserve"> IF([6]十五音音節表!F9&lt;&gt;"", _xlfn.CONCAT(G$4,$E10), "")</f>
        <v>ㄌㄧㄚㆵ</v>
      </c>
      <c r="H10" s="169" t="str">
        <f xml:space="preserve"> IF([6]十五音音節表!G9&lt;&gt;"", _xlfn.CONCAT(H$4,$E10), "")</f>
        <v/>
      </c>
      <c r="I10" s="169" t="str">
        <f xml:space="preserve"> IF([6]十五音音節表!H9&lt;&gt;"", _xlfn.CONCAT(I$4,$E10), "")</f>
        <v>ㄅㄧㄚㆵ</v>
      </c>
      <c r="J10" s="169" t="str">
        <f xml:space="preserve"> IF([6]十五音音節表!I9&lt;&gt;"", _xlfn.CONCAT(J$4,$E10), "")</f>
        <v>ㄍㄧㄚㆵ</v>
      </c>
      <c r="K10" s="169" t="str">
        <f xml:space="preserve"> IF([6]十五音音節表!J9&lt;&gt;"", _xlfn.CONCAT(K$4,$E10), "")</f>
        <v>ㄎㄧㄚㆵ</v>
      </c>
      <c r="L10" s="169" t="str">
        <f xml:space="preserve"> IF([6]十五音音節表!K9&lt;&gt;"", _xlfn.CONCAT(L$4,$E10), "")</f>
        <v>ㄉㄧㄚㆵ</v>
      </c>
      <c r="M10" s="169" t="str">
        <f xml:space="preserve"> IF([6]十五音音節表!L9&lt;&gt;"", _xlfn.CONCAT(M$4,$E10), "")</f>
        <v>ㄆㄧㄚㆵ</v>
      </c>
      <c r="N10" s="169" t="str">
        <f xml:space="preserve"> IF([6]十五音音節表!M9&lt;&gt;"", _xlfn.CONCAT(N$4,$E10), "")</f>
        <v>ㄊㄧㄚㆵ</v>
      </c>
      <c r="O10" s="169" t="str">
        <f xml:space="preserve"> IF([6]十五音音節表!N9&lt;&gt;"", _xlfn.CONCAT(O$4,$E10), "")</f>
        <v>ㄗㄧㄚㆵ</v>
      </c>
      <c r="P10" s="169" t="str">
        <f xml:space="preserve"> IF([6]十五音音節表!O9&lt;&gt;"", _xlfn.CONCAT(P$4,$E10), "")</f>
        <v>ㆡㄧㄚㆵ</v>
      </c>
      <c r="Q10" s="169" t="str">
        <f xml:space="preserve"> IF([6]十五音音節表!P9&lt;&gt;"", _xlfn.CONCAT(Q$4,$E10), "")</f>
        <v>ㄙㄧㄚㆵ</v>
      </c>
      <c r="R10" s="169" t="str">
        <f xml:space="preserve"> IF([6]十五音音節表!Q9&lt;&gt;"", _xlfn.CONCAT(R$4,$E10), "")</f>
        <v>ㄧㄚㆵ</v>
      </c>
      <c r="S10" s="169" t="str">
        <f xml:space="preserve"> IF([6]十五音音節表!R9&lt;&gt;"", _xlfn.CONCAT(S$4,$E10), "")</f>
        <v>ㆠㄧㄚㆵ</v>
      </c>
      <c r="T10" s="169" t="str">
        <f xml:space="preserve"> IF([6]十五音音節表!S9&lt;&gt;"", _xlfn.CONCAT(T$4,$E10), "")</f>
        <v/>
      </c>
      <c r="U10" s="169" t="str">
        <f xml:space="preserve"> IF([6]十五音音節表!T9&lt;&gt;"", _xlfn.CONCAT(U$4,$E10), "")</f>
        <v>ㆣㄧㄚㆵ</v>
      </c>
      <c r="V10" s="169" t="str">
        <f xml:space="preserve"> IF([6]十五音音節表!U9&lt;&gt;"", _xlfn.CONCAT(V$4,$E10), "")</f>
        <v/>
      </c>
      <c r="W10" s="169" t="str">
        <f xml:space="preserve"> IF([6]十五音音節表!V9&lt;&gt;"", _xlfn.CONCAT(W$4,$E10), "")</f>
        <v>ㄘㄧㄚㆵ</v>
      </c>
      <c r="X10" s="169" t="str">
        <f xml:space="preserve"> IF([6]十五音音節表!W9&lt;&gt;"", _xlfn.CONCAT(X$4,$E10), "")</f>
        <v>ㄏㄧㄚㆵ</v>
      </c>
      <c r="Y10" s="164" t="s">
        <v>347</v>
      </c>
      <c r="Z10" s="156" t="s">
        <v>346</v>
      </c>
      <c r="AA10" s="156" t="s">
        <v>661</v>
      </c>
    </row>
    <row r="11" spans="1:27">
      <c r="B11" s="168">
        <v>3</v>
      </c>
      <c r="C11" s="156" t="s">
        <v>373</v>
      </c>
      <c r="D11" s="156" t="s">
        <v>373</v>
      </c>
      <c r="E11" s="164" t="s">
        <v>374</v>
      </c>
      <c r="F11" s="156" t="s">
        <v>666</v>
      </c>
      <c r="G11" s="169" t="str">
        <f xml:space="preserve"> IF([6]十五音音節表!F10&lt;&gt;"", _xlfn.CONCAT(G$4,$E11), "")</f>
        <v>ㄌㄧㆬ</v>
      </c>
      <c r="H11" s="169" t="str">
        <f xml:space="preserve"> IF([6]十五音音節表!G10&lt;&gt;"", _xlfn.CONCAT(H$4,$E11), "")</f>
        <v/>
      </c>
      <c r="I11" s="169" t="str">
        <f xml:space="preserve"> IF([6]十五音音節表!H10&lt;&gt;"", _xlfn.CONCAT(I$4,$E11), "")</f>
        <v/>
      </c>
      <c r="J11" s="169" t="str">
        <f xml:space="preserve"> IF([6]十五音音節表!I10&lt;&gt;"", _xlfn.CONCAT(J$4,$E11), "")</f>
        <v>ㄍㄧㆬ</v>
      </c>
      <c r="K11" s="169" t="str">
        <f xml:space="preserve"> IF([6]十五音音節表!J10&lt;&gt;"", _xlfn.CONCAT(K$4,$E11), "")</f>
        <v>ㄎㄧㆬ</v>
      </c>
      <c r="L11" s="169" t="str">
        <f xml:space="preserve"> IF([6]十五音音節表!K10&lt;&gt;"", _xlfn.CONCAT(L$4,$E11), "")</f>
        <v>ㄉㄧㆬ</v>
      </c>
      <c r="M11" s="169" t="str">
        <f xml:space="preserve"> IF([6]十五音音節表!L10&lt;&gt;"", _xlfn.CONCAT(M$4,$E11), "")</f>
        <v/>
      </c>
      <c r="N11" s="169" t="str">
        <f xml:space="preserve"> IF([6]十五音音節表!M10&lt;&gt;"", _xlfn.CONCAT(N$4,$E11), "")</f>
        <v>ㄊㄧㆬ</v>
      </c>
      <c r="O11" s="169" t="str">
        <f xml:space="preserve"> IF([6]十五音音節表!N10&lt;&gt;"", _xlfn.CONCAT(O$4,$E11), "")</f>
        <v>ㄗㄧㆬ</v>
      </c>
      <c r="P11" s="169" t="str">
        <f xml:space="preserve"> IF([6]十五音音節表!O10&lt;&gt;"", _xlfn.CONCAT(P$4,$E11), "")</f>
        <v>ㆡㄧㆬ</v>
      </c>
      <c r="Q11" s="169" t="str">
        <f xml:space="preserve"> IF([6]十五音音節表!P10&lt;&gt;"", _xlfn.CONCAT(Q$4,$E11), "")</f>
        <v>ㄙㄧㆬ</v>
      </c>
      <c r="R11" s="169" t="str">
        <f xml:space="preserve"> IF([6]十五音音節表!Q10&lt;&gt;"", _xlfn.CONCAT(R$4,$E11), "")</f>
        <v>ㄧㆬ</v>
      </c>
      <c r="S11" s="169" t="str">
        <f xml:space="preserve"> IF([6]十五音音節表!R10&lt;&gt;"", _xlfn.CONCAT(S$4,$E11), "")</f>
        <v/>
      </c>
      <c r="T11" s="169" t="str">
        <f xml:space="preserve"> IF([6]十五音音節表!S10&lt;&gt;"", _xlfn.CONCAT(T$4,$E11), "")</f>
        <v/>
      </c>
      <c r="U11" s="169" t="str">
        <f xml:space="preserve"> IF([6]十五音音節表!T10&lt;&gt;"", _xlfn.CONCAT(U$4,$E11), "")</f>
        <v>ㆣㄧㆬ</v>
      </c>
      <c r="V11" s="169" t="str">
        <f xml:space="preserve"> IF([6]十五音音節表!U10&lt;&gt;"", _xlfn.CONCAT(V$4,$E11), "")</f>
        <v/>
      </c>
      <c r="W11" s="169" t="str">
        <f xml:space="preserve"> IF([6]十五音音節表!V10&lt;&gt;"", _xlfn.CONCAT(W$4,$E11), "")</f>
        <v>ㄘㄧㆬ</v>
      </c>
      <c r="X11" s="169" t="str">
        <f xml:space="preserve"> IF([6]十五音音節表!W10&lt;&gt;"", _xlfn.CONCAT(X$4,$E11), "")</f>
        <v>ㄏㄧㆬ</v>
      </c>
      <c r="Y11" s="164" t="s">
        <v>374</v>
      </c>
      <c r="Z11" s="156" t="s">
        <v>373</v>
      </c>
      <c r="AA11" s="156" t="s">
        <v>666</v>
      </c>
    </row>
    <row r="12" spans="1:27" outlineLevel="1">
      <c r="B12" s="168">
        <v>3</v>
      </c>
      <c r="C12" s="156" t="s">
        <v>898</v>
      </c>
      <c r="D12" s="156" t="s">
        <v>406</v>
      </c>
      <c r="E12" s="164" t="s">
        <v>407</v>
      </c>
      <c r="F12" s="156" t="s">
        <v>673</v>
      </c>
      <c r="G12" s="169" t="str">
        <f xml:space="preserve"> IF([6]十五音音節表!F11&lt;&gt;"", _xlfn.CONCAT(G$4,$E12), "")</f>
        <v>ㄌ一ㆴ</v>
      </c>
      <c r="H12" s="169" t="str">
        <f xml:space="preserve"> IF([6]十五音音節表!G11&lt;&gt;"", _xlfn.CONCAT(H$4,$E12), "")</f>
        <v/>
      </c>
      <c r="I12" s="169" t="str">
        <f xml:space="preserve"> IF([6]十五音音節表!H11&lt;&gt;"", _xlfn.CONCAT(I$4,$E12), "")</f>
        <v/>
      </c>
      <c r="J12" s="169" t="str">
        <f xml:space="preserve"> IF([6]十五音音節表!I11&lt;&gt;"", _xlfn.CONCAT(J$4,$E12), "")</f>
        <v>ㄍ一ㆴ</v>
      </c>
      <c r="K12" s="169" t="str">
        <f xml:space="preserve"> IF([6]十五音音節表!J11&lt;&gt;"", _xlfn.CONCAT(K$4,$E12), "")</f>
        <v>ㄎ一ㆴ</v>
      </c>
      <c r="L12" s="169" t="str">
        <f xml:space="preserve"> IF([6]十五音音節表!K11&lt;&gt;"", _xlfn.CONCAT(L$4,$E12), "")</f>
        <v/>
      </c>
      <c r="M12" s="169" t="str">
        <f xml:space="preserve"> IF([6]十五音音節表!L11&lt;&gt;"", _xlfn.CONCAT(M$4,$E12), "")</f>
        <v/>
      </c>
      <c r="N12" s="169" t="str">
        <f xml:space="preserve"> IF([6]十五音音節表!M11&lt;&gt;"", _xlfn.CONCAT(N$4,$E12), "")</f>
        <v/>
      </c>
      <c r="O12" s="169" t="str">
        <f xml:space="preserve"> IF([6]十五音音節表!N11&lt;&gt;"", _xlfn.CONCAT(O$4,$E12), "")</f>
        <v>ㄗ一ㆴ</v>
      </c>
      <c r="P12" s="169" t="str">
        <f xml:space="preserve"> IF([6]十五音音節表!O11&lt;&gt;"", _xlfn.CONCAT(P$4,$E12), "")</f>
        <v>ㆡ一ㆴ</v>
      </c>
      <c r="Q12" s="169" t="str">
        <f xml:space="preserve"> IF([6]十五音音節表!P11&lt;&gt;"", _xlfn.CONCAT(Q$4,$E12), "")</f>
        <v>ㄙ一ㆴ</v>
      </c>
      <c r="R12" s="169" t="str">
        <f xml:space="preserve"> IF([6]十五音音節表!Q11&lt;&gt;"", _xlfn.CONCAT(R$4,$E12), "")</f>
        <v>一ㆴ</v>
      </c>
      <c r="S12" s="169" t="str">
        <f xml:space="preserve"> IF([6]十五音音節表!R11&lt;&gt;"", _xlfn.CONCAT(S$4,$E12), "")</f>
        <v/>
      </c>
      <c r="T12" s="169" t="str">
        <f xml:space="preserve"> IF([6]十五音音節表!S11&lt;&gt;"", _xlfn.CONCAT(T$4,$E12), "")</f>
        <v/>
      </c>
      <c r="U12" s="169" t="str">
        <f xml:space="preserve"> IF([6]十五音音節表!T11&lt;&gt;"", _xlfn.CONCAT(U$4,$E12), "")</f>
        <v/>
      </c>
      <c r="V12" s="169" t="str">
        <f xml:space="preserve"> IF([6]十五音音節表!U11&lt;&gt;"", _xlfn.CONCAT(V$4,$E12), "")</f>
        <v/>
      </c>
      <c r="W12" s="169" t="str">
        <f xml:space="preserve"> IF([6]十五音音節表!V11&lt;&gt;"", _xlfn.CONCAT(W$4,$E12), "")</f>
        <v>ㄘ一ㆴ</v>
      </c>
      <c r="X12" s="169" t="str">
        <f xml:space="preserve"> IF([6]十五音音節表!W11&lt;&gt;"", _xlfn.CONCAT(X$4,$E12), "")</f>
        <v>ㄏ一ㆴ</v>
      </c>
      <c r="Y12" s="164" t="s">
        <v>407</v>
      </c>
      <c r="Z12" s="156" t="s">
        <v>406</v>
      </c>
      <c r="AA12" s="156" t="s">
        <v>673</v>
      </c>
    </row>
    <row r="13" spans="1:27">
      <c r="B13" s="168">
        <v>4</v>
      </c>
      <c r="C13" s="156" t="s">
        <v>555</v>
      </c>
      <c r="D13" s="156" t="s">
        <v>555</v>
      </c>
      <c r="E13" s="164" t="s">
        <v>556</v>
      </c>
      <c r="F13" s="156" t="s">
        <v>707</v>
      </c>
      <c r="G13" s="169" t="str">
        <f xml:space="preserve"> IF([6]十五音音節表!F12&lt;&gt;"", _xlfn.CONCAT(G$4,$E13), "")</f>
        <v>ㄌㄨㄧ</v>
      </c>
      <c r="H13" s="169" t="str">
        <f xml:space="preserve"> IF([6]十五音音節表!G12&lt;&gt;"", _xlfn.CONCAT(H$4,$E13), "")</f>
        <v/>
      </c>
      <c r="I13" s="169" t="str">
        <f xml:space="preserve"> IF([6]十五音音節表!H12&lt;&gt;"", _xlfn.CONCAT(I$4,$E13), "")</f>
        <v>ㄅㄨㄧ</v>
      </c>
      <c r="J13" s="169" t="str">
        <f xml:space="preserve"> IF([6]十五音音節表!I12&lt;&gt;"", _xlfn.CONCAT(J$4,$E13), "")</f>
        <v>ㄍㄨㄧ</v>
      </c>
      <c r="K13" s="169" t="str">
        <f xml:space="preserve"> IF([6]十五音音節表!J12&lt;&gt;"", _xlfn.CONCAT(K$4,$E13), "")</f>
        <v>ㄎㄨㄧ</v>
      </c>
      <c r="L13" s="169" t="str">
        <f xml:space="preserve"> IF([6]十五音音節表!K12&lt;&gt;"", _xlfn.CONCAT(L$4,$E13), "")</f>
        <v>ㄉㄨㄧ</v>
      </c>
      <c r="M13" s="169" t="str">
        <f xml:space="preserve"> IF([6]十五音音節表!L12&lt;&gt;"", _xlfn.CONCAT(M$4,$E13), "")</f>
        <v>ㄆㄨㄧ</v>
      </c>
      <c r="N13" s="169" t="str">
        <f xml:space="preserve"> IF([6]十五音音節表!M12&lt;&gt;"", _xlfn.CONCAT(N$4,$E13), "")</f>
        <v>ㄊㄨㄧ</v>
      </c>
      <c r="O13" s="169" t="str">
        <f xml:space="preserve"> IF([6]十五音音節表!N12&lt;&gt;"", _xlfn.CONCAT(O$4,$E13), "")</f>
        <v>ㄗㄨㄧ</v>
      </c>
      <c r="P13" s="169" t="str">
        <f xml:space="preserve"> IF([6]十五音音節表!O12&lt;&gt;"", _xlfn.CONCAT(P$4,$E13), "")</f>
        <v/>
      </c>
      <c r="Q13" s="169" t="str">
        <f xml:space="preserve"> IF([6]十五音音節表!P12&lt;&gt;"", _xlfn.CONCAT(Q$4,$E13), "")</f>
        <v>ㄙㄨㄧ</v>
      </c>
      <c r="R13" s="169" t="str">
        <f xml:space="preserve"> IF([6]十五音音節表!Q12&lt;&gt;"", _xlfn.CONCAT(R$4,$E13), "")</f>
        <v>ㄨㄧ</v>
      </c>
      <c r="S13" s="169" t="str">
        <f xml:space="preserve"> IF([6]十五音音節表!R12&lt;&gt;"", _xlfn.CONCAT(S$4,$E13), "")</f>
        <v>ㆠㄨㄧ</v>
      </c>
      <c r="T13" s="169" t="str">
        <f xml:space="preserve"> IF([6]十五音音節表!S12&lt;&gt;"", _xlfn.CONCAT(T$4,$E13), "")</f>
        <v>ㄇㄨㄧ</v>
      </c>
      <c r="U13" s="169" t="str">
        <f xml:space="preserve"> IF([6]十五音音節表!T12&lt;&gt;"", _xlfn.CONCAT(U$4,$E13), "")</f>
        <v>ㆣㄨㄧ</v>
      </c>
      <c r="V13" s="169" t="str">
        <f xml:space="preserve"> IF([6]十五音音節表!U12&lt;&gt;"", _xlfn.CONCAT(V$4,$E13), "")</f>
        <v/>
      </c>
      <c r="W13" s="169" t="str">
        <f xml:space="preserve"> IF([6]十五音音節表!V12&lt;&gt;"", _xlfn.CONCAT(W$4,$E13), "")</f>
        <v>ㄘㄨㄧ</v>
      </c>
      <c r="X13" s="169" t="str">
        <f xml:space="preserve"> IF([6]十五音音節表!W12&lt;&gt;"", _xlfn.CONCAT(X$4,$E13), "")</f>
        <v>ㄏㄨㄧ</v>
      </c>
      <c r="Y13" s="164" t="s">
        <v>556</v>
      </c>
      <c r="Z13" s="156" t="s">
        <v>555</v>
      </c>
      <c r="AA13" s="156" t="s">
        <v>707</v>
      </c>
    </row>
    <row r="14" spans="1:27">
      <c r="B14" s="168">
        <v>5</v>
      </c>
      <c r="C14" s="170" t="s">
        <v>899</v>
      </c>
      <c r="D14" s="156" t="s">
        <v>900</v>
      </c>
      <c r="E14" s="164" t="s">
        <v>292</v>
      </c>
      <c r="F14" s="171" t="s">
        <v>645</v>
      </c>
      <c r="G14" s="172" t="str">
        <f xml:space="preserve"> IF([6]十五音音節表!F11&lt;&gt;"", _xlfn.CONCAT(G$4,$E14), "")</f>
        <v>ㄌㄝ</v>
      </c>
      <c r="H14" s="172" t="str">
        <f xml:space="preserve"> IF([6]十五音音節表!G11&lt;&gt;"", _xlfn.CONCAT(H$4,$E14), "")</f>
        <v/>
      </c>
      <c r="I14" s="172" t="str">
        <f xml:space="preserve"> IF([6]十五音音節表!H11&lt;&gt;"", _xlfn.CONCAT(I$4,$E14), "")</f>
        <v/>
      </c>
      <c r="J14" s="172" t="str">
        <f xml:space="preserve"> IF([6]十五音音節表!I11&lt;&gt;"", _xlfn.CONCAT(J$4,$E14), "")</f>
        <v>ㄍㄝ</v>
      </c>
      <c r="K14" s="172" t="str">
        <f xml:space="preserve"> IF([6]十五音音節表!J11&lt;&gt;"", _xlfn.CONCAT(K$4,$E14), "")</f>
        <v>ㄎㄝ</v>
      </c>
      <c r="L14" s="172" t="str">
        <f xml:space="preserve"> IF([6]十五音音節表!K11&lt;&gt;"", _xlfn.CONCAT(L$4,$E14), "")</f>
        <v/>
      </c>
      <c r="M14" s="172" t="str">
        <f xml:space="preserve"> IF([6]十五音音節表!L11&lt;&gt;"", _xlfn.CONCAT(M$4,$E14), "")</f>
        <v/>
      </c>
      <c r="N14" s="172" t="str">
        <f xml:space="preserve"> IF([6]十五音音節表!M11&lt;&gt;"", _xlfn.CONCAT(N$4,$E14), "")</f>
        <v/>
      </c>
      <c r="O14" s="172" t="str">
        <f xml:space="preserve"> IF([6]十五音音節表!N11&lt;&gt;"", _xlfn.CONCAT(O$4,$E14), "")</f>
        <v>ㄗㄝ</v>
      </c>
      <c r="P14" s="172" t="str">
        <f xml:space="preserve"> IF([6]十五音音節表!O11&lt;&gt;"", _xlfn.CONCAT(P$4,$E14), "")</f>
        <v>ㆡㄝ</v>
      </c>
      <c r="Q14" s="172" t="str">
        <f xml:space="preserve"> IF([6]十五音音節表!P11&lt;&gt;"", _xlfn.CONCAT(Q$4,$E14), "")</f>
        <v>ㄙㄝ</v>
      </c>
      <c r="R14" s="172" t="str">
        <f xml:space="preserve"> IF([6]十五音音節表!Q11&lt;&gt;"", _xlfn.CONCAT(R$4,$E14), "")</f>
        <v>ㄝ</v>
      </c>
      <c r="S14" s="172" t="str">
        <f xml:space="preserve"> IF([6]十五音音節表!R11&lt;&gt;"", _xlfn.CONCAT(S$4,$E14), "")</f>
        <v/>
      </c>
      <c r="T14" s="172" t="str">
        <f xml:space="preserve"> IF([6]十五音音節表!S11&lt;&gt;"", _xlfn.CONCAT(T$4,$E14), "")</f>
        <v/>
      </c>
      <c r="U14" s="172" t="str">
        <f xml:space="preserve"> IF([6]十五音音節表!T11&lt;&gt;"", _xlfn.CONCAT(U$4,$E14), "")</f>
        <v/>
      </c>
      <c r="V14" s="172" t="str">
        <f xml:space="preserve"> IF([6]十五音音節表!U11&lt;&gt;"", _xlfn.CONCAT(V$4,$E14), "")</f>
        <v/>
      </c>
      <c r="W14" s="172" t="str">
        <f xml:space="preserve"> IF([6]十五音音節表!V11&lt;&gt;"", _xlfn.CONCAT(W$4,$E14), "")</f>
        <v>ㄘㄝ</v>
      </c>
      <c r="X14" s="172" t="str">
        <f xml:space="preserve"> IF([6]十五音音節表!W11&lt;&gt;"", _xlfn.CONCAT(X$4,$E14), "")</f>
        <v>ㄏㄝ</v>
      </c>
      <c r="Y14" s="164" t="s">
        <v>256</v>
      </c>
      <c r="Z14" s="156" t="s">
        <v>255</v>
      </c>
      <c r="AA14" s="156" t="s">
        <v>636</v>
      </c>
    </row>
    <row r="15" spans="1:27" outlineLevel="1">
      <c r="B15" s="168">
        <v>5</v>
      </c>
      <c r="C15" s="156" t="s">
        <v>901</v>
      </c>
      <c r="D15" s="156" t="s">
        <v>902</v>
      </c>
      <c r="E15" s="164" t="s">
        <v>893</v>
      </c>
      <c r="F15" s="171" t="s">
        <v>646</v>
      </c>
      <c r="G15" s="172" t="str">
        <f xml:space="preserve"> IF([6]十五音音節表!F12&lt;&gt;"", _xlfn.CONCAT(G$4,$E15), "")</f>
        <v>ㄌㄝㆷ</v>
      </c>
      <c r="H15" s="172" t="str">
        <f xml:space="preserve"> IF([6]十五音音節表!G12&lt;&gt;"", _xlfn.CONCAT(H$4,$E15), "")</f>
        <v/>
      </c>
      <c r="I15" s="172" t="str">
        <f xml:space="preserve"> IF([6]十五音音節表!H12&lt;&gt;"", _xlfn.CONCAT(I$4,$E15), "")</f>
        <v>ㄅㄝㆷ</v>
      </c>
      <c r="J15" s="172" t="str">
        <f xml:space="preserve"> IF([6]十五音音節表!I12&lt;&gt;"", _xlfn.CONCAT(J$4,$E15), "")</f>
        <v>ㄍㄝㆷ</v>
      </c>
      <c r="K15" s="172" t="str">
        <f xml:space="preserve"> IF([6]十五音音節表!J12&lt;&gt;"", _xlfn.CONCAT(K$4,$E15), "")</f>
        <v>ㄎㄝㆷ</v>
      </c>
      <c r="L15" s="172" t="str">
        <f xml:space="preserve"> IF([6]十五音音節表!K12&lt;&gt;"", _xlfn.CONCAT(L$4,$E15), "")</f>
        <v>ㄉㄝㆷ</v>
      </c>
      <c r="M15" s="172" t="str">
        <f xml:space="preserve"> IF([6]十五音音節表!L12&lt;&gt;"", _xlfn.CONCAT(M$4,$E15), "")</f>
        <v>ㄆㄝㆷ</v>
      </c>
      <c r="N15" s="172" t="str">
        <f xml:space="preserve"> IF([6]十五音音節表!M12&lt;&gt;"", _xlfn.CONCAT(N$4,$E15), "")</f>
        <v>ㄊㄝㆷ</v>
      </c>
      <c r="O15" s="172" t="str">
        <f xml:space="preserve"> IF([6]十五音音節表!N12&lt;&gt;"", _xlfn.CONCAT(O$4,$E15), "")</f>
        <v>ㄗㄝㆷ</v>
      </c>
      <c r="P15" s="172" t="str">
        <f xml:space="preserve"> IF([6]十五音音節表!O12&lt;&gt;"", _xlfn.CONCAT(P$4,$E15), "")</f>
        <v/>
      </c>
      <c r="Q15" s="172" t="str">
        <f xml:space="preserve"> IF([6]十五音音節表!P12&lt;&gt;"", _xlfn.CONCAT(Q$4,$E15), "")</f>
        <v>ㄙㄝㆷ</v>
      </c>
      <c r="R15" s="172" t="str">
        <f xml:space="preserve"> IF([6]十五音音節表!Q12&lt;&gt;"", _xlfn.CONCAT(R$4,$E15), "")</f>
        <v>ㄝㆷ</v>
      </c>
      <c r="S15" s="172" t="str">
        <f xml:space="preserve"> IF([6]十五音音節表!R12&lt;&gt;"", _xlfn.CONCAT(S$4,$E15), "")</f>
        <v>ㆠㄝㆷ</v>
      </c>
      <c r="T15" s="172" t="str">
        <f xml:space="preserve"> IF([6]十五音音節表!S12&lt;&gt;"", _xlfn.CONCAT(T$4,$E15), "")</f>
        <v>ㄇㄝㆷ</v>
      </c>
      <c r="U15" s="172" t="str">
        <f xml:space="preserve"> IF([6]十五音音節表!T12&lt;&gt;"", _xlfn.CONCAT(U$4,$E15), "")</f>
        <v>ㆣㄝㆷ</v>
      </c>
      <c r="V15" s="172" t="str">
        <f xml:space="preserve"> IF([6]十五音音節表!U12&lt;&gt;"", _xlfn.CONCAT(V$4,$E15), "")</f>
        <v/>
      </c>
      <c r="W15" s="172" t="str">
        <f xml:space="preserve"> IF([6]十五音音節表!V12&lt;&gt;"", _xlfn.CONCAT(W$4,$E15), "")</f>
        <v>ㄘㄝㆷ</v>
      </c>
      <c r="X15" s="172" t="str">
        <f xml:space="preserve"> IF([6]十五音音節表!W12&lt;&gt;"", _xlfn.CONCAT(X$4,$E15), "")</f>
        <v>ㄏㄝㆷ</v>
      </c>
      <c r="Y15" s="164" t="s">
        <v>279</v>
      </c>
      <c r="Z15" s="156" t="s">
        <v>278</v>
      </c>
      <c r="AA15" s="156" t="s">
        <v>641</v>
      </c>
    </row>
    <row r="16" spans="1:27">
      <c r="B16" s="168">
        <v>6</v>
      </c>
      <c r="C16" s="156" t="s">
        <v>255</v>
      </c>
      <c r="D16" s="156" t="s">
        <v>255</v>
      </c>
      <c r="E16" s="164" t="s">
        <v>256</v>
      </c>
      <c r="F16" s="156" t="s">
        <v>636</v>
      </c>
      <c r="G16" s="169" t="str">
        <f xml:space="preserve"> IF([6]十五音音節表!F13&lt;&gt;"", _xlfn.CONCAT(G$4,$E16), "")</f>
        <v>ㄌㄢ</v>
      </c>
      <c r="H16" s="169" t="str">
        <f xml:space="preserve"> IF([6]十五音音節表!G13&lt;&gt;"", _xlfn.CONCAT(H$4,$E16), "")</f>
        <v/>
      </c>
      <c r="I16" s="169" t="str">
        <f xml:space="preserve"> IF([6]十五音音節表!H13&lt;&gt;"", _xlfn.CONCAT(I$4,$E16), "")</f>
        <v>ㄅㄢ</v>
      </c>
      <c r="J16" s="169" t="str">
        <f xml:space="preserve"> IF([6]十五音音節表!I13&lt;&gt;"", _xlfn.CONCAT(J$4,$E16), "")</f>
        <v>ㄍㄢ</v>
      </c>
      <c r="K16" s="169" t="str">
        <f xml:space="preserve"> IF([6]十五音音節表!J13&lt;&gt;"", _xlfn.CONCAT(K$4,$E16), "")</f>
        <v>ㄎㄢ</v>
      </c>
      <c r="L16" s="169" t="str">
        <f xml:space="preserve"> IF([6]十五音音節表!K13&lt;&gt;"", _xlfn.CONCAT(L$4,$E16), "")</f>
        <v>ㄉㄢ</v>
      </c>
      <c r="M16" s="169" t="str">
        <f xml:space="preserve"> IF([6]十五音音節表!L13&lt;&gt;"", _xlfn.CONCAT(M$4,$E16), "")</f>
        <v>ㄆㄢ</v>
      </c>
      <c r="N16" s="169" t="str">
        <f xml:space="preserve"> IF([6]十五音音節表!M13&lt;&gt;"", _xlfn.CONCAT(N$4,$E16), "")</f>
        <v>ㄊㄢ</v>
      </c>
      <c r="O16" s="169" t="str">
        <f xml:space="preserve"> IF([6]十五音音節表!N13&lt;&gt;"", _xlfn.CONCAT(O$4,$E16), "")</f>
        <v>ㄗㄢ</v>
      </c>
      <c r="P16" s="169" t="str">
        <f xml:space="preserve"> IF([6]十五音音節表!O13&lt;&gt;"", _xlfn.CONCAT(P$4,$E16), "")</f>
        <v/>
      </c>
      <c r="Q16" s="169" t="str">
        <f xml:space="preserve"> IF([6]十五音音節表!P13&lt;&gt;"", _xlfn.CONCAT(Q$4,$E16), "")</f>
        <v>ㄙㄢ</v>
      </c>
      <c r="R16" s="169" t="str">
        <f xml:space="preserve"> IF([6]十五音音節表!Q13&lt;&gt;"", _xlfn.CONCAT(R$4,$E16), "")</f>
        <v>ㄢ</v>
      </c>
      <c r="S16" s="169" t="str">
        <f xml:space="preserve"> IF([6]十五音音節表!R13&lt;&gt;"", _xlfn.CONCAT(S$4,$E16), "")</f>
        <v>ㆠㄢ</v>
      </c>
      <c r="T16" s="169" t="str">
        <f xml:space="preserve"> IF([6]十五音音節表!S13&lt;&gt;"", _xlfn.CONCAT(T$4,$E16), "")</f>
        <v/>
      </c>
      <c r="U16" s="169" t="str">
        <f xml:space="preserve"> IF([6]十五音音節表!T13&lt;&gt;"", _xlfn.CONCAT(U$4,$E16), "")</f>
        <v>ㆣㄢ</v>
      </c>
      <c r="V16" s="169" t="str">
        <f xml:space="preserve"> IF([6]十五音音節表!U13&lt;&gt;"", _xlfn.CONCAT(V$4,$E16), "")</f>
        <v/>
      </c>
      <c r="W16" s="169" t="str">
        <f xml:space="preserve"> IF([6]十五音音節表!V13&lt;&gt;"", _xlfn.CONCAT(W$4,$E16), "")</f>
        <v>ㄘㄢ</v>
      </c>
      <c r="X16" s="169" t="str">
        <f xml:space="preserve"> IF([6]十五音音節表!W13&lt;&gt;"", _xlfn.CONCAT(X$4,$E16), "")</f>
        <v>ㄏㄢ</v>
      </c>
      <c r="Y16" s="164" t="s">
        <v>256</v>
      </c>
      <c r="Z16" s="156" t="s">
        <v>255</v>
      </c>
      <c r="AA16" s="156" t="s">
        <v>636</v>
      </c>
    </row>
    <row r="17" spans="2:27" outlineLevel="1">
      <c r="B17" s="168">
        <v>6</v>
      </c>
      <c r="C17" s="156" t="s">
        <v>903</v>
      </c>
      <c r="D17" s="156" t="s">
        <v>278</v>
      </c>
      <c r="E17" s="164" t="s">
        <v>279</v>
      </c>
      <c r="F17" s="156" t="s">
        <v>641</v>
      </c>
      <c r="G17" s="169" t="str">
        <f xml:space="preserve"> IF([6]十五音音節表!F14&lt;&gt;"", _xlfn.CONCAT(G$4,$E17), "")</f>
        <v>ㄌㄚㆵ</v>
      </c>
      <c r="H17" s="169" t="str">
        <f xml:space="preserve"> IF([6]十五音音節表!G14&lt;&gt;"", _xlfn.CONCAT(H$4,$E17), "")</f>
        <v/>
      </c>
      <c r="I17" s="169" t="str">
        <f xml:space="preserve"> IF([6]十五音音節表!H14&lt;&gt;"", _xlfn.CONCAT(I$4,$E17), "")</f>
        <v>ㄅㄚㆵ</v>
      </c>
      <c r="J17" s="169" t="str">
        <f xml:space="preserve"> IF([6]十五音音節表!I14&lt;&gt;"", _xlfn.CONCAT(J$4,$E17), "")</f>
        <v>ㄍㄚㆵ</v>
      </c>
      <c r="K17" s="169" t="str">
        <f xml:space="preserve"> IF([6]十五音音節表!J14&lt;&gt;"", _xlfn.CONCAT(K$4,$E17), "")</f>
        <v>ㄎㄚㆵ</v>
      </c>
      <c r="L17" s="169" t="str">
        <f xml:space="preserve"> IF([6]十五音音節表!K14&lt;&gt;"", _xlfn.CONCAT(L$4,$E17), "")</f>
        <v>ㄉㄚㆵ</v>
      </c>
      <c r="M17" s="169" t="str">
        <f xml:space="preserve"> IF([6]十五音音節表!L14&lt;&gt;"", _xlfn.CONCAT(M$4,$E17), "")</f>
        <v/>
      </c>
      <c r="N17" s="169" t="str">
        <f xml:space="preserve"> IF([6]十五音音節表!M14&lt;&gt;"", _xlfn.CONCAT(N$4,$E17), "")</f>
        <v>ㄊㄚㆵ</v>
      </c>
      <c r="O17" s="169" t="str">
        <f xml:space="preserve"> IF([6]十五音音節表!N14&lt;&gt;"", _xlfn.CONCAT(O$4,$E17), "")</f>
        <v>ㄗㄚㆵ</v>
      </c>
      <c r="P17" s="169" t="str">
        <f xml:space="preserve"> IF([6]十五音音節表!O14&lt;&gt;"", _xlfn.CONCAT(P$4,$E17), "")</f>
        <v/>
      </c>
      <c r="Q17" s="169" t="str">
        <f xml:space="preserve"> IF([6]十五音音節表!P14&lt;&gt;"", _xlfn.CONCAT(Q$4,$E17), "")</f>
        <v>ㄙㄚㆵ</v>
      </c>
      <c r="R17" s="169" t="str">
        <f xml:space="preserve"> IF([6]十五音音節表!Q14&lt;&gt;"", _xlfn.CONCAT(R$4,$E17), "")</f>
        <v>ㄚㆵ</v>
      </c>
      <c r="S17" s="169" t="str">
        <f xml:space="preserve"> IF([6]十五音音節表!R14&lt;&gt;"", _xlfn.CONCAT(S$4,$E17), "")</f>
        <v>ㆠㄚㆵ</v>
      </c>
      <c r="T17" s="169" t="str">
        <f xml:space="preserve"> IF([6]十五音音節表!S14&lt;&gt;"", _xlfn.CONCAT(T$4,$E17), "")</f>
        <v/>
      </c>
      <c r="U17" s="169" t="str">
        <f xml:space="preserve"> IF([6]十五音音節表!T14&lt;&gt;"", _xlfn.CONCAT(U$4,$E17), "")</f>
        <v/>
      </c>
      <c r="V17" s="169" t="str">
        <f xml:space="preserve"> IF([6]十五音音節表!U14&lt;&gt;"", _xlfn.CONCAT(V$4,$E17), "")</f>
        <v/>
      </c>
      <c r="W17" s="169" t="str">
        <f xml:space="preserve"> IF([6]十五音音節表!V14&lt;&gt;"", _xlfn.CONCAT(W$4,$E17), "")</f>
        <v>ㄘㄚㆵ</v>
      </c>
      <c r="X17" s="169" t="str">
        <f xml:space="preserve"> IF([6]十五音音節表!W14&lt;&gt;"", _xlfn.CONCAT(X$4,$E17), "")</f>
        <v>ㄏㄚㆵ</v>
      </c>
      <c r="Y17" s="164" t="s">
        <v>279</v>
      </c>
      <c r="Z17" s="156" t="s">
        <v>278</v>
      </c>
      <c r="AA17" s="156" t="s">
        <v>641</v>
      </c>
    </row>
    <row r="18" spans="2:27">
      <c r="B18" s="168">
        <v>7</v>
      </c>
      <c r="C18" s="156" t="s">
        <v>904</v>
      </c>
      <c r="D18" s="156" t="s">
        <v>461</v>
      </c>
      <c r="E18" s="164" t="s">
        <v>462</v>
      </c>
      <c r="F18" s="156" t="s">
        <v>687</v>
      </c>
      <c r="G18" s="169" t="str">
        <f xml:space="preserve"> IF([6]十五音音節表!F15&lt;&gt;"", _xlfn.CONCAT(G$4,$E18), "")</f>
        <v>ㄌㆲ</v>
      </c>
      <c r="H18" s="169" t="str">
        <f xml:space="preserve"> IF([6]十五音音節表!G15&lt;&gt;"", _xlfn.CONCAT(H$4,$E18), "")</f>
        <v/>
      </c>
      <c r="I18" s="169" t="str">
        <f xml:space="preserve"> IF([6]十五音音節表!H15&lt;&gt;"", _xlfn.CONCAT(I$4,$E18), "")</f>
        <v>ㄅㆲ</v>
      </c>
      <c r="J18" s="169" t="str">
        <f xml:space="preserve"> IF([6]十五音音節表!I15&lt;&gt;"", _xlfn.CONCAT(J$4,$E18), "")</f>
        <v>ㄍㆲ</v>
      </c>
      <c r="K18" s="169" t="str">
        <f xml:space="preserve"> IF([6]十五音音節表!J15&lt;&gt;"", _xlfn.CONCAT(K$4,$E18), "")</f>
        <v>ㄎㆲ</v>
      </c>
      <c r="L18" s="169" t="str">
        <f xml:space="preserve"> IF([6]十五音音節表!K15&lt;&gt;"", _xlfn.CONCAT(L$4,$E18), "")</f>
        <v>ㄉㆲ</v>
      </c>
      <c r="M18" s="169" t="str">
        <f xml:space="preserve"> IF([6]十五音音節表!L15&lt;&gt;"", _xlfn.CONCAT(M$4,$E18), "")</f>
        <v>ㄆㆲ</v>
      </c>
      <c r="N18" s="169" t="str">
        <f xml:space="preserve"> IF([6]十五音音節表!M15&lt;&gt;"", _xlfn.CONCAT(N$4,$E18), "")</f>
        <v>ㄊㆲ</v>
      </c>
      <c r="O18" s="169" t="str">
        <f xml:space="preserve"> IF([6]十五音音節表!N15&lt;&gt;"", _xlfn.CONCAT(O$4,$E18), "")</f>
        <v>ㄗㆲ</v>
      </c>
      <c r="P18" s="169" t="str">
        <f xml:space="preserve"> IF([6]十五音音節表!O15&lt;&gt;"", _xlfn.CONCAT(P$4,$E18), "")</f>
        <v/>
      </c>
      <c r="Q18" s="169" t="str">
        <f xml:space="preserve"> IF([6]十五音音節表!P15&lt;&gt;"", _xlfn.CONCAT(Q$4,$E18), "")</f>
        <v>ㄙㆲ</v>
      </c>
      <c r="R18" s="169" t="str">
        <f xml:space="preserve"> IF([6]十五音音節表!Q15&lt;&gt;"", _xlfn.CONCAT(R$4,$E18), "")</f>
        <v>ㆲ</v>
      </c>
      <c r="S18" s="169" t="str">
        <f xml:space="preserve"> IF([6]十五音音節表!R15&lt;&gt;"", _xlfn.CONCAT(S$4,$E18), "")</f>
        <v>ㆠㆲ</v>
      </c>
      <c r="T18" s="169" t="str">
        <f xml:space="preserve"> IF([6]十五音音節表!S15&lt;&gt;"", _xlfn.CONCAT(T$4,$E18), "")</f>
        <v/>
      </c>
      <c r="U18" s="169" t="str">
        <f xml:space="preserve"> IF([6]十五音音節表!T15&lt;&gt;"", _xlfn.CONCAT(U$4,$E18), "")</f>
        <v>ㆣㆲ</v>
      </c>
      <c r="V18" s="169" t="str">
        <f xml:space="preserve"> IF([6]十五音音節表!U15&lt;&gt;"", _xlfn.CONCAT(V$4,$E18), "")</f>
        <v/>
      </c>
      <c r="W18" s="169" t="str">
        <f xml:space="preserve"> IF([6]十五音音節表!V15&lt;&gt;"", _xlfn.CONCAT(W$4,$E18), "")</f>
        <v>ㄘㆲ</v>
      </c>
      <c r="X18" s="169" t="str">
        <f xml:space="preserve"> IF([6]十五音音節表!W15&lt;&gt;"", _xlfn.CONCAT(X$4,$E18), "")</f>
        <v>ㄏㆲ</v>
      </c>
      <c r="Y18" s="164" t="s">
        <v>462</v>
      </c>
      <c r="Z18" s="156" t="s">
        <v>461</v>
      </c>
      <c r="AA18" s="156" t="s">
        <v>687</v>
      </c>
    </row>
    <row r="19" spans="2:27" outlineLevel="1">
      <c r="B19" s="168">
        <v>7</v>
      </c>
      <c r="C19" s="156" t="s">
        <v>905</v>
      </c>
      <c r="D19" s="156" t="s">
        <v>454</v>
      </c>
      <c r="E19" s="164" t="s">
        <v>455</v>
      </c>
      <c r="F19" s="156" t="s">
        <v>685</v>
      </c>
      <c r="G19" s="169" t="str">
        <f xml:space="preserve"> IF([6]十五音音節表!F16&lt;&gt;"", _xlfn.CONCAT(G$4,$E19), "")</f>
        <v>ㄌㆦㆻ</v>
      </c>
      <c r="H19" s="169" t="str">
        <f xml:space="preserve"> IF([6]十五音音節表!G16&lt;&gt;"", _xlfn.CONCAT(H$4,$E19), "")</f>
        <v/>
      </c>
      <c r="I19" s="169" t="str">
        <f xml:space="preserve"> IF([6]十五音音節表!H16&lt;&gt;"", _xlfn.CONCAT(I$4,$E19), "")</f>
        <v>ㄅㆦㆻ</v>
      </c>
      <c r="J19" s="169" t="str">
        <f xml:space="preserve"> IF([6]十五音音節表!I16&lt;&gt;"", _xlfn.CONCAT(J$4,$E19), "")</f>
        <v>ㄍㆦㆻ</v>
      </c>
      <c r="K19" s="169" t="str">
        <f xml:space="preserve"> IF([6]十五音音節表!J16&lt;&gt;"", _xlfn.CONCAT(K$4,$E19), "")</f>
        <v>ㄎㆦㆻ</v>
      </c>
      <c r="L19" s="169" t="str">
        <f xml:space="preserve"> IF([6]十五音音節表!K16&lt;&gt;"", _xlfn.CONCAT(L$4,$E19), "")</f>
        <v>ㄉㆦㆻ</v>
      </c>
      <c r="M19" s="169" t="str">
        <f xml:space="preserve"> IF([6]十五音音節表!L16&lt;&gt;"", _xlfn.CONCAT(M$4,$E19), "")</f>
        <v>ㄆㆦㆻ</v>
      </c>
      <c r="N19" s="169" t="str">
        <f xml:space="preserve"> IF([6]十五音音節表!M16&lt;&gt;"", _xlfn.CONCAT(N$4,$E19), "")</f>
        <v>ㄊㆦㆻ</v>
      </c>
      <c r="O19" s="169" t="str">
        <f xml:space="preserve"> IF([6]十五音音節表!N16&lt;&gt;"", _xlfn.CONCAT(O$4,$E19), "")</f>
        <v>ㄗㆦㆻ</v>
      </c>
      <c r="P19" s="169" t="str">
        <f xml:space="preserve"> IF([6]十五音音節表!O16&lt;&gt;"", _xlfn.CONCAT(P$4,$E19), "")</f>
        <v/>
      </c>
      <c r="Q19" s="169" t="str">
        <f xml:space="preserve"> IF([6]十五音音節表!P16&lt;&gt;"", _xlfn.CONCAT(Q$4,$E19), "")</f>
        <v>ㄙㆦㆻ</v>
      </c>
      <c r="R19" s="169" t="str">
        <f xml:space="preserve"> IF([6]十五音音節表!Q16&lt;&gt;"", _xlfn.CONCAT(R$4,$E19), "")</f>
        <v>ㆦㆻ</v>
      </c>
      <c r="S19" s="169" t="str">
        <f xml:space="preserve"> IF([6]十五音音節表!R16&lt;&gt;"", _xlfn.CONCAT(S$4,$E19), "")</f>
        <v>ㆠㆦㆻ</v>
      </c>
      <c r="T19" s="169" t="str">
        <f xml:space="preserve"> IF([6]十五音音節表!S16&lt;&gt;"", _xlfn.CONCAT(T$4,$E19), "")</f>
        <v/>
      </c>
      <c r="U19" s="169" t="str">
        <f xml:space="preserve"> IF([6]十五音音節表!T16&lt;&gt;"", _xlfn.CONCAT(U$4,$E19), "")</f>
        <v>ㆣㆦㆻ</v>
      </c>
      <c r="V19" s="169" t="str">
        <f xml:space="preserve"> IF([6]十五音音節表!U16&lt;&gt;"", _xlfn.CONCAT(V$4,$E19), "")</f>
        <v/>
      </c>
      <c r="W19" s="169" t="str">
        <f xml:space="preserve"> IF([6]十五音音節表!V16&lt;&gt;"", _xlfn.CONCAT(W$4,$E19), "")</f>
        <v>ㄘㆦㆻ</v>
      </c>
      <c r="X19" s="169" t="str">
        <f xml:space="preserve"> IF([6]十五音音節表!W16&lt;&gt;"", _xlfn.CONCAT(X$4,$E19), "")</f>
        <v>ㄏㆦㆻ</v>
      </c>
      <c r="Y19" s="164" t="s">
        <v>455</v>
      </c>
      <c r="Z19" s="156" t="s">
        <v>454</v>
      </c>
      <c r="AA19" s="156" t="s">
        <v>685</v>
      </c>
    </row>
    <row r="20" spans="2:27">
      <c r="B20" s="168">
        <v>8</v>
      </c>
      <c r="C20" s="156" t="s">
        <v>501</v>
      </c>
      <c r="D20" s="156" t="s">
        <v>501</v>
      </c>
      <c r="E20" s="164" t="s">
        <v>503</v>
      </c>
      <c r="F20" s="156" t="s">
        <v>696</v>
      </c>
      <c r="G20" s="169" t="str">
        <f xml:space="preserve"> IF([6]十五音音節表!F17&lt;&gt;"", _xlfn.CONCAT(G$4,$E20), "")</f>
        <v/>
      </c>
      <c r="H20" s="169" t="str">
        <f xml:space="preserve"> IF([6]十五音音節表!G17&lt;&gt;"", _xlfn.CONCAT(H$4,$E20), "")</f>
        <v/>
      </c>
      <c r="I20" s="169" t="str">
        <f xml:space="preserve"> IF([6]十五音音節表!H17&lt;&gt;"", _xlfn.CONCAT(I$4,$E20), "")</f>
        <v/>
      </c>
      <c r="J20" s="169" t="str">
        <f xml:space="preserve"> IF([6]十五音音節表!I17&lt;&gt;"", _xlfn.CONCAT(J$4,$E20), "")</f>
        <v>ㄍㄨㄞ</v>
      </c>
      <c r="K20" s="169" t="str">
        <f xml:space="preserve"> IF([6]十五音音節表!J17&lt;&gt;"", _xlfn.CONCAT(K$4,$E20), "")</f>
        <v>ㄎㄨㄞ</v>
      </c>
      <c r="L20" s="169" t="str">
        <f xml:space="preserve"> IF([6]十五音音節表!K17&lt;&gt;"", _xlfn.CONCAT(L$4,$E20), "")</f>
        <v/>
      </c>
      <c r="M20" s="169" t="str">
        <f xml:space="preserve"> IF([6]十五音音節表!L17&lt;&gt;"", _xlfn.CONCAT(M$4,$E20), "")</f>
        <v/>
      </c>
      <c r="N20" s="169" t="str">
        <f xml:space="preserve"> IF([6]十五音音節表!M17&lt;&gt;"", _xlfn.CONCAT(N$4,$E20), "")</f>
        <v/>
      </c>
      <c r="O20" s="169" t="str">
        <f xml:space="preserve"> IF([6]十五音音節表!N17&lt;&gt;"", _xlfn.CONCAT(O$4,$E20), "")</f>
        <v/>
      </c>
      <c r="P20" s="169" t="str">
        <f xml:space="preserve"> IF([6]十五音音節表!O17&lt;&gt;"", _xlfn.CONCAT(P$4,$E20), "")</f>
        <v/>
      </c>
      <c r="Q20" s="169" t="str">
        <f xml:space="preserve"> IF([6]十五音音節表!P17&lt;&gt;"", _xlfn.CONCAT(Q$4,$E20), "")</f>
        <v>ㄙㄨㄞ</v>
      </c>
      <c r="R20" s="169" t="str">
        <f xml:space="preserve"> IF([6]十五音音節表!Q17&lt;&gt;"", _xlfn.CONCAT(R$4,$E20), "")</f>
        <v>ㄨㄞ</v>
      </c>
      <c r="S20" s="169" t="str">
        <f xml:space="preserve"> IF([6]十五音音節表!R17&lt;&gt;"", _xlfn.CONCAT(S$4,$E20), "")</f>
        <v/>
      </c>
      <c r="T20" s="169" t="str">
        <f xml:space="preserve"> IF([6]十五音音節表!S17&lt;&gt;"", _xlfn.CONCAT(T$4,$E20), "")</f>
        <v/>
      </c>
      <c r="U20" s="169" t="str">
        <f xml:space="preserve"> IF([6]十五音音節表!T17&lt;&gt;"", _xlfn.CONCAT(U$4,$E20), "")</f>
        <v/>
      </c>
      <c r="V20" s="169" t="str">
        <f xml:space="preserve"> IF([6]十五音音節表!U17&lt;&gt;"", _xlfn.CONCAT(V$4,$E20), "")</f>
        <v/>
      </c>
      <c r="W20" s="169" t="str">
        <f xml:space="preserve"> IF([6]十五音音節表!V17&lt;&gt;"", _xlfn.CONCAT(W$4,$E20), "")</f>
        <v/>
      </c>
      <c r="X20" s="169" t="str">
        <f xml:space="preserve"> IF([6]十五音音節表!W17&lt;&gt;"", _xlfn.CONCAT(X$4,$E20), "")</f>
        <v>ㄏㄨㄞ</v>
      </c>
      <c r="Y20" s="164" t="s">
        <v>503</v>
      </c>
      <c r="Z20" s="156" t="s">
        <v>501</v>
      </c>
      <c r="AA20" s="156" t="s">
        <v>696</v>
      </c>
    </row>
    <row r="21" spans="2:27">
      <c r="B21" s="168">
        <v>9</v>
      </c>
      <c r="C21" s="170" t="s">
        <v>906</v>
      </c>
      <c r="D21" s="156" t="s">
        <v>380</v>
      </c>
      <c r="E21" s="164" t="s">
        <v>382</v>
      </c>
      <c r="F21" s="156" t="s">
        <v>649</v>
      </c>
      <c r="G21" s="169" t="str">
        <f xml:space="preserve"> IF([6]十五音音節表!F18&lt;&gt;"", _xlfn.CONCAT(G$4,$E21), "")</f>
        <v>ㄌㄧㄥ</v>
      </c>
      <c r="H21" s="169" t="str">
        <f xml:space="preserve"> IF([6]十五音音節表!G18&lt;&gt;"", _xlfn.CONCAT(H$4,$E21), "")</f>
        <v/>
      </c>
      <c r="I21" s="169" t="str">
        <f xml:space="preserve"> IF([6]十五音音節表!H18&lt;&gt;"", _xlfn.CONCAT(I$4,$E21), "")</f>
        <v>ㄅㄧㄥ</v>
      </c>
      <c r="J21" s="169" t="str">
        <f xml:space="preserve"> IF([6]十五音音節表!I18&lt;&gt;"", _xlfn.CONCAT(J$4,$E21), "")</f>
        <v>ㄍㄧㄥ</v>
      </c>
      <c r="K21" s="169" t="str">
        <f xml:space="preserve"> IF([6]十五音音節表!J18&lt;&gt;"", _xlfn.CONCAT(K$4,$E21), "")</f>
        <v>ㄎㄧㄥ</v>
      </c>
      <c r="L21" s="169" t="str">
        <f xml:space="preserve"> IF([6]十五音音節表!K18&lt;&gt;"", _xlfn.CONCAT(L$4,$E21), "")</f>
        <v>ㄉㄧㄥ</v>
      </c>
      <c r="M21" s="169" t="str">
        <f xml:space="preserve"> IF([6]十五音音節表!L18&lt;&gt;"", _xlfn.CONCAT(M$4,$E21), "")</f>
        <v>ㄆㄧㄥ</v>
      </c>
      <c r="N21" s="169" t="str">
        <f xml:space="preserve"> IF([6]十五音音節表!M18&lt;&gt;"", _xlfn.CONCAT(N$4,$E21), "")</f>
        <v>ㄊㄧㄥ</v>
      </c>
      <c r="O21" s="169" t="str">
        <f xml:space="preserve"> IF([6]十五音音節表!N18&lt;&gt;"", _xlfn.CONCAT(O$4,$E21), "")</f>
        <v>ㄗㄧㄥ</v>
      </c>
      <c r="P21" s="169" t="str">
        <f xml:space="preserve"> IF([6]十五音音節表!O18&lt;&gt;"", _xlfn.CONCAT(P$4,$E21), "")</f>
        <v/>
      </c>
      <c r="Q21" s="169" t="str">
        <f xml:space="preserve"> IF([6]十五音音節表!P18&lt;&gt;"", _xlfn.CONCAT(Q$4,$E21), "")</f>
        <v>ㄙㄧㄥ</v>
      </c>
      <c r="R21" s="169" t="str">
        <f xml:space="preserve"> IF([6]十五音音節表!Q18&lt;&gt;"", _xlfn.CONCAT(R$4,$E21), "")</f>
        <v>ㄧㄥ</v>
      </c>
      <c r="S21" s="169" t="str">
        <f xml:space="preserve"> IF([6]十五音音節表!R18&lt;&gt;"", _xlfn.CONCAT(S$4,$E21), "")</f>
        <v>ㆠㄧㄥ</v>
      </c>
      <c r="T21" s="169" t="str">
        <f xml:space="preserve"> IF([6]十五音音節表!S18&lt;&gt;"", _xlfn.CONCAT(T$4,$E21), "")</f>
        <v/>
      </c>
      <c r="U21" s="169" t="str">
        <f xml:space="preserve"> IF([6]十五音音節表!T18&lt;&gt;"", _xlfn.CONCAT(U$4,$E21), "")</f>
        <v>ㆣㄧㄥ</v>
      </c>
      <c r="V21" s="169" t="str">
        <f xml:space="preserve"> IF([6]十五音音節表!U18&lt;&gt;"", _xlfn.CONCAT(V$4,$E21), "")</f>
        <v/>
      </c>
      <c r="W21" s="169" t="str">
        <f xml:space="preserve"> IF([6]十五音音節表!V18&lt;&gt;"", _xlfn.CONCAT(W$4,$E21), "")</f>
        <v>ㄘㄧㄥ</v>
      </c>
      <c r="X21" s="169" t="str">
        <f xml:space="preserve"> IF([6]十五音音節表!W18&lt;&gt;"", _xlfn.CONCAT(X$4,$E21), "")</f>
        <v>ㄏㄧㄥ</v>
      </c>
      <c r="Y21" s="164" t="s">
        <v>382</v>
      </c>
      <c r="Z21" s="156" t="s">
        <v>380</v>
      </c>
      <c r="AA21" s="156" t="s">
        <v>649</v>
      </c>
    </row>
    <row r="22" spans="2:27" outlineLevel="1">
      <c r="B22" s="168">
        <v>9</v>
      </c>
      <c r="C22" s="170" t="s">
        <v>907</v>
      </c>
      <c r="D22" s="156" t="s">
        <v>367</v>
      </c>
      <c r="E22" s="164" t="s">
        <v>370</v>
      </c>
      <c r="F22" s="156" t="s">
        <v>648</v>
      </c>
      <c r="G22" s="169" t="str">
        <f xml:space="preserve"> IF([6]十五音音節表!F19&lt;&gt;"", _xlfn.CONCAT(G$4,$E22), "")</f>
        <v>ㄌㄧㆻ</v>
      </c>
      <c r="H22" s="169" t="str">
        <f xml:space="preserve"> IF([6]十五音音節表!G19&lt;&gt;"", _xlfn.CONCAT(H$4,$E22), "")</f>
        <v/>
      </c>
      <c r="I22" s="169" t="str">
        <f xml:space="preserve"> IF([6]十五音音節表!H19&lt;&gt;"", _xlfn.CONCAT(I$4,$E22), "")</f>
        <v>ㄅㄧㆻ</v>
      </c>
      <c r="J22" s="169" t="str">
        <f xml:space="preserve"> IF([6]十五音音節表!I19&lt;&gt;"", _xlfn.CONCAT(J$4,$E22), "")</f>
        <v>ㄍㄧㆻ</v>
      </c>
      <c r="K22" s="169" t="str">
        <f xml:space="preserve"> IF([6]十五音音節表!J19&lt;&gt;"", _xlfn.CONCAT(K$4,$E22), "")</f>
        <v/>
      </c>
      <c r="L22" s="169" t="str">
        <f xml:space="preserve"> IF([6]十五音音節表!K19&lt;&gt;"", _xlfn.CONCAT(L$4,$E22), "")</f>
        <v>ㄉㄧㆻ</v>
      </c>
      <c r="M22" s="169" t="str">
        <f xml:space="preserve"> IF([6]十五音音節表!L19&lt;&gt;"", _xlfn.CONCAT(M$4,$E22), "")</f>
        <v>ㄆㄧㆻ</v>
      </c>
      <c r="N22" s="169" t="str">
        <f xml:space="preserve"> IF([6]十五音音節表!M19&lt;&gt;"", _xlfn.CONCAT(N$4,$E22), "")</f>
        <v>ㄊㄧㆻ</v>
      </c>
      <c r="O22" s="169" t="str">
        <f xml:space="preserve"> IF([6]十五音音節表!N19&lt;&gt;"", _xlfn.CONCAT(O$4,$E22), "")</f>
        <v>ㄗㄧㆻ</v>
      </c>
      <c r="P22" s="169" t="str">
        <f xml:space="preserve"> IF([6]十五音音節表!O19&lt;&gt;"", _xlfn.CONCAT(P$4,$E22), "")</f>
        <v/>
      </c>
      <c r="Q22" s="169" t="str">
        <f xml:space="preserve"> IF([6]十五音音節表!P19&lt;&gt;"", _xlfn.CONCAT(Q$4,$E22), "")</f>
        <v>ㄙㄧㆻ</v>
      </c>
      <c r="R22" s="169" t="str">
        <f xml:space="preserve"> IF([6]十五音音節表!Q19&lt;&gt;"", _xlfn.CONCAT(R$4,$E22), "")</f>
        <v>ㄧㆻ</v>
      </c>
      <c r="S22" s="169" t="str">
        <f xml:space="preserve"> IF([6]十五音音節表!R19&lt;&gt;"", _xlfn.CONCAT(S$4,$E22), "")</f>
        <v>ㆠㄧㆻ</v>
      </c>
      <c r="T22" s="169" t="str">
        <f xml:space="preserve"> IF([6]十五音音節表!S19&lt;&gt;"", _xlfn.CONCAT(T$4,$E22), "")</f>
        <v/>
      </c>
      <c r="U22" s="169" t="str">
        <f xml:space="preserve"> IF([6]十五音音節表!T19&lt;&gt;"", _xlfn.CONCAT(U$4,$E22), "")</f>
        <v>ㆣㄧㆻ</v>
      </c>
      <c r="V22" s="169" t="str">
        <f xml:space="preserve"> IF([6]十五音音節表!U19&lt;&gt;"", _xlfn.CONCAT(V$4,$E22), "")</f>
        <v/>
      </c>
      <c r="W22" s="169" t="str">
        <f xml:space="preserve"> IF([6]十五音音節表!V19&lt;&gt;"", _xlfn.CONCAT(W$4,$E22), "")</f>
        <v>ㄘㄧㆻ</v>
      </c>
      <c r="X22" s="169" t="str">
        <f xml:space="preserve"> IF([6]十五音音節表!W19&lt;&gt;"", _xlfn.CONCAT(X$4,$E22), "")</f>
        <v>ㄏㄧㆻ</v>
      </c>
      <c r="Y22" s="164" t="s">
        <v>370</v>
      </c>
      <c r="Z22" s="156" t="s">
        <v>367</v>
      </c>
      <c r="AA22" s="156" t="s">
        <v>648</v>
      </c>
    </row>
    <row r="23" spans="2:27">
      <c r="B23" s="168">
        <v>10</v>
      </c>
      <c r="C23" s="156" t="s">
        <v>521</v>
      </c>
      <c r="D23" s="156" t="s">
        <v>521</v>
      </c>
      <c r="E23" s="164" t="s">
        <v>523</v>
      </c>
      <c r="F23" s="156" t="s">
        <v>700</v>
      </c>
      <c r="G23" s="169" t="str">
        <f xml:space="preserve"> IF([6]十五音音節表!F20&lt;&gt;"", _xlfn.CONCAT(G$4,$E23), "")</f>
        <v>ㄌㄨㄢ</v>
      </c>
      <c r="H23" s="169" t="str">
        <f xml:space="preserve"> IF([6]十五音音節表!G20&lt;&gt;"", _xlfn.CONCAT(H$4,$E23), "")</f>
        <v/>
      </c>
      <c r="I23" s="169" t="str">
        <f xml:space="preserve"> IF([6]十五音音節表!H20&lt;&gt;"", _xlfn.CONCAT(I$4,$E23), "")</f>
        <v>ㄅㄨㄢ</v>
      </c>
      <c r="J23" s="169" t="str">
        <f xml:space="preserve"> IF([6]十五音音節表!I20&lt;&gt;"", _xlfn.CONCAT(J$4,$E23), "")</f>
        <v>ㄍㄨㄢ</v>
      </c>
      <c r="K23" s="169" t="str">
        <f xml:space="preserve"> IF([6]十五音音節表!J20&lt;&gt;"", _xlfn.CONCAT(K$4,$E23), "")</f>
        <v>ㄎㄨㄢ</v>
      </c>
      <c r="L23" s="169" t="str">
        <f xml:space="preserve"> IF([6]十五音音節表!K20&lt;&gt;"", _xlfn.CONCAT(L$4,$E23), "")</f>
        <v>ㄉㄨㄢ</v>
      </c>
      <c r="M23" s="169" t="str">
        <f xml:space="preserve"> IF([6]十五音音節表!L20&lt;&gt;"", _xlfn.CONCAT(M$4,$E23), "")</f>
        <v>ㄆㄨㄢ</v>
      </c>
      <c r="N23" s="169" t="str">
        <f xml:space="preserve"> IF([6]十五音音節表!M20&lt;&gt;"", _xlfn.CONCAT(N$4,$E23), "")</f>
        <v>ㄊㄨㄢ</v>
      </c>
      <c r="O23" s="169" t="str">
        <f xml:space="preserve"> IF([6]十五音音節表!N20&lt;&gt;"", _xlfn.CONCAT(O$4,$E23), "")</f>
        <v>ㄗㄨㄢ</v>
      </c>
      <c r="P23" s="169" t="str">
        <f xml:space="preserve"> IF([6]十五音音節表!O20&lt;&gt;"", _xlfn.CONCAT(P$4,$E23), "")</f>
        <v/>
      </c>
      <c r="Q23" s="169" t="str">
        <f xml:space="preserve"> IF([6]十五音音節表!P20&lt;&gt;"", _xlfn.CONCAT(Q$4,$E23), "")</f>
        <v>ㄙㄨㄢ</v>
      </c>
      <c r="R23" s="169" t="str">
        <f xml:space="preserve"> IF([6]十五音音節表!Q20&lt;&gt;"", _xlfn.CONCAT(R$4,$E23), "")</f>
        <v>ㄨㄢ</v>
      </c>
      <c r="S23" s="169" t="str">
        <f xml:space="preserve"> IF([6]十五音音節表!R20&lt;&gt;"", _xlfn.CONCAT(S$4,$E23), "")</f>
        <v>ㆠㄨㄢ</v>
      </c>
      <c r="T23" s="169" t="str">
        <f xml:space="preserve"> IF([6]十五音音節表!S20&lt;&gt;"", _xlfn.CONCAT(T$4,$E23), "")</f>
        <v/>
      </c>
      <c r="U23" s="169" t="str">
        <f xml:space="preserve"> IF([6]十五音音節表!T20&lt;&gt;"", _xlfn.CONCAT(U$4,$E23), "")</f>
        <v>ㆣㄨㄢ</v>
      </c>
      <c r="V23" s="169" t="str">
        <f xml:space="preserve"> IF([6]十五音音節表!U20&lt;&gt;"", _xlfn.CONCAT(V$4,$E23), "")</f>
        <v/>
      </c>
      <c r="W23" s="169" t="str">
        <f xml:space="preserve"> IF([6]十五音音節表!V20&lt;&gt;"", _xlfn.CONCAT(W$4,$E23), "")</f>
        <v>ㄘㄨㄢ</v>
      </c>
      <c r="X23" s="169" t="str">
        <f xml:space="preserve"> IF([6]十五音音節表!W20&lt;&gt;"", _xlfn.CONCAT(X$4,$E23), "")</f>
        <v>ㄏㄨㄢ</v>
      </c>
      <c r="Y23" s="164" t="s">
        <v>523</v>
      </c>
      <c r="Z23" s="156" t="s">
        <v>521</v>
      </c>
      <c r="AA23" s="156" t="s">
        <v>700</v>
      </c>
    </row>
    <row r="24" spans="2:27" outlineLevel="1">
      <c r="B24" s="168">
        <v>10</v>
      </c>
      <c r="C24" s="156" t="s">
        <v>908</v>
      </c>
      <c r="D24" s="156" t="s">
        <v>536</v>
      </c>
      <c r="E24" s="164" t="s">
        <v>538</v>
      </c>
      <c r="F24" s="156" t="s">
        <v>703</v>
      </c>
      <c r="G24" s="169" t="str">
        <f xml:space="preserve"> IF([6]十五音音節表!F21&lt;&gt;"", _xlfn.CONCAT(G$4,$E24), "")</f>
        <v>ㄌㄨㄚㆵ</v>
      </c>
      <c r="H24" s="169" t="str">
        <f xml:space="preserve"> IF([6]十五音音節表!G21&lt;&gt;"", _xlfn.CONCAT(H$4,$E24), "")</f>
        <v/>
      </c>
      <c r="I24" s="169" t="str">
        <f xml:space="preserve"> IF([6]十五音音節表!H21&lt;&gt;"", _xlfn.CONCAT(I$4,$E24), "")</f>
        <v>ㄅㄨㄚㆵ</v>
      </c>
      <c r="J24" s="169" t="str">
        <f xml:space="preserve"> IF([6]十五音音節表!I21&lt;&gt;"", _xlfn.CONCAT(J$4,$E24), "")</f>
        <v>ㄍㄨㄚㆵ</v>
      </c>
      <c r="K24" s="169" t="str">
        <f xml:space="preserve"> IF([6]十五音音節表!J21&lt;&gt;"", _xlfn.CONCAT(K$4,$E24), "")</f>
        <v>ㄎㄨㄚㆵ</v>
      </c>
      <c r="L24" s="169" t="str">
        <f xml:space="preserve"> IF([6]十五音音節表!K21&lt;&gt;"", _xlfn.CONCAT(L$4,$E24), "")</f>
        <v>ㄉㄨㄚㆵ</v>
      </c>
      <c r="M24" s="169" t="str">
        <f xml:space="preserve"> IF([6]十五音音節表!L21&lt;&gt;"", _xlfn.CONCAT(M$4,$E24), "")</f>
        <v>ㄆㄨㄚㆵ</v>
      </c>
      <c r="N24" s="169" t="str">
        <f xml:space="preserve"> IF([6]十五音音節表!M21&lt;&gt;"", _xlfn.CONCAT(N$4,$E24), "")</f>
        <v>ㄊㄨㄚㆵ</v>
      </c>
      <c r="O24" s="169" t="str">
        <f xml:space="preserve"> IF([6]十五音音節表!N21&lt;&gt;"", _xlfn.CONCAT(O$4,$E24), "")</f>
        <v>ㄗㄨㄚㆵ</v>
      </c>
      <c r="P24" s="169" t="str">
        <f xml:space="preserve"> IF([6]十五音音節表!O21&lt;&gt;"", _xlfn.CONCAT(P$4,$E24), "")</f>
        <v/>
      </c>
      <c r="Q24" s="169" t="str">
        <f xml:space="preserve"> IF([6]十五音音節表!P21&lt;&gt;"", _xlfn.CONCAT(Q$4,$E24), "")</f>
        <v>ㄙㄨㄚㆵ</v>
      </c>
      <c r="R24" s="169" t="str">
        <f xml:space="preserve"> IF([6]十五音音節表!Q21&lt;&gt;"", _xlfn.CONCAT(R$4,$E24), "")</f>
        <v>ㄨㄚㆵ</v>
      </c>
      <c r="S24" s="169" t="str">
        <f xml:space="preserve"> IF([6]十五音音節表!R21&lt;&gt;"", _xlfn.CONCAT(S$4,$E24), "")</f>
        <v>ㆠㄨㄚㆵ</v>
      </c>
      <c r="T24" s="169" t="str">
        <f xml:space="preserve"> IF([6]十五音音節表!S21&lt;&gt;"", _xlfn.CONCAT(T$4,$E24), "")</f>
        <v/>
      </c>
      <c r="U24" s="169" t="str">
        <f xml:space="preserve"> IF([6]十五音音節表!T21&lt;&gt;"", _xlfn.CONCAT(U$4,$E24), "")</f>
        <v>ㆣㄨㄚㆵ</v>
      </c>
      <c r="V24" s="169" t="str">
        <f xml:space="preserve"> IF([6]十五音音節表!U21&lt;&gt;"", _xlfn.CONCAT(V$4,$E24), "")</f>
        <v/>
      </c>
      <c r="W24" s="169" t="str">
        <f xml:space="preserve"> IF([6]十五音音節表!V21&lt;&gt;"", _xlfn.CONCAT(W$4,$E24), "")</f>
        <v/>
      </c>
      <c r="X24" s="169" t="str">
        <f xml:space="preserve"> IF([6]十五音音節表!W21&lt;&gt;"", _xlfn.CONCAT(X$4,$E24), "")</f>
        <v>ㄏㄨㄚㆵ</v>
      </c>
      <c r="Y24" s="164" t="s">
        <v>538</v>
      </c>
      <c r="Z24" s="156" t="s">
        <v>536</v>
      </c>
      <c r="AA24" s="156" t="s">
        <v>703</v>
      </c>
    </row>
    <row r="25" spans="2:27">
      <c r="B25" s="168">
        <v>11</v>
      </c>
      <c r="C25" s="170" t="s">
        <v>909</v>
      </c>
      <c r="D25" s="156" t="s">
        <v>475</v>
      </c>
      <c r="E25" s="164" t="s">
        <v>477</v>
      </c>
      <c r="F25" s="156" t="s">
        <v>690</v>
      </c>
      <c r="G25" s="169" t="str">
        <f xml:space="preserve"> IF([6]十五音音節表!F22&lt;&gt;"", _xlfn.CONCAT(G$4,$E25), "")</f>
        <v>ㄌㆦ</v>
      </c>
      <c r="H25" s="169" t="str">
        <f xml:space="preserve"> IF([6]十五音音節表!G22&lt;&gt;"", _xlfn.CONCAT(H$4,$E25), "")</f>
        <v>ㄋㆦ</v>
      </c>
      <c r="I25" s="169" t="str">
        <f xml:space="preserve"> IF([6]十五音音節表!H22&lt;&gt;"", _xlfn.CONCAT(I$4,$E25), "")</f>
        <v>ㄅㆦ</v>
      </c>
      <c r="J25" s="169" t="str">
        <f xml:space="preserve"> IF([6]十五音音節表!I22&lt;&gt;"", _xlfn.CONCAT(J$4,$E25), "")</f>
        <v>ㄍㆦ</v>
      </c>
      <c r="K25" s="169" t="str">
        <f xml:space="preserve"> IF([6]十五音音節表!J22&lt;&gt;"", _xlfn.CONCAT(K$4,$E25), "")</f>
        <v>ㄎㆦ</v>
      </c>
      <c r="L25" s="169" t="str">
        <f xml:space="preserve"> IF([6]十五音音節表!K22&lt;&gt;"", _xlfn.CONCAT(L$4,$E25), "")</f>
        <v>ㄉㆦ</v>
      </c>
      <c r="M25" s="169" t="str">
        <f xml:space="preserve"> IF([6]十五音音節表!L22&lt;&gt;"", _xlfn.CONCAT(M$4,$E25), "")</f>
        <v>ㄆㆦ</v>
      </c>
      <c r="N25" s="169" t="str">
        <f xml:space="preserve"> IF([6]十五音音節表!M22&lt;&gt;"", _xlfn.CONCAT(N$4,$E25), "")</f>
        <v>ㄊㆦ</v>
      </c>
      <c r="O25" s="169" t="str">
        <f xml:space="preserve"> IF([6]十五音音節表!N22&lt;&gt;"", _xlfn.CONCAT(O$4,$E25), "")</f>
        <v>ㄗㆦ</v>
      </c>
      <c r="P25" s="169" t="str">
        <f xml:space="preserve"> IF([6]十五音音節表!O22&lt;&gt;"", _xlfn.CONCAT(P$4,$E25), "")</f>
        <v/>
      </c>
      <c r="Q25" s="169" t="str">
        <f xml:space="preserve"> IF([6]十五音音節表!P22&lt;&gt;"", _xlfn.CONCAT(Q$4,$E25), "")</f>
        <v>ㄙㆦ</v>
      </c>
      <c r="R25" s="169" t="str">
        <f xml:space="preserve"> IF([6]十五音音節表!Q22&lt;&gt;"", _xlfn.CONCAT(R$4,$E25), "")</f>
        <v>ㆦ</v>
      </c>
      <c r="S25" s="169" t="str">
        <f xml:space="preserve"> IF([6]十五音音節表!R22&lt;&gt;"", _xlfn.CONCAT(S$4,$E25), "")</f>
        <v>ㆠㆦ</v>
      </c>
      <c r="T25" s="169" t="str">
        <f xml:space="preserve"> IF([6]十五音音節表!S22&lt;&gt;"", _xlfn.CONCAT(T$4,$E25), "")</f>
        <v>ㄇㆦ</v>
      </c>
      <c r="U25" s="169" t="str">
        <f xml:space="preserve"> IF([6]十五音音節表!T22&lt;&gt;"", _xlfn.CONCAT(U$4,$E25), "")</f>
        <v>ㆣㆦ</v>
      </c>
      <c r="V25" s="169" t="str">
        <f xml:space="preserve"> IF([6]十五音音節表!U22&lt;&gt;"", _xlfn.CONCAT(V$4,$E25), "")</f>
        <v>ㄫㆦ</v>
      </c>
      <c r="W25" s="169" t="str">
        <f xml:space="preserve"> IF([6]十五音音節表!V22&lt;&gt;"", _xlfn.CONCAT(W$4,$E25), "")</f>
        <v>ㄘㆦ</v>
      </c>
      <c r="X25" s="169" t="str">
        <f xml:space="preserve"> IF([6]十五音音節表!W22&lt;&gt;"", _xlfn.CONCAT(X$4,$E25), "")</f>
        <v>ㄏㆦ</v>
      </c>
      <c r="Y25" s="164" t="s">
        <v>477</v>
      </c>
      <c r="Z25" s="156" t="s">
        <v>475</v>
      </c>
      <c r="AA25" s="156" t="s">
        <v>690</v>
      </c>
    </row>
    <row r="26" spans="2:27" outlineLevel="1">
      <c r="B26" s="168">
        <v>11</v>
      </c>
      <c r="C26" s="156" t="s">
        <v>910</v>
      </c>
      <c r="D26" s="156" t="s">
        <v>479</v>
      </c>
      <c r="E26" s="164" t="s">
        <v>884</v>
      </c>
      <c r="F26" s="156" t="s">
        <v>691</v>
      </c>
      <c r="G26" s="169" t="str">
        <f xml:space="preserve"> IF([6]十五音音節表!F23&lt;&gt;"", _xlfn.CONCAT(G$4,$E26), "")</f>
        <v/>
      </c>
      <c r="H26" s="169" t="str">
        <f xml:space="preserve"> IF([6]十五音音節表!G23&lt;&gt;"", _xlfn.CONCAT(H$4,$E26), "")</f>
        <v/>
      </c>
      <c r="I26" s="169" t="str">
        <f xml:space="preserve"> IF([6]十五音音節表!H23&lt;&gt;"", _xlfn.CONCAT(I$4,$E26), "")</f>
        <v/>
      </c>
      <c r="J26" s="169" t="str">
        <f xml:space="preserve"> IF([6]十五音音節表!I23&lt;&gt;"", _xlfn.CONCAT(J$4,$E26), "")</f>
        <v/>
      </c>
      <c r="K26" s="169" t="str">
        <f xml:space="preserve"> IF([6]十五音音節表!J23&lt;&gt;"", _xlfn.CONCAT(K$4,$E26), "")</f>
        <v/>
      </c>
      <c r="L26" s="169" t="str">
        <f xml:space="preserve"> IF([6]十五音音節表!K23&lt;&gt;"", _xlfn.CONCAT(L$4,$E26), "")</f>
        <v/>
      </c>
      <c r="M26" s="169" t="str">
        <f xml:space="preserve"> IF([6]十五音音節表!L23&lt;&gt;"", _xlfn.CONCAT(M$4,$E26), "")</f>
        <v/>
      </c>
      <c r="N26" s="169" t="str">
        <f xml:space="preserve"> IF([6]十五音音節表!M23&lt;&gt;"", _xlfn.CONCAT(N$4,$E26), "")</f>
        <v/>
      </c>
      <c r="O26" s="169" t="str">
        <f xml:space="preserve"> IF([6]十五音音節表!N23&lt;&gt;"", _xlfn.CONCAT(O$4,$E26), "")</f>
        <v/>
      </c>
      <c r="P26" s="169" t="str">
        <f xml:space="preserve"> IF([6]十五音音節表!O23&lt;&gt;"", _xlfn.CONCAT(P$4,$E26), "")</f>
        <v/>
      </c>
      <c r="Q26" s="169" t="str">
        <f xml:space="preserve"> IF([6]十五音音節表!P23&lt;&gt;"", _xlfn.CONCAT(Q$4,$E26), "")</f>
        <v/>
      </c>
      <c r="R26" s="169" t="str">
        <f xml:space="preserve"> IF([6]十五音音節表!Q23&lt;&gt;"", _xlfn.CONCAT(R$4,$E26), "")</f>
        <v/>
      </c>
      <c r="S26" s="169" t="str">
        <f xml:space="preserve"> IF([6]十五音音節表!R23&lt;&gt;"", _xlfn.CONCAT(S$4,$E26), "")</f>
        <v/>
      </c>
      <c r="T26" s="169" t="str">
        <f xml:space="preserve"> IF([6]十五音音節表!S23&lt;&gt;"", _xlfn.CONCAT(T$4,$E26), "")</f>
        <v>ㄇㆦㆷ</v>
      </c>
      <c r="U26" s="169" t="str">
        <f xml:space="preserve"> IF([6]十五音音節表!T23&lt;&gt;"", _xlfn.CONCAT(U$4,$E26), "")</f>
        <v/>
      </c>
      <c r="V26" s="169" t="str">
        <f xml:space="preserve"> IF([6]十五音音節表!U23&lt;&gt;"", _xlfn.CONCAT(V$4,$E26), "")</f>
        <v/>
      </c>
      <c r="W26" s="169" t="str">
        <f xml:space="preserve"> IF([6]十五音音節表!V23&lt;&gt;"", _xlfn.CONCAT(W$4,$E26), "")</f>
        <v/>
      </c>
      <c r="X26" s="169" t="str">
        <f xml:space="preserve"> IF([6]十五音音節表!W23&lt;&gt;"", _xlfn.CONCAT(X$4,$E26), "")</f>
        <v/>
      </c>
      <c r="Y26" s="164" t="s">
        <v>884</v>
      </c>
      <c r="Z26" s="156" t="s">
        <v>479</v>
      </c>
      <c r="AA26" s="156" t="s">
        <v>691</v>
      </c>
    </row>
    <row r="27" spans="2:27">
      <c r="B27" s="168">
        <v>12</v>
      </c>
      <c r="C27" s="156" t="s">
        <v>911</v>
      </c>
      <c r="D27" s="156" t="s">
        <v>349</v>
      </c>
      <c r="E27" s="164" t="s">
        <v>351</v>
      </c>
      <c r="F27" s="156" t="s">
        <v>662</v>
      </c>
      <c r="G27" s="169" t="str">
        <f xml:space="preserve"> IF([6]十五音音節表!F24&lt;&gt;"", _xlfn.CONCAT(G$4,$E27), "")</f>
        <v>ㄌㄧㄠ</v>
      </c>
      <c r="H27" s="169" t="str">
        <f xml:space="preserve"> IF([6]十五音音節表!G24&lt;&gt;"", _xlfn.CONCAT(H$4,$E27), "")</f>
        <v>ㄋㄧㄠ</v>
      </c>
      <c r="I27" s="169" t="str">
        <f xml:space="preserve"> IF([6]十五音音節表!H24&lt;&gt;"", _xlfn.CONCAT(I$4,$E27), "")</f>
        <v>ㄅㄧㄠ</v>
      </c>
      <c r="J27" s="169" t="str">
        <f xml:space="preserve"> IF([6]十五音音節表!I24&lt;&gt;"", _xlfn.CONCAT(J$4,$E27), "")</f>
        <v>ㄍㄧㄠ</v>
      </c>
      <c r="K27" s="169" t="str">
        <f xml:space="preserve"> IF([6]十五音音節表!J24&lt;&gt;"", _xlfn.CONCAT(K$4,$E27), "")</f>
        <v>ㄎㄧㄠ</v>
      </c>
      <c r="L27" s="169" t="str">
        <f xml:space="preserve"> IF([6]十五音音節表!K24&lt;&gt;"", _xlfn.CONCAT(L$4,$E27), "")</f>
        <v>ㄉㄧㄠ</v>
      </c>
      <c r="M27" s="169" t="str">
        <f xml:space="preserve"> IF([6]十五音音節表!L24&lt;&gt;"", _xlfn.CONCAT(M$4,$E27), "")</f>
        <v>ㄆㄧㄠ</v>
      </c>
      <c r="N27" s="169" t="str">
        <f xml:space="preserve"> IF([6]十五音音節表!M24&lt;&gt;"", _xlfn.CONCAT(N$4,$E27), "")</f>
        <v>ㄊㄧㄠ</v>
      </c>
      <c r="O27" s="169" t="str">
        <f xml:space="preserve"> IF([6]十五音音節表!N24&lt;&gt;"", _xlfn.CONCAT(O$4,$E27), "")</f>
        <v>ㄗㄧㄠ</v>
      </c>
      <c r="P27" s="169" t="str">
        <f xml:space="preserve"> IF([6]十五音音節表!O24&lt;&gt;"", _xlfn.CONCAT(P$4,$E27), "")</f>
        <v>ㆡㄧㄠ</v>
      </c>
      <c r="Q27" s="169" t="str">
        <f xml:space="preserve"> IF([6]十五音音節表!P24&lt;&gt;"", _xlfn.CONCAT(Q$4,$E27), "")</f>
        <v>ㄙㄧㄠ</v>
      </c>
      <c r="R27" s="169" t="str">
        <f xml:space="preserve"> IF([6]十五音音節表!Q24&lt;&gt;"", _xlfn.CONCAT(R$4,$E27), "")</f>
        <v>ㄧㄠ</v>
      </c>
      <c r="S27" s="169" t="str">
        <f xml:space="preserve"> IF([6]十五音音節表!R24&lt;&gt;"", _xlfn.CONCAT(S$4,$E27), "")</f>
        <v>ㆠㄧㄠ</v>
      </c>
      <c r="T27" s="169" t="str">
        <f xml:space="preserve"> IF([6]十五音音節表!S24&lt;&gt;"", _xlfn.CONCAT(T$4,$E27), "")</f>
        <v>ㄇㄧㄠ</v>
      </c>
      <c r="U27" s="169" t="str">
        <f xml:space="preserve"> IF([6]十五音音節表!T24&lt;&gt;"", _xlfn.CONCAT(U$4,$E27), "")</f>
        <v>ㆣㄧㄠ</v>
      </c>
      <c r="V27" s="169" t="str">
        <f xml:space="preserve"> IF([6]十五音音節表!U24&lt;&gt;"", _xlfn.CONCAT(V$4,$E27), "")</f>
        <v>ㄫㄧㄠ</v>
      </c>
      <c r="W27" s="169" t="str">
        <f xml:space="preserve"> IF([6]十五音音節表!V24&lt;&gt;"", _xlfn.CONCAT(W$4,$E27), "")</f>
        <v>ㄘㄧㄠ</v>
      </c>
      <c r="X27" s="169" t="str">
        <f xml:space="preserve"> IF([6]十五音音節表!W24&lt;&gt;"", _xlfn.CONCAT(X$4,$E27), "")</f>
        <v>ㄏㄧㄠ</v>
      </c>
      <c r="Y27" s="164" t="s">
        <v>351</v>
      </c>
      <c r="Z27" s="156" t="s">
        <v>349</v>
      </c>
      <c r="AA27" s="156" t="s">
        <v>662</v>
      </c>
    </row>
    <row r="28" spans="2:27" outlineLevel="1">
      <c r="B28" s="168">
        <v>12</v>
      </c>
      <c r="C28" s="156" t="s">
        <v>912</v>
      </c>
      <c r="D28" s="156" t="s">
        <v>353</v>
      </c>
      <c r="E28" s="164" t="s">
        <v>355</v>
      </c>
      <c r="F28" s="156" t="s">
        <v>663</v>
      </c>
      <c r="G28" s="169" t="str">
        <f xml:space="preserve"> IF([6]十五音音節表!F25&lt;&gt;"", _xlfn.CONCAT(G$4,$E28), "")</f>
        <v/>
      </c>
      <c r="H28" s="169" t="str">
        <f xml:space="preserve"> IF([6]十五音音節表!G25&lt;&gt;"", _xlfn.CONCAT(H$4,$E28), "")</f>
        <v/>
      </c>
      <c r="I28" s="169" t="str">
        <f xml:space="preserve"> IF([6]十五音音節表!H25&lt;&gt;"", _xlfn.CONCAT(I$4,$E28), "")</f>
        <v/>
      </c>
      <c r="J28" s="169" t="str">
        <f xml:space="preserve"> IF([6]十五音音節表!I25&lt;&gt;"", _xlfn.CONCAT(J$4,$E28), "")</f>
        <v/>
      </c>
      <c r="K28" s="169" t="str">
        <f xml:space="preserve"> IF([6]十五音音節表!J25&lt;&gt;"", _xlfn.CONCAT(K$4,$E28), "")</f>
        <v>ㄎㄧㄠㆷ</v>
      </c>
      <c r="L28" s="169" t="str">
        <f xml:space="preserve"> IF([6]十五音音節表!K25&lt;&gt;"", _xlfn.CONCAT(L$4,$E28), "")</f>
        <v/>
      </c>
      <c r="M28" s="169" t="str">
        <f xml:space="preserve"> IF([6]十五音音節表!L25&lt;&gt;"", _xlfn.CONCAT(M$4,$E28), "")</f>
        <v/>
      </c>
      <c r="N28" s="169" t="str">
        <f xml:space="preserve"> IF([6]十五音音節表!M25&lt;&gt;"", _xlfn.CONCAT(N$4,$E28), "")</f>
        <v/>
      </c>
      <c r="O28" s="169" t="str">
        <f xml:space="preserve"> IF([6]十五音音節表!N25&lt;&gt;"", _xlfn.CONCAT(O$4,$E28), "")</f>
        <v/>
      </c>
      <c r="P28" s="169" t="str">
        <f xml:space="preserve"> IF([6]十五音音節表!O25&lt;&gt;"", _xlfn.CONCAT(P$4,$E28), "")</f>
        <v/>
      </c>
      <c r="Q28" s="169" t="str">
        <f xml:space="preserve"> IF([6]十五音音節表!P25&lt;&gt;"", _xlfn.CONCAT(Q$4,$E28), "")</f>
        <v/>
      </c>
      <c r="R28" s="169" t="str">
        <f xml:space="preserve"> IF([6]十五音音節表!Q25&lt;&gt;"", _xlfn.CONCAT(R$4,$E28), "")</f>
        <v/>
      </c>
      <c r="S28" s="169" t="str">
        <f xml:space="preserve"> IF([6]十五音音節表!R25&lt;&gt;"", _xlfn.CONCAT(S$4,$E28), "")</f>
        <v/>
      </c>
      <c r="T28" s="169" t="str">
        <f xml:space="preserve"> IF([6]十五音音節表!S25&lt;&gt;"", _xlfn.CONCAT(T$4,$E28), "")</f>
        <v/>
      </c>
      <c r="U28" s="169" t="str">
        <f xml:space="preserve"> IF([6]十五音音節表!T25&lt;&gt;"", _xlfn.CONCAT(U$4,$E28), "")</f>
        <v/>
      </c>
      <c r="V28" s="169" t="str">
        <f xml:space="preserve"> IF([6]十五音音節表!U25&lt;&gt;"", _xlfn.CONCAT(V$4,$E28), "")</f>
        <v>ㄫㄧㄠㆷ</v>
      </c>
      <c r="W28" s="169" t="str">
        <f xml:space="preserve"> IF([6]十五音音節表!V25&lt;&gt;"", _xlfn.CONCAT(W$4,$E28), "")</f>
        <v/>
      </c>
      <c r="X28" s="169" t="str">
        <f xml:space="preserve"> IF([6]十五音音節表!W25&lt;&gt;"", _xlfn.CONCAT(X$4,$E28), "")</f>
        <v>ㄏㄧㄠㆷ</v>
      </c>
      <c r="Y28" s="164" t="s">
        <v>355</v>
      </c>
      <c r="Z28" s="156" t="s">
        <v>353</v>
      </c>
      <c r="AA28" s="156" t="s">
        <v>663</v>
      </c>
    </row>
    <row r="29" spans="2:27">
      <c r="B29" s="168">
        <v>13</v>
      </c>
      <c r="C29" s="170" t="s">
        <v>290</v>
      </c>
      <c r="D29" s="156" t="s">
        <v>289</v>
      </c>
      <c r="E29" s="164" t="s">
        <v>291</v>
      </c>
      <c r="F29" s="156" t="s">
        <v>644</v>
      </c>
      <c r="G29" s="169" t="str">
        <f xml:space="preserve"> IF([6]十五音音節表!F26&lt;&gt;"", _xlfn.CONCAT(G$4,$E29), "")</f>
        <v>ㄌㆤ</v>
      </c>
      <c r="H29" s="169" t="str">
        <f xml:space="preserve"> IF([6]十五音音節表!G26&lt;&gt;"", _xlfn.CONCAT(H$4,$E29), "")</f>
        <v>ㄋㆤ</v>
      </c>
      <c r="I29" s="169" t="str">
        <f xml:space="preserve"> IF([6]十五音音節表!H26&lt;&gt;"", _xlfn.CONCAT(I$4,$E29), "")</f>
        <v>ㄅㆤ</v>
      </c>
      <c r="J29" s="169" t="str">
        <f xml:space="preserve"> IF([6]十五音音節表!I26&lt;&gt;"", _xlfn.CONCAT(J$4,$E29), "")</f>
        <v>ㄍㆤ</v>
      </c>
      <c r="K29" s="169" t="str">
        <f xml:space="preserve"> IF([6]十五音音節表!J26&lt;&gt;"", _xlfn.CONCAT(K$4,$E29), "")</f>
        <v>ㄎㆤ</v>
      </c>
      <c r="L29" s="169" t="str">
        <f xml:space="preserve"> IF([6]十五音音節表!K26&lt;&gt;"", _xlfn.CONCAT(L$4,$E29), "")</f>
        <v>ㄉㆤ</v>
      </c>
      <c r="M29" s="169" t="str">
        <f xml:space="preserve"> IF([6]十五音音節表!L26&lt;&gt;"", _xlfn.CONCAT(M$4,$E29), "")</f>
        <v>ㄆㆤ</v>
      </c>
      <c r="N29" s="169" t="str">
        <f xml:space="preserve"> IF([6]十五音音節表!M26&lt;&gt;"", _xlfn.CONCAT(N$4,$E29), "")</f>
        <v>ㄊㆤ</v>
      </c>
      <c r="O29" s="169" t="str">
        <f xml:space="preserve"> IF([6]十五音音節表!N26&lt;&gt;"", _xlfn.CONCAT(O$4,$E29), "")</f>
        <v>ㄗㆤ</v>
      </c>
      <c r="P29" s="169" t="str">
        <f xml:space="preserve"> IF([6]十五音音節表!O26&lt;&gt;"", _xlfn.CONCAT(P$4,$E29), "")</f>
        <v/>
      </c>
      <c r="Q29" s="169" t="str">
        <f xml:space="preserve"> IF([6]十五音音節表!P26&lt;&gt;"", _xlfn.CONCAT(Q$4,$E29), "")</f>
        <v>ㄙㆤ</v>
      </c>
      <c r="R29" s="169" t="str">
        <f xml:space="preserve"> IF([6]十五音音節表!Q26&lt;&gt;"", _xlfn.CONCAT(R$4,$E29), "")</f>
        <v>ㆤ</v>
      </c>
      <c r="S29" s="169" t="str">
        <f xml:space="preserve"> IF([6]十五音音節表!R26&lt;&gt;"", _xlfn.CONCAT(S$4,$E29), "")</f>
        <v>ㆠㆤ</v>
      </c>
      <c r="T29" s="169" t="str">
        <f xml:space="preserve"> IF([6]十五音音節表!S26&lt;&gt;"", _xlfn.CONCAT(T$4,$E29), "")</f>
        <v>ㄇㆤ</v>
      </c>
      <c r="U29" s="169" t="str">
        <f xml:space="preserve"> IF([6]十五音音節表!T26&lt;&gt;"", _xlfn.CONCAT(U$4,$E29), "")</f>
        <v>ㆣㆤ</v>
      </c>
      <c r="V29" s="169" t="str">
        <f xml:space="preserve"> IF([6]十五音音節表!U26&lt;&gt;"", _xlfn.CONCAT(V$4,$E29), "")</f>
        <v>ㄫㆤ</v>
      </c>
      <c r="W29" s="169" t="str">
        <f xml:space="preserve"> IF([6]十五音音節表!V26&lt;&gt;"", _xlfn.CONCAT(W$4,$E29), "")</f>
        <v>ㄘㆤ</v>
      </c>
      <c r="X29" s="169" t="str">
        <f xml:space="preserve"> IF([6]十五音音節表!W26&lt;&gt;"", _xlfn.CONCAT(X$4,$E29), "")</f>
        <v>ㄏㆤ</v>
      </c>
      <c r="Y29" s="164" t="s">
        <v>291</v>
      </c>
      <c r="Z29" s="156" t="s">
        <v>289</v>
      </c>
      <c r="AA29" s="156" t="s">
        <v>644</v>
      </c>
    </row>
    <row r="30" spans="2:27">
      <c r="B30" s="168">
        <v>14</v>
      </c>
      <c r="C30" s="156" t="s">
        <v>913</v>
      </c>
      <c r="D30" s="156" t="s">
        <v>402</v>
      </c>
      <c r="E30" s="164" t="s">
        <v>403</v>
      </c>
      <c r="F30" s="156" t="s">
        <v>672</v>
      </c>
      <c r="G30" s="169" t="str">
        <f xml:space="preserve"> IF([6]十五音音節表!F27&lt;&gt;"", _xlfn.CONCAT(G$4,$E30), "")</f>
        <v>ㄌㄧㆲ</v>
      </c>
      <c r="H30" s="169" t="str">
        <f xml:space="preserve"> IF([6]十五音音節表!G27&lt;&gt;"", _xlfn.CONCAT(H$4,$E30), "")</f>
        <v/>
      </c>
      <c r="I30" s="169" t="str">
        <f xml:space="preserve"> IF([6]十五音音節表!H27&lt;&gt;"", _xlfn.CONCAT(I$4,$E30), "")</f>
        <v/>
      </c>
      <c r="J30" s="169" t="str">
        <f xml:space="preserve"> IF([6]十五音音節表!I27&lt;&gt;"", _xlfn.CONCAT(J$4,$E30), "")</f>
        <v>ㄍㄧㆲ</v>
      </c>
      <c r="K30" s="169" t="str">
        <f xml:space="preserve"> IF([6]十五音音節表!J27&lt;&gt;"", _xlfn.CONCAT(K$4,$E30), "")</f>
        <v>ㄎㄧㆲ</v>
      </c>
      <c r="L30" s="169" t="str">
        <f xml:space="preserve"> IF([6]十五音音節表!K27&lt;&gt;"", _xlfn.CONCAT(L$4,$E30), "")</f>
        <v>ㄉㄧㆲ</v>
      </c>
      <c r="M30" s="169" t="str">
        <f xml:space="preserve"> IF([6]十五音音節表!L27&lt;&gt;"", _xlfn.CONCAT(M$4,$E30), "")</f>
        <v/>
      </c>
      <c r="N30" s="169" t="str">
        <f xml:space="preserve"> IF([6]十五音音節表!M27&lt;&gt;"", _xlfn.CONCAT(N$4,$E30), "")</f>
        <v>ㄊㄧㆲ</v>
      </c>
      <c r="O30" s="169" t="str">
        <f xml:space="preserve"> IF([6]十五音音節表!N27&lt;&gt;"", _xlfn.CONCAT(O$4,$E30), "")</f>
        <v>ㄗㄧㆲ</v>
      </c>
      <c r="P30" s="169" t="str">
        <f xml:space="preserve"> IF([6]十五音音節表!O27&lt;&gt;"", _xlfn.CONCAT(P$4,$E30), "")</f>
        <v>ㆡㄧㆲ</v>
      </c>
      <c r="Q30" s="169" t="str">
        <f xml:space="preserve"> IF([6]十五音音節表!P27&lt;&gt;"", _xlfn.CONCAT(Q$4,$E30), "")</f>
        <v>ㄙㄧㆲ</v>
      </c>
      <c r="R30" s="169" t="str">
        <f xml:space="preserve"> IF([6]十五音音節表!Q27&lt;&gt;"", _xlfn.CONCAT(R$4,$E30), "")</f>
        <v>ㄧㆲ</v>
      </c>
      <c r="S30" s="169" t="str">
        <f xml:space="preserve"> IF([6]十五音音節表!R27&lt;&gt;"", _xlfn.CONCAT(S$4,$E30), "")</f>
        <v/>
      </c>
      <c r="T30" s="169" t="str">
        <f xml:space="preserve"> IF([6]十五音音節表!S27&lt;&gt;"", _xlfn.CONCAT(T$4,$E30), "")</f>
        <v/>
      </c>
      <c r="U30" s="169" t="str">
        <f xml:space="preserve"> IF([6]十五音音節表!T27&lt;&gt;"", _xlfn.CONCAT(U$4,$E30), "")</f>
        <v>ㆣㄧㆲ</v>
      </c>
      <c r="V30" s="169" t="str">
        <f xml:space="preserve"> IF([6]十五音音節表!U27&lt;&gt;"", _xlfn.CONCAT(V$4,$E30), "")</f>
        <v/>
      </c>
      <c r="W30" s="169" t="str">
        <f xml:space="preserve"> IF([6]十五音音節表!V27&lt;&gt;"", _xlfn.CONCAT(W$4,$E30), "")</f>
        <v>ㄘㄧㆲ</v>
      </c>
      <c r="X30" s="169" t="str">
        <f xml:space="preserve"> IF([6]十五音音節表!W27&lt;&gt;"", _xlfn.CONCAT(X$4,$E30), "")</f>
        <v>ㄏㄧㆲ</v>
      </c>
      <c r="Y30" s="164" t="s">
        <v>403</v>
      </c>
      <c r="Z30" s="156" t="s">
        <v>402</v>
      </c>
      <c r="AA30" s="156" t="s">
        <v>672</v>
      </c>
    </row>
    <row r="31" spans="2:27" outlineLevel="1">
      <c r="B31" s="168">
        <v>14</v>
      </c>
      <c r="C31" s="156" t="s">
        <v>914</v>
      </c>
      <c r="D31" s="156" t="s">
        <v>398</v>
      </c>
      <c r="E31" s="164" t="s">
        <v>400</v>
      </c>
      <c r="F31" s="156" t="s">
        <v>671</v>
      </c>
      <c r="G31" s="169" t="str">
        <f xml:space="preserve"> IF([6]十五音音節表!F28&lt;&gt;"", _xlfn.CONCAT(G$4,$E31), "")</f>
        <v>ㄌㄧㆦㆻ</v>
      </c>
      <c r="H31" s="169" t="str">
        <f xml:space="preserve"> IF([6]十五音音節表!G28&lt;&gt;"", _xlfn.CONCAT(H$4,$E31), "")</f>
        <v/>
      </c>
      <c r="I31" s="169" t="str">
        <f xml:space="preserve"> IF([6]十五音音節表!H28&lt;&gt;"", _xlfn.CONCAT(I$4,$E31), "")</f>
        <v/>
      </c>
      <c r="J31" s="169" t="str">
        <f xml:space="preserve"> IF([6]十五音音節表!I28&lt;&gt;"", _xlfn.CONCAT(J$4,$E31), "")</f>
        <v>ㄍㄧㆦㆻ</v>
      </c>
      <c r="K31" s="169" t="str">
        <f xml:space="preserve"> IF([6]十五音音節表!J28&lt;&gt;"", _xlfn.CONCAT(K$4,$E31), "")</f>
        <v>ㄎㄧㆦㆻ</v>
      </c>
      <c r="L31" s="169" t="str">
        <f xml:space="preserve"> IF([6]十五音音節表!K28&lt;&gt;"", _xlfn.CONCAT(L$4,$E31), "")</f>
        <v>ㄉㄧㆦㆻ</v>
      </c>
      <c r="M31" s="169" t="str">
        <f xml:space="preserve"> IF([6]十五音音節表!L28&lt;&gt;"", _xlfn.CONCAT(M$4,$E31), "")</f>
        <v/>
      </c>
      <c r="N31" s="169" t="str">
        <f xml:space="preserve"> IF([6]十五音音節表!M28&lt;&gt;"", _xlfn.CONCAT(N$4,$E31), "")</f>
        <v>ㄊㄧㆦㆻ</v>
      </c>
      <c r="O31" s="169" t="str">
        <f xml:space="preserve"> IF([6]十五音音節表!N28&lt;&gt;"", _xlfn.CONCAT(O$4,$E31), "")</f>
        <v>ㄗㄧㆦㆻ</v>
      </c>
      <c r="P31" s="169" t="str">
        <f xml:space="preserve"> IF([6]十五音音節表!O28&lt;&gt;"", _xlfn.CONCAT(P$4,$E31), "")</f>
        <v>ㆡㄧㆦㆻ</v>
      </c>
      <c r="Q31" s="169" t="str">
        <f xml:space="preserve"> IF([6]十五音音節表!P28&lt;&gt;"", _xlfn.CONCAT(Q$4,$E31), "")</f>
        <v>ㄙㄧㆦㆻ</v>
      </c>
      <c r="R31" s="169" t="str">
        <f xml:space="preserve"> IF([6]十五音音節表!Q28&lt;&gt;"", _xlfn.CONCAT(R$4,$E31), "")</f>
        <v>ㄧㆦㆻ</v>
      </c>
      <c r="S31" s="169" t="str">
        <f xml:space="preserve"> IF([6]十五音音節表!R28&lt;&gt;"", _xlfn.CONCAT(S$4,$E31), "")</f>
        <v/>
      </c>
      <c r="T31" s="169" t="str">
        <f xml:space="preserve"> IF([6]十五音音節表!S28&lt;&gt;"", _xlfn.CONCAT(T$4,$E31), "")</f>
        <v/>
      </c>
      <c r="U31" s="169" t="str">
        <f xml:space="preserve"> IF([6]十五音音節表!T28&lt;&gt;"", _xlfn.CONCAT(U$4,$E31), "")</f>
        <v>ㆣㄧㆦㆻ</v>
      </c>
      <c r="V31" s="169" t="str">
        <f xml:space="preserve"> IF([6]十五音音節表!U28&lt;&gt;"", _xlfn.CONCAT(V$4,$E31), "")</f>
        <v/>
      </c>
      <c r="W31" s="169" t="str">
        <f xml:space="preserve"> IF([6]十五音音節表!V28&lt;&gt;"", _xlfn.CONCAT(W$4,$E31), "")</f>
        <v>ㄘㄧㆦㆻ</v>
      </c>
      <c r="X31" s="169" t="str">
        <f xml:space="preserve"> IF([6]十五音音節表!W28&lt;&gt;"", _xlfn.CONCAT(X$4,$E31), "")</f>
        <v>ㄏㄧㆦㆻ</v>
      </c>
      <c r="Y31" s="164" t="s">
        <v>400</v>
      </c>
      <c r="Z31" s="156" t="s">
        <v>398</v>
      </c>
      <c r="AA31" s="156" t="s">
        <v>671</v>
      </c>
    </row>
    <row r="32" spans="2:27">
      <c r="B32" s="168">
        <v>15</v>
      </c>
      <c r="C32" s="156" t="s">
        <v>877</v>
      </c>
      <c r="D32" s="156" t="s">
        <v>445</v>
      </c>
      <c r="E32" s="164" t="s">
        <v>447</v>
      </c>
      <c r="F32" s="156" t="s">
        <v>683</v>
      </c>
      <c r="G32" s="169" t="str">
        <f xml:space="preserve"> IF([6]十五音音節表!F29&lt;&gt;"", _xlfn.CONCAT(G$4,$E32), "")</f>
        <v>ㄌㄜ</v>
      </c>
      <c r="H32" s="169" t="str">
        <f xml:space="preserve"> IF([6]十五音音節表!G29&lt;&gt;"", _xlfn.CONCAT(H$4,$E32), "")</f>
        <v/>
      </c>
      <c r="I32" s="169" t="str">
        <f xml:space="preserve"> IF([6]十五音音節表!H29&lt;&gt;"", _xlfn.CONCAT(I$4,$E32), "")</f>
        <v>ㄅㄜ</v>
      </c>
      <c r="J32" s="169" t="str">
        <f xml:space="preserve"> IF([6]十五音音節表!I29&lt;&gt;"", _xlfn.CONCAT(J$4,$E32), "")</f>
        <v>ㄍㄜ</v>
      </c>
      <c r="K32" s="169" t="str">
        <f xml:space="preserve"> IF([6]十五音音節表!J29&lt;&gt;"", _xlfn.CONCAT(K$4,$E32), "")</f>
        <v>ㄎㄜ</v>
      </c>
      <c r="L32" s="169" t="str">
        <f xml:space="preserve"> IF([6]十五音音節表!K29&lt;&gt;"", _xlfn.CONCAT(L$4,$E32), "")</f>
        <v>ㄉㄜ</v>
      </c>
      <c r="M32" s="169" t="str">
        <f xml:space="preserve"> IF([6]十五音音節表!L29&lt;&gt;"", _xlfn.CONCAT(M$4,$E32), "")</f>
        <v>ㄆㄜ</v>
      </c>
      <c r="N32" s="169" t="str">
        <f xml:space="preserve"> IF([6]十五音音節表!M29&lt;&gt;"", _xlfn.CONCAT(N$4,$E32), "")</f>
        <v>ㄊㄜ</v>
      </c>
      <c r="O32" s="169" t="str">
        <f xml:space="preserve"> IF([6]十五音音節表!N29&lt;&gt;"", _xlfn.CONCAT(O$4,$E32), "")</f>
        <v>ㄗㄜ</v>
      </c>
      <c r="P32" s="169" t="str">
        <f xml:space="preserve"> IF([6]十五音音節表!O29&lt;&gt;"", _xlfn.CONCAT(P$4,$E32), "")</f>
        <v/>
      </c>
      <c r="Q32" s="169" t="str">
        <f xml:space="preserve"> IF([6]十五音音節表!P29&lt;&gt;"", _xlfn.CONCAT(Q$4,$E32), "")</f>
        <v>ㄙㄜ</v>
      </c>
      <c r="R32" s="169" t="str">
        <f xml:space="preserve"> IF([6]十五音音節表!Q29&lt;&gt;"", _xlfn.CONCAT(R$4,$E32), "")</f>
        <v>ㄜ</v>
      </c>
      <c r="S32" s="169" t="str">
        <f xml:space="preserve"> IF([6]十五音音節表!R29&lt;&gt;"", _xlfn.CONCAT(S$4,$E32), "")</f>
        <v>ㆠㄜ</v>
      </c>
      <c r="T32" s="169" t="str">
        <f xml:space="preserve"> IF([6]十五音音節表!S29&lt;&gt;"", _xlfn.CONCAT(T$4,$E32), "")</f>
        <v/>
      </c>
      <c r="U32" s="169" t="str">
        <f xml:space="preserve"> IF([6]十五音音節表!T29&lt;&gt;"", _xlfn.CONCAT(U$4,$E32), "")</f>
        <v>ㆣㄜ</v>
      </c>
      <c r="V32" s="169" t="str">
        <f xml:space="preserve"> IF([6]十五音音節表!U29&lt;&gt;"", _xlfn.CONCAT(V$4,$E32), "")</f>
        <v/>
      </c>
      <c r="W32" s="169" t="str">
        <f xml:space="preserve"> IF([6]十五音音節表!V29&lt;&gt;"", _xlfn.CONCAT(W$4,$E32), "")</f>
        <v>ㄘㄜ</v>
      </c>
      <c r="X32" s="169" t="str">
        <f xml:space="preserve"> IF([6]十五音音節表!W29&lt;&gt;"", _xlfn.CONCAT(X$4,$E32), "")</f>
        <v>ㄏㄜ</v>
      </c>
      <c r="Y32" s="164" t="s">
        <v>447</v>
      </c>
      <c r="Z32" s="156" t="s">
        <v>445</v>
      </c>
      <c r="AA32" s="156" t="s">
        <v>683</v>
      </c>
    </row>
    <row r="33" spans="2:27" outlineLevel="1">
      <c r="B33" s="168">
        <v>15</v>
      </c>
      <c r="C33" s="156" t="s">
        <v>915</v>
      </c>
      <c r="D33" s="156" t="s">
        <v>450</v>
      </c>
      <c r="E33" s="164" t="s">
        <v>452</v>
      </c>
      <c r="F33" s="156" t="s">
        <v>684</v>
      </c>
      <c r="G33" s="169" t="str">
        <f xml:space="preserve"> IF([6]十五音音節表!F30&lt;&gt;"", _xlfn.CONCAT(G$4,$E33), "")</f>
        <v>ㄌㄜㆷ</v>
      </c>
      <c r="H33" s="169" t="str">
        <f xml:space="preserve"> IF([6]十五音音節表!G30&lt;&gt;"", _xlfn.CONCAT(H$4,$E33), "")</f>
        <v/>
      </c>
      <c r="I33" s="169" t="str">
        <f xml:space="preserve"> IF([6]十五音音節表!H30&lt;&gt;"", _xlfn.CONCAT(I$4,$E33), "")</f>
        <v>ㄅㄜㆷ</v>
      </c>
      <c r="J33" s="169" t="str">
        <f xml:space="preserve"> IF([6]十五音音節表!I30&lt;&gt;"", _xlfn.CONCAT(J$4,$E33), "")</f>
        <v>ㄍㄜㆷ</v>
      </c>
      <c r="K33" s="169" t="str">
        <f xml:space="preserve"> IF([6]十五音音節表!J30&lt;&gt;"", _xlfn.CONCAT(K$4,$E33), "")</f>
        <v/>
      </c>
      <c r="L33" s="169" t="str">
        <f xml:space="preserve"> IF([6]十五音音節表!K30&lt;&gt;"", _xlfn.CONCAT(L$4,$E33), "")</f>
        <v>ㄉㄜㆷ</v>
      </c>
      <c r="M33" s="169" t="str">
        <f xml:space="preserve"> IF([6]十五音音節表!L30&lt;&gt;"", _xlfn.CONCAT(M$4,$E33), "")</f>
        <v>ㄆㄜㆷ</v>
      </c>
      <c r="N33" s="169" t="str">
        <f xml:space="preserve"> IF([6]十五音音節表!M30&lt;&gt;"", _xlfn.CONCAT(N$4,$E33), "")</f>
        <v>ㄊㄜㆷ</v>
      </c>
      <c r="O33" s="169" t="str">
        <f xml:space="preserve"> IF([6]十五音音節表!N30&lt;&gt;"", _xlfn.CONCAT(O$4,$E33), "")</f>
        <v>ㄗㄜㆷ</v>
      </c>
      <c r="P33" s="169" t="str">
        <f xml:space="preserve"> IF([6]十五音音節表!O30&lt;&gt;"", _xlfn.CONCAT(P$4,$E33), "")</f>
        <v/>
      </c>
      <c r="Q33" s="169" t="str">
        <f xml:space="preserve"> IF([6]十五音音節表!P30&lt;&gt;"", _xlfn.CONCAT(Q$4,$E33), "")</f>
        <v>ㄙㄜㆷ</v>
      </c>
      <c r="R33" s="169" t="str">
        <f xml:space="preserve"> IF([6]十五音音節表!Q30&lt;&gt;"", _xlfn.CONCAT(R$4,$E33), "")</f>
        <v>ㄜㆷ</v>
      </c>
      <c r="S33" s="169" t="str">
        <f xml:space="preserve"> IF([6]十五音音節表!R30&lt;&gt;"", _xlfn.CONCAT(S$4,$E33), "")</f>
        <v/>
      </c>
      <c r="T33" s="169" t="str">
        <f xml:space="preserve"> IF([6]十五音音節表!S30&lt;&gt;"", _xlfn.CONCAT(T$4,$E33), "")</f>
        <v/>
      </c>
      <c r="U33" s="169" t="str">
        <f xml:space="preserve"> IF([6]十五音音節表!T30&lt;&gt;"", _xlfn.CONCAT(U$4,$E33), "")</f>
        <v/>
      </c>
      <c r="V33" s="169" t="str">
        <f xml:space="preserve"> IF([6]十五音音節表!U30&lt;&gt;"", _xlfn.CONCAT(V$4,$E33), "")</f>
        <v/>
      </c>
      <c r="W33" s="169" t="str">
        <f xml:space="preserve"> IF([6]十五音音節表!V30&lt;&gt;"", _xlfn.CONCAT(W$4,$E33), "")</f>
        <v>ㄘㄜㆷ</v>
      </c>
      <c r="X33" s="169" t="str">
        <f xml:space="preserve"> IF([6]十五音音節表!W30&lt;&gt;"", _xlfn.CONCAT(X$4,$E33), "")</f>
        <v>ㄏㄜㆷ</v>
      </c>
      <c r="Y33" s="164" t="s">
        <v>452</v>
      </c>
      <c r="Z33" s="156" t="s">
        <v>450</v>
      </c>
      <c r="AA33" s="156" t="s">
        <v>684</v>
      </c>
    </row>
    <row r="34" spans="2:27">
      <c r="B34" s="168">
        <v>16</v>
      </c>
      <c r="C34" s="156" t="s">
        <v>916</v>
      </c>
      <c r="D34" s="156" t="s">
        <v>232</v>
      </c>
      <c r="E34" s="164" t="s">
        <v>233</v>
      </c>
      <c r="F34" s="156" t="s">
        <v>631</v>
      </c>
      <c r="G34" s="169" t="str">
        <f xml:space="preserve"> IF([6]十五音音節表!F31&lt;&gt;"", _xlfn.CONCAT(G$4,$E34), "")</f>
        <v>ㄌㄞ</v>
      </c>
      <c r="H34" s="169" t="str">
        <f xml:space="preserve"> IF([6]十五音音節表!G31&lt;&gt;"", _xlfn.CONCAT(H$4,$E34), "")</f>
        <v>ㄋㄞ</v>
      </c>
      <c r="I34" s="169" t="str">
        <f xml:space="preserve"> IF([6]十五音音節表!H31&lt;&gt;"", _xlfn.CONCAT(I$4,$E34), "")</f>
        <v>ㄅㄞ</v>
      </c>
      <c r="J34" s="169" t="str">
        <f xml:space="preserve"> IF([6]十五音音節表!I31&lt;&gt;"", _xlfn.CONCAT(J$4,$E34), "")</f>
        <v>ㄍㄞ</v>
      </c>
      <c r="K34" s="169" t="str">
        <f xml:space="preserve"> IF([6]十五音音節表!J31&lt;&gt;"", _xlfn.CONCAT(K$4,$E34), "")</f>
        <v>ㄎㄞ</v>
      </c>
      <c r="L34" s="169" t="str">
        <f xml:space="preserve"> IF([6]十五音音節表!K31&lt;&gt;"", _xlfn.CONCAT(L$4,$E34), "")</f>
        <v>ㄉㄞ</v>
      </c>
      <c r="M34" s="169" t="str">
        <f xml:space="preserve"> IF([6]十五音音節表!L31&lt;&gt;"", _xlfn.CONCAT(M$4,$E34), "")</f>
        <v>ㄆㄞ</v>
      </c>
      <c r="N34" s="169" t="str">
        <f xml:space="preserve"> IF([6]十五音音節表!M31&lt;&gt;"", _xlfn.CONCAT(N$4,$E34), "")</f>
        <v>ㄊㄞ</v>
      </c>
      <c r="O34" s="169" t="str">
        <f xml:space="preserve"> IF([6]十五音音節表!N31&lt;&gt;"", _xlfn.CONCAT(O$4,$E34), "")</f>
        <v>ㄗㄞ</v>
      </c>
      <c r="P34" s="169" t="str">
        <f xml:space="preserve"> IF([6]十五音音節表!O31&lt;&gt;"", _xlfn.CONCAT(P$4,$E34), "")</f>
        <v/>
      </c>
      <c r="Q34" s="169" t="str">
        <f xml:space="preserve"> IF([6]十五音音節表!P31&lt;&gt;"", _xlfn.CONCAT(Q$4,$E34), "")</f>
        <v>ㄙㄞ</v>
      </c>
      <c r="R34" s="169" t="str">
        <f xml:space="preserve"> IF([6]十五音音節表!Q31&lt;&gt;"", _xlfn.CONCAT(R$4,$E34), "")</f>
        <v>ㄞ</v>
      </c>
      <c r="S34" s="169" t="str">
        <f xml:space="preserve"> IF([6]十五音音節表!R31&lt;&gt;"", _xlfn.CONCAT(S$4,$E34), "")</f>
        <v>ㆠㄞ</v>
      </c>
      <c r="T34" s="169" t="str">
        <f xml:space="preserve"> IF([6]十五音音節表!S31&lt;&gt;"", _xlfn.CONCAT(T$4,$E34), "")</f>
        <v>ㄇㄞ</v>
      </c>
      <c r="U34" s="169" t="str">
        <f xml:space="preserve"> IF([6]十五音音節表!T31&lt;&gt;"", _xlfn.CONCAT(U$4,$E34), "")</f>
        <v>ㆣㄞ</v>
      </c>
      <c r="V34" s="169" t="str">
        <f xml:space="preserve"> IF([6]十五音音節表!U31&lt;&gt;"", _xlfn.CONCAT(V$4,$E34), "")</f>
        <v>ㄫㄞ</v>
      </c>
      <c r="W34" s="169" t="str">
        <f xml:space="preserve"> IF([6]十五音音節表!V31&lt;&gt;"", _xlfn.CONCAT(W$4,$E34), "")</f>
        <v>ㄘㄞ</v>
      </c>
      <c r="X34" s="169" t="str">
        <f xml:space="preserve"> IF([6]十五音音節表!W31&lt;&gt;"", _xlfn.CONCAT(X$4,$E34), "")</f>
        <v>ㄏㄞ</v>
      </c>
      <c r="Y34" s="164" t="s">
        <v>233</v>
      </c>
      <c r="Z34" s="156" t="s">
        <v>232</v>
      </c>
      <c r="AA34" s="156" t="s">
        <v>631</v>
      </c>
    </row>
    <row r="35" spans="2:27">
      <c r="B35" s="168">
        <v>17</v>
      </c>
      <c r="C35" s="156" t="s">
        <v>377</v>
      </c>
      <c r="D35" s="156" t="s">
        <v>377</v>
      </c>
      <c r="E35" s="164" t="s">
        <v>378</v>
      </c>
      <c r="F35" s="156" t="s">
        <v>667</v>
      </c>
      <c r="G35" s="169" t="str">
        <f xml:space="preserve"> IF([6]十五音音節表!F32&lt;&gt;"", _xlfn.CONCAT(G$4,$E35), "")</f>
        <v>ㄌㄧㄣ</v>
      </c>
      <c r="H35" s="169" t="str">
        <f xml:space="preserve"> IF([6]十五音音節表!G32&lt;&gt;"", _xlfn.CONCAT(H$4,$E35), "")</f>
        <v/>
      </c>
      <c r="I35" s="169" t="str">
        <f xml:space="preserve"> IF([6]十五音音節表!H32&lt;&gt;"", _xlfn.CONCAT(I$4,$E35), "")</f>
        <v>ㄅㄧㄣ</v>
      </c>
      <c r="J35" s="169" t="str">
        <f xml:space="preserve"> IF([6]十五音音節表!I32&lt;&gt;"", _xlfn.CONCAT(J$4,$E35), "")</f>
        <v>ㄍㄧㄣ</v>
      </c>
      <c r="K35" s="169" t="str">
        <f xml:space="preserve"> IF([6]十五音音節表!J32&lt;&gt;"", _xlfn.CONCAT(K$4,$E35), "")</f>
        <v>ㄎㄧㄣ</v>
      </c>
      <c r="L35" s="169" t="str">
        <f xml:space="preserve"> IF([6]十五音音節表!K32&lt;&gt;"", _xlfn.CONCAT(L$4,$E35), "")</f>
        <v>ㄉㄧㄣ</v>
      </c>
      <c r="M35" s="169" t="str">
        <f xml:space="preserve"> IF([6]十五音音節表!L32&lt;&gt;"", _xlfn.CONCAT(M$4,$E35), "")</f>
        <v>ㄆㄧㄣ</v>
      </c>
      <c r="N35" s="169" t="str">
        <f xml:space="preserve"> IF([6]十五音音節表!M32&lt;&gt;"", _xlfn.CONCAT(N$4,$E35), "")</f>
        <v>ㄊㄧㄣ</v>
      </c>
      <c r="O35" s="169" t="str">
        <f xml:space="preserve"> IF([6]十五音音節表!N32&lt;&gt;"", _xlfn.CONCAT(O$4,$E35), "")</f>
        <v>ㄗㄧㄣ</v>
      </c>
      <c r="P35" s="169" t="str">
        <f xml:space="preserve"> IF([6]十五音音節表!O32&lt;&gt;"", _xlfn.CONCAT(P$4,$E35), "")</f>
        <v>ㆡㄧㄣ</v>
      </c>
      <c r="Q35" s="169" t="str">
        <f xml:space="preserve"> IF([6]十五音音節表!P32&lt;&gt;"", _xlfn.CONCAT(Q$4,$E35), "")</f>
        <v>ㄙㄧㄣ</v>
      </c>
      <c r="R35" s="169" t="str">
        <f xml:space="preserve"> IF([6]十五音音節表!Q32&lt;&gt;"", _xlfn.CONCAT(R$4,$E35), "")</f>
        <v>ㄧㄣ</v>
      </c>
      <c r="S35" s="169" t="str">
        <f xml:space="preserve"> IF([6]十五音音節表!R32&lt;&gt;"", _xlfn.CONCAT(S$4,$E35), "")</f>
        <v>ㆠㄧㄣ</v>
      </c>
      <c r="T35" s="169" t="str">
        <f xml:space="preserve"> IF([6]十五音音節表!S32&lt;&gt;"", _xlfn.CONCAT(T$4,$E35), "")</f>
        <v/>
      </c>
      <c r="U35" s="169" t="str">
        <f xml:space="preserve"> IF([6]十五音音節表!T32&lt;&gt;"", _xlfn.CONCAT(U$4,$E35), "")</f>
        <v>ㆣㄧㄣ</v>
      </c>
      <c r="V35" s="169" t="str">
        <f xml:space="preserve"> IF([6]十五音音節表!U32&lt;&gt;"", _xlfn.CONCAT(V$4,$E35), "")</f>
        <v/>
      </c>
      <c r="W35" s="169" t="str">
        <f xml:space="preserve"> IF([6]十五音音節表!V32&lt;&gt;"", _xlfn.CONCAT(W$4,$E35), "")</f>
        <v>ㄘㄧㄣ</v>
      </c>
      <c r="X35" s="169" t="str">
        <f xml:space="preserve"> IF([6]十五音音節表!W32&lt;&gt;"", _xlfn.CONCAT(X$4,$E35), "")</f>
        <v>ㄏㄧㄣ</v>
      </c>
      <c r="Y35" s="164" t="s">
        <v>378</v>
      </c>
      <c r="Z35" s="156" t="s">
        <v>377</v>
      </c>
      <c r="AA35" s="156" t="s">
        <v>667</v>
      </c>
    </row>
    <row r="36" spans="2:27" outlineLevel="1">
      <c r="B36" s="168">
        <v>17</v>
      </c>
      <c r="C36" s="156" t="s">
        <v>917</v>
      </c>
      <c r="D36" s="156" t="s">
        <v>410</v>
      </c>
      <c r="E36" s="164" t="s">
        <v>411</v>
      </c>
      <c r="F36" s="156" t="s">
        <v>674</v>
      </c>
      <c r="G36" s="169" t="str">
        <f xml:space="preserve"> IF([6]十五音音節表!F33&lt;&gt;"", _xlfn.CONCAT(G$4,$E36), "")</f>
        <v/>
      </c>
      <c r="H36" s="169" t="str">
        <f xml:space="preserve"> IF([6]十五音音節表!G33&lt;&gt;"", _xlfn.CONCAT(H$4,$E36), "")</f>
        <v/>
      </c>
      <c r="I36" s="169" t="str">
        <f xml:space="preserve"> IF([6]十五音音節表!H33&lt;&gt;"", _xlfn.CONCAT(I$4,$E36), "")</f>
        <v>ㄅㄧㆵ</v>
      </c>
      <c r="J36" s="169" t="str">
        <f xml:space="preserve"> IF([6]十五音音節表!I33&lt;&gt;"", _xlfn.CONCAT(J$4,$E36), "")</f>
        <v>ㄍㄧㆵ</v>
      </c>
      <c r="K36" s="169" t="str">
        <f xml:space="preserve"> IF([6]十五音音節表!J33&lt;&gt;"", _xlfn.CONCAT(K$4,$E36), "")</f>
        <v>ㄎㄧㆵ</v>
      </c>
      <c r="L36" s="169" t="str">
        <f xml:space="preserve"> IF([6]十五音音節表!K33&lt;&gt;"", _xlfn.CONCAT(L$4,$E36), "")</f>
        <v>ㄉㄧㆵ</v>
      </c>
      <c r="M36" s="169" t="str">
        <f xml:space="preserve"> IF([6]十五音音節表!L33&lt;&gt;"", _xlfn.CONCAT(M$4,$E36), "")</f>
        <v>ㄆㄧㆵ</v>
      </c>
      <c r="N36" s="169" t="str">
        <f xml:space="preserve"> IF([6]十五音音節表!M33&lt;&gt;"", _xlfn.CONCAT(N$4,$E36), "")</f>
        <v/>
      </c>
      <c r="O36" s="169" t="str">
        <f xml:space="preserve"> IF([6]十五音音節表!N33&lt;&gt;"", _xlfn.CONCAT(O$4,$E36), "")</f>
        <v>ㄗㄧㆵ</v>
      </c>
      <c r="P36" s="169" t="str">
        <f xml:space="preserve"> IF([6]十五音音節表!O33&lt;&gt;"", _xlfn.CONCAT(P$4,$E36), "")</f>
        <v>ㆡㄧㆵ</v>
      </c>
      <c r="Q36" s="169" t="str">
        <f xml:space="preserve"> IF([6]十五音音節表!P33&lt;&gt;"", _xlfn.CONCAT(Q$4,$E36), "")</f>
        <v>ㄙㄧㆵ</v>
      </c>
      <c r="R36" s="169" t="str">
        <f xml:space="preserve"> IF([6]十五音音節表!Q33&lt;&gt;"", _xlfn.CONCAT(R$4,$E36), "")</f>
        <v>ㄧㆵ</v>
      </c>
      <c r="S36" s="169" t="str">
        <f xml:space="preserve"> IF([6]十五音音節表!R33&lt;&gt;"", _xlfn.CONCAT(S$4,$E36), "")</f>
        <v>ㆠㄧㆵ</v>
      </c>
      <c r="T36" s="169" t="str">
        <f xml:space="preserve"> IF([6]十五音音節表!S33&lt;&gt;"", _xlfn.CONCAT(T$4,$E36), "")</f>
        <v/>
      </c>
      <c r="U36" s="169" t="str">
        <f xml:space="preserve"> IF([6]十五音音節表!T33&lt;&gt;"", _xlfn.CONCAT(U$4,$E36), "")</f>
        <v/>
      </c>
      <c r="V36" s="169" t="str">
        <f xml:space="preserve"> IF([6]十五音音節表!U33&lt;&gt;"", _xlfn.CONCAT(V$4,$E36), "")</f>
        <v/>
      </c>
      <c r="W36" s="169" t="str">
        <f xml:space="preserve"> IF([6]十五音音節表!V33&lt;&gt;"", _xlfn.CONCAT(W$4,$E36), "")</f>
        <v>ㄘㄧㆵ</v>
      </c>
      <c r="X36" s="169" t="str">
        <f xml:space="preserve"> IF([6]十五音音節表!W33&lt;&gt;"", _xlfn.CONCAT(X$4,$E36), "")</f>
        <v>ㄏㄧㆵ</v>
      </c>
      <c r="Y36" s="164" t="s">
        <v>411</v>
      </c>
      <c r="Z36" s="156" t="s">
        <v>410</v>
      </c>
      <c r="AA36" s="156" t="s">
        <v>674</v>
      </c>
    </row>
    <row r="37" spans="2:27">
      <c r="B37" s="168">
        <v>18</v>
      </c>
      <c r="C37" s="156" t="s">
        <v>918</v>
      </c>
      <c r="D37" s="156" t="s">
        <v>332</v>
      </c>
      <c r="E37" s="164" t="s">
        <v>333</v>
      </c>
      <c r="F37" s="156" t="s">
        <v>658</v>
      </c>
      <c r="G37" s="169" t="str">
        <f xml:space="preserve"> IF([6]十五音音節表!F34&lt;&gt;"", _xlfn.CONCAT(G$4,$E37), "")</f>
        <v>ㄌㄧㄤ</v>
      </c>
      <c r="H37" s="169" t="str">
        <f xml:space="preserve"> IF([6]十五音音節表!G34&lt;&gt;"", _xlfn.CONCAT(H$4,$E37), "")</f>
        <v/>
      </c>
      <c r="I37" s="169" t="str">
        <f xml:space="preserve"> IF([6]十五音音節表!H34&lt;&gt;"", _xlfn.CONCAT(I$4,$E37), "")</f>
        <v>ㄅㄧㄤ</v>
      </c>
      <c r="J37" s="169" t="str">
        <f xml:space="preserve"> IF([6]十五音音節表!I34&lt;&gt;"", _xlfn.CONCAT(J$4,$E37), "")</f>
        <v/>
      </c>
      <c r="K37" s="169" t="str">
        <f xml:space="preserve"> IF([6]十五音音節表!J34&lt;&gt;"", _xlfn.CONCAT(K$4,$E37), "")</f>
        <v>ㄎㄧㄤ</v>
      </c>
      <c r="L37" s="169" t="str">
        <f xml:space="preserve"> IF([6]十五音音節表!K34&lt;&gt;"", _xlfn.CONCAT(L$4,$E37), "")</f>
        <v/>
      </c>
      <c r="M37" s="169" t="str">
        <f xml:space="preserve"> IF([6]十五音音節表!L34&lt;&gt;"", _xlfn.CONCAT(M$4,$E37), "")</f>
        <v>ㄆㄧㄤ</v>
      </c>
      <c r="N37" s="169" t="str">
        <f xml:space="preserve"> IF([6]十五音音節表!M34&lt;&gt;"", _xlfn.CONCAT(N$4,$E37), "")</f>
        <v/>
      </c>
      <c r="O37" s="169" t="str">
        <f xml:space="preserve"> IF([6]十五音音節表!N34&lt;&gt;"", _xlfn.CONCAT(O$4,$E37), "")</f>
        <v>ㄗㄧㄤ</v>
      </c>
      <c r="P37" s="169" t="str">
        <f xml:space="preserve"> IF([6]十五音音節表!O34&lt;&gt;"", _xlfn.CONCAT(P$4,$E37), "")</f>
        <v>ㆡㄧㄤ</v>
      </c>
      <c r="Q37" s="169" t="str">
        <f xml:space="preserve"> IF([6]十五音音節表!P34&lt;&gt;"", _xlfn.CONCAT(Q$4,$E37), "")</f>
        <v>ㄙㄧㄤ</v>
      </c>
      <c r="R37" s="169" t="str">
        <f xml:space="preserve"> IF([6]十五音音節表!Q34&lt;&gt;"", _xlfn.CONCAT(R$4,$E37), "")</f>
        <v>ㄧㄤ</v>
      </c>
      <c r="S37" s="169" t="str">
        <f xml:space="preserve"> IF([6]十五音音節表!R34&lt;&gt;"", _xlfn.CONCAT(S$4,$E37), "")</f>
        <v/>
      </c>
      <c r="T37" s="169" t="str">
        <f xml:space="preserve"> IF([6]十五音音節表!S34&lt;&gt;"", _xlfn.CONCAT(T$4,$E37), "")</f>
        <v/>
      </c>
      <c r="U37" s="169" t="str">
        <f xml:space="preserve"> IF([6]十五音音節表!T34&lt;&gt;"", _xlfn.CONCAT(U$4,$E37), "")</f>
        <v>ㆣㄧㄤ</v>
      </c>
      <c r="V37" s="169" t="str">
        <f xml:space="preserve"> IF([6]十五音音節表!U34&lt;&gt;"", _xlfn.CONCAT(V$4,$E37), "")</f>
        <v/>
      </c>
      <c r="W37" s="169" t="str">
        <f xml:space="preserve"> IF([6]十五音音節表!V34&lt;&gt;"", _xlfn.CONCAT(W$4,$E37), "")</f>
        <v>ㄘㄧㄤ</v>
      </c>
      <c r="X37" s="169" t="str">
        <f xml:space="preserve"> IF([6]十五音音節表!W34&lt;&gt;"", _xlfn.CONCAT(X$4,$E37), "")</f>
        <v>ㄏㄧㄤ</v>
      </c>
      <c r="Y37" s="164" t="s">
        <v>333</v>
      </c>
      <c r="Z37" s="156" t="s">
        <v>332</v>
      </c>
      <c r="AA37" s="156" t="s">
        <v>658</v>
      </c>
    </row>
    <row r="38" spans="2:27" outlineLevel="1">
      <c r="B38" s="168">
        <v>18</v>
      </c>
      <c r="C38" s="156" t="s">
        <v>919</v>
      </c>
      <c r="D38" s="156" t="s">
        <v>323</v>
      </c>
      <c r="E38" s="164" t="s">
        <v>324</v>
      </c>
      <c r="F38" s="156" t="s">
        <v>655</v>
      </c>
      <c r="G38" s="169" t="str">
        <f xml:space="preserve"> IF([6]十五音音節表!F35&lt;&gt;"", _xlfn.CONCAT(G$4,$E38), "")</f>
        <v/>
      </c>
      <c r="H38" s="169" t="str">
        <f xml:space="preserve"> IF([6]十五音音節表!G35&lt;&gt;"", _xlfn.CONCAT(H$4,$E38), "")</f>
        <v/>
      </c>
      <c r="I38" s="169" t="str">
        <f xml:space="preserve"> IF([6]十五音音節表!H35&lt;&gt;"", _xlfn.CONCAT(I$4,$E38), "")</f>
        <v>ㄅㄧㄚㆻ</v>
      </c>
      <c r="J38" s="169" t="str">
        <f xml:space="preserve"> IF([6]十五音音節表!I35&lt;&gt;"", _xlfn.CONCAT(J$4,$E38), "")</f>
        <v/>
      </c>
      <c r="K38" s="169" t="str">
        <f xml:space="preserve"> IF([6]十五音音節表!J35&lt;&gt;"", _xlfn.CONCAT(K$4,$E38), "")</f>
        <v>ㄎㄧㄚㆻ</v>
      </c>
      <c r="L38" s="169" t="str">
        <f xml:space="preserve"> IF([6]十五音音節表!K35&lt;&gt;"", _xlfn.CONCAT(L$4,$E38), "")</f>
        <v>ㄉㄧㄚㆻ</v>
      </c>
      <c r="M38" s="169" t="str">
        <f xml:space="preserve"> IF([6]十五音音節表!L35&lt;&gt;"", _xlfn.CONCAT(M$4,$E38), "")</f>
        <v>ㄆㄧㄚㆻ</v>
      </c>
      <c r="N38" s="169" t="str">
        <f xml:space="preserve"> IF([6]十五音音節表!M35&lt;&gt;"", _xlfn.CONCAT(N$4,$E38), "")</f>
        <v/>
      </c>
      <c r="O38" s="169" t="str">
        <f xml:space="preserve"> IF([6]十五音音節表!N35&lt;&gt;"", _xlfn.CONCAT(O$4,$E38), "")</f>
        <v/>
      </c>
      <c r="P38" s="169" t="str">
        <f xml:space="preserve"> IF([6]十五音音節表!O35&lt;&gt;"", _xlfn.CONCAT(P$4,$E38), "")</f>
        <v/>
      </c>
      <c r="Q38" s="169" t="str">
        <f xml:space="preserve"> IF([6]十五音音節表!P35&lt;&gt;"", _xlfn.CONCAT(Q$4,$E38), "")</f>
        <v>ㄙㄧㄚㆻ</v>
      </c>
      <c r="R38" s="169" t="str">
        <f xml:space="preserve"> IF([6]十五音音節表!Q35&lt;&gt;"", _xlfn.CONCAT(R$4,$E38), "")</f>
        <v/>
      </c>
      <c r="S38" s="169" t="str">
        <f xml:space="preserve"> IF([6]十五音音節表!R35&lt;&gt;"", _xlfn.CONCAT(S$4,$E38), "")</f>
        <v/>
      </c>
      <c r="T38" s="169" t="str">
        <f xml:space="preserve"> IF([6]十五音音節表!S35&lt;&gt;"", _xlfn.CONCAT(T$4,$E38), "")</f>
        <v/>
      </c>
      <c r="U38" s="169" t="str">
        <f xml:space="preserve"> IF([6]十五音音節表!T35&lt;&gt;"", _xlfn.CONCAT(U$4,$E38), "")</f>
        <v/>
      </c>
      <c r="V38" s="169" t="str">
        <f xml:space="preserve"> IF([6]十五音音節表!U35&lt;&gt;"", _xlfn.CONCAT(V$4,$E38), "")</f>
        <v/>
      </c>
      <c r="W38" s="169" t="str">
        <f xml:space="preserve"> IF([6]十五音音節表!V35&lt;&gt;"", _xlfn.CONCAT(W$4,$E38), "")</f>
        <v>ㄘㄧㄚㆻ</v>
      </c>
      <c r="X38" s="169" t="str">
        <f xml:space="preserve"> IF([6]十五音音節表!W35&lt;&gt;"", _xlfn.CONCAT(X$4,$E38), "")</f>
        <v/>
      </c>
      <c r="Y38" s="164" t="s">
        <v>324</v>
      </c>
      <c r="Z38" s="156" t="s">
        <v>323</v>
      </c>
      <c r="AA38" s="156" t="s">
        <v>655</v>
      </c>
    </row>
    <row r="39" spans="2:27">
      <c r="B39" s="168">
        <v>19</v>
      </c>
      <c r="C39" s="156" t="s">
        <v>251</v>
      </c>
      <c r="D39" s="156" t="s">
        <v>251</v>
      </c>
      <c r="E39" s="164" t="s">
        <v>252</v>
      </c>
      <c r="F39" s="156" t="s">
        <v>635</v>
      </c>
      <c r="G39" s="169" t="str">
        <f xml:space="preserve"> IF([6]十五音音節表!F36&lt;&gt;"", _xlfn.CONCAT(G$4,$E39), "")</f>
        <v>ㄌㆰ</v>
      </c>
      <c r="H39" s="169" t="str">
        <f xml:space="preserve"> IF([6]十五音音節表!G36&lt;&gt;"", _xlfn.CONCAT(H$4,$E39), "")</f>
        <v/>
      </c>
      <c r="I39" s="169" t="str">
        <f xml:space="preserve"> IF([6]十五音音節表!H36&lt;&gt;"", _xlfn.CONCAT(I$4,$E39), "")</f>
        <v/>
      </c>
      <c r="J39" s="169" t="str">
        <f xml:space="preserve"> IF([6]十五音音節表!I36&lt;&gt;"", _xlfn.CONCAT(J$4,$E39), "")</f>
        <v>ㄍㆰ</v>
      </c>
      <c r="K39" s="169" t="str">
        <f xml:space="preserve"> IF([6]十五音音節表!J36&lt;&gt;"", _xlfn.CONCAT(K$4,$E39), "")</f>
        <v>ㄎㆰ</v>
      </c>
      <c r="L39" s="169" t="str">
        <f xml:space="preserve"> IF([6]十五音音節表!K36&lt;&gt;"", _xlfn.CONCAT(L$4,$E39), "")</f>
        <v>ㄉㆰ</v>
      </c>
      <c r="M39" s="169" t="str">
        <f xml:space="preserve"> IF([6]十五音音節表!L36&lt;&gt;"", _xlfn.CONCAT(M$4,$E39), "")</f>
        <v/>
      </c>
      <c r="N39" s="169" t="str">
        <f xml:space="preserve"> IF([6]十五音音節表!M36&lt;&gt;"", _xlfn.CONCAT(N$4,$E39), "")</f>
        <v>ㄊㆰ</v>
      </c>
      <c r="O39" s="169" t="str">
        <f xml:space="preserve"> IF([6]十五音音節表!N36&lt;&gt;"", _xlfn.CONCAT(O$4,$E39), "")</f>
        <v>ㄗㆰ</v>
      </c>
      <c r="P39" s="169" t="str">
        <f xml:space="preserve"> IF([6]十五音音節表!O36&lt;&gt;"", _xlfn.CONCAT(P$4,$E39), "")</f>
        <v/>
      </c>
      <c r="Q39" s="169" t="str">
        <f xml:space="preserve"> IF([6]十五音音節表!P36&lt;&gt;"", _xlfn.CONCAT(Q$4,$E39), "")</f>
        <v>ㄙㆰ</v>
      </c>
      <c r="R39" s="169" t="str">
        <f xml:space="preserve"> IF([6]十五音音節表!Q36&lt;&gt;"", _xlfn.CONCAT(R$4,$E39), "")</f>
        <v>ㆰ</v>
      </c>
      <c r="S39" s="169" t="str">
        <f xml:space="preserve"> IF([6]十五音音節表!R36&lt;&gt;"", _xlfn.CONCAT(S$4,$E39), "")</f>
        <v/>
      </c>
      <c r="T39" s="169" t="str">
        <f xml:space="preserve"> IF([6]十五音音節表!S36&lt;&gt;"", _xlfn.CONCAT(T$4,$E39), "")</f>
        <v/>
      </c>
      <c r="U39" s="169" t="str">
        <f xml:space="preserve"> IF([6]十五音音節表!T36&lt;&gt;"", _xlfn.CONCAT(U$4,$E39), "")</f>
        <v>ㆣㆰ</v>
      </c>
      <c r="V39" s="169" t="str">
        <f xml:space="preserve"> IF([6]十五音音節表!U36&lt;&gt;"", _xlfn.CONCAT(V$4,$E39), "")</f>
        <v/>
      </c>
      <c r="W39" s="169" t="str">
        <f xml:space="preserve"> IF([6]十五音音節表!V36&lt;&gt;"", _xlfn.CONCAT(W$4,$E39), "")</f>
        <v>ㄘㆰ</v>
      </c>
      <c r="X39" s="169" t="str">
        <f xml:space="preserve"> IF([6]十五音音節表!W36&lt;&gt;"", _xlfn.CONCAT(X$4,$E39), "")</f>
        <v>ㄏㆰ</v>
      </c>
      <c r="Y39" s="164" t="s">
        <v>252</v>
      </c>
      <c r="Z39" s="156" t="s">
        <v>251</v>
      </c>
      <c r="AA39" s="156" t="s">
        <v>635</v>
      </c>
    </row>
    <row r="40" spans="2:27" outlineLevel="1">
      <c r="B40" s="168">
        <v>19</v>
      </c>
      <c r="C40" s="156" t="s">
        <v>920</v>
      </c>
      <c r="D40" s="156" t="s">
        <v>275</v>
      </c>
      <c r="E40" s="164" t="s">
        <v>276</v>
      </c>
      <c r="F40" s="156" t="s">
        <v>640</v>
      </c>
      <c r="G40" s="169" t="str">
        <f xml:space="preserve"> IF([6]十五音音節表!F37&lt;&gt;"", _xlfn.CONCAT(G$4,$E40), "")</f>
        <v>ㄌㄚㆴ</v>
      </c>
      <c r="H40" s="169" t="str">
        <f xml:space="preserve"> IF([6]十五音音節表!G37&lt;&gt;"", _xlfn.CONCAT(H$4,$E40), "")</f>
        <v/>
      </c>
      <c r="I40" s="169" t="str">
        <f xml:space="preserve"> IF([6]十五音音節表!H37&lt;&gt;"", _xlfn.CONCAT(I$4,$E40), "")</f>
        <v/>
      </c>
      <c r="J40" s="169" t="str">
        <f xml:space="preserve"> IF([6]十五音音節表!I37&lt;&gt;"", _xlfn.CONCAT(J$4,$E40), "")</f>
        <v>ㄍㄚㆴ</v>
      </c>
      <c r="K40" s="169" t="str">
        <f xml:space="preserve"> IF([6]十五音音節表!J37&lt;&gt;"", _xlfn.CONCAT(K$4,$E40), "")</f>
        <v>ㄎㄚㆴ</v>
      </c>
      <c r="L40" s="169" t="str">
        <f xml:space="preserve"> IF([6]十五音音節表!K37&lt;&gt;"", _xlfn.CONCAT(L$4,$E40), "")</f>
        <v>ㄉㄚㆴ</v>
      </c>
      <c r="M40" s="169" t="str">
        <f xml:space="preserve"> IF([6]十五音音節表!L37&lt;&gt;"", _xlfn.CONCAT(M$4,$E40), "")</f>
        <v/>
      </c>
      <c r="N40" s="169" t="str">
        <f xml:space="preserve"> IF([6]十五音音節表!M37&lt;&gt;"", _xlfn.CONCAT(N$4,$E40), "")</f>
        <v>ㄊㄚㆴ</v>
      </c>
      <c r="O40" s="169" t="str">
        <f xml:space="preserve"> IF([6]十五音音節表!N37&lt;&gt;"", _xlfn.CONCAT(O$4,$E40), "")</f>
        <v>ㄗㄚㆴ</v>
      </c>
      <c r="P40" s="169" t="str">
        <f xml:space="preserve"> IF([6]十五音音節表!O37&lt;&gt;"", _xlfn.CONCAT(P$4,$E40), "")</f>
        <v/>
      </c>
      <c r="Q40" s="169" t="str">
        <f xml:space="preserve"> IF([6]十五音音節表!P37&lt;&gt;"", _xlfn.CONCAT(Q$4,$E40), "")</f>
        <v>ㄙㄚㆴ</v>
      </c>
      <c r="R40" s="169" t="str">
        <f xml:space="preserve"> IF([6]十五音音節表!Q37&lt;&gt;"", _xlfn.CONCAT(R$4,$E40), "")</f>
        <v>ㄚㆴ</v>
      </c>
      <c r="S40" s="169" t="str">
        <f xml:space="preserve"> IF([6]十五音音節表!R37&lt;&gt;"", _xlfn.CONCAT(S$4,$E40), "")</f>
        <v/>
      </c>
      <c r="T40" s="169" t="str">
        <f xml:space="preserve"> IF([6]十五音音節表!S37&lt;&gt;"", _xlfn.CONCAT(T$4,$E40), "")</f>
        <v/>
      </c>
      <c r="U40" s="169" t="str">
        <f xml:space="preserve"> IF([6]十五音音節表!T37&lt;&gt;"", _xlfn.CONCAT(U$4,$E40), "")</f>
        <v/>
      </c>
      <c r="V40" s="169" t="str">
        <f xml:space="preserve"> IF([6]十五音音節表!U37&lt;&gt;"", _xlfn.CONCAT(V$4,$E40), "")</f>
        <v/>
      </c>
      <c r="W40" s="169" t="str">
        <f xml:space="preserve"> IF([6]十五音音節表!V37&lt;&gt;"", _xlfn.CONCAT(W$4,$E40), "")</f>
        <v>ㄘㄚㆴ</v>
      </c>
      <c r="X40" s="169" t="str">
        <f xml:space="preserve"> IF([6]十五音音節表!W37&lt;&gt;"", _xlfn.CONCAT(X$4,$E40), "")</f>
        <v>ㄏㄚㆴ</v>
      </c>
      <c r="Y40" s="164" t="s">
        <v>276</v>
      </c>
      <c r="Z40" s="156" t="s">
        <v>275</v>
      </c>
      <c r="AA40" s="156" t="s">
        <v>640</v>
      </c>
    </row>
    <row r="41" spans="2:27">
      <c r="B41" s="168">
        <v>20</v>
      </c>
      <c r="C41" s="156" t="s">
        <v>491</v>
      </c>
      <c r="D41" s="156" t="s">
        <v>491</v>
      </c>
      <c r="E41" s="164" t="s">
        <v>493</v>
      </c>
      <c r="F41" s="156" t="s">
        <v>694</v>
      </c>
      <c r="G41" s="169" t="str">
        <f xml:space="preserve"> IF([6]十五音音節表!F38&lt;&gt;"", _xlfn.CONCAT(G$4,$E41), "")</f>
        <v>ㄌㄨㄚ</v>
      </c>
      <c r="H41" s="169" t="str">
        <f xml:space="preserve"> IF([6]十五音音節表!G38&lt;&gt;"", _xlfn.CONCAT(H$4,$E41), "")</f>
        <v>ㄋㄨㄚ</v>
      </c>
      <c r="I41" s="169" t="str">
        <f xml:space="preserve"> IF([6]十五音音節表!H38&lt;&gt;"", _xlfn.CONCAT(I$4,$E41), "")</f>
        <v>ㄅㄨㄚ</v>
      </c>
      <c r="J41" s="169" t="str">
        <f xml:space="preserve"> IF([6]十五音音節表!I38&lt;&gt;"", _xlfn.CONCAT(J$4,$E41), "")</f>
        <v>ㄍㄨㄚ</v>
      </c>
      <c r="K41" s="169" t="str">
        <f xml:space="preserve"> IF([6]十五音音節表!J38&lt;&gt;"", _xlfn.CONCAT(K$4,$E41), "")</f>
        <v>ㄎㄨㄚ</v>
      </c>
      <c r="L41" s="169" t="str">
        <f xml:space="preserve"> IF([6]十五音音節表!K38&lt;&gt;"", _xlfn.CONCAT(L$4,$E41), "")</f>
        <v>ㄉㄨㄚ</v>
      </c>
      <c r="M41" s="169" t="str">
        <f xml:space="preserve"> IF([6]十五音音節表!L38&lt;&gt;"", _xlfn.CONCAT(M$4,$E41), "")</f>
        <v>ㄆㄨㄚ</v>
      </c>
      <c r="N41" s="169" t="str">
        <f xml:space="preserve"> IF([6]十五音音節表!M38&lt;&gt;"", _xlfn.CONCAT(N$4,$E41), "")</f>
        <v>ㄊㄨㄚ</v>
      </c>
      <c r="O41" s="169" t="str">
        <f xml:space="preserve"> IF([6]十五音音節表!N38&lt;&gt;"", _xlfn.CONCAT(O$4,$E41), "")</f>
        <v>ㄗㄨㄚ</v>
      </c>
      <c r="P41" s="169" t="str">
        <f xml:space="preserve"> IF([6]十五音音節表!O38&lt;&gt;"", _xlfn.CONCAT(P$4,$E41), "")</f>
        <v/>
      </c>
      <c r="Q41" s="169" t="str">
        <f xml:space="preserve"> IF([6]十五音音節表!P38&lt;&gt;"", _xlfn.CONCAT(Q$4,$E41), "")</f>
        <v>ㄙㄨㄚ</v>
      </c>
      <c r="R41" s="169" t="str">
        <f xml:space="preserve"> IF([6]十五音音節表!Q38&lt;&gt;"", _xlfn.CONCAT(R$4,$E41), "")</f>
        <v>ㄨㄚ</v>
      </c>
      <c r="S41" s="169" t="str">
        <f xml:space="preserve"> IF([6]十五音音節表!R38&lt;&gt;"", _xlfn.CONCAT(S$4,$E41), "")</f>
        <v>ㆠㄨㄚ</v>
      </c>
      <c r="T41" s="169" t="str">
        <f xml:space="preserve"> IF([6]十五音音節表!S38&lt;&gt;"", _xlfn.CONCAT(T$4,$E41), "")</f>
        <v>ㄇㄨㄚ</v>
      </c>
      <c r="U41" s="169" t="str">
        <f xml:space="preserve"> IF([6]十五音音節表!T38&lt;&gt;"", _xlfn.CONCAT(U$4,$E41), "")</f>
        <v>ㆣㄨㄚ</v>
      </c>
      <c r="V41" s="169" t="str">
        <f xml:space="preserve"> IF([6]十五音音節表!U38&lt;&gt;"", _xlfn.CONCAT(V$4,$E41), "")</f>
        <v/>
      </c>
      <c r="W41" s="169" t="str">
        <f xml:space="preserve"> IF([6]十五音音節表!V38&lt;&gt;"", _xlfn.CONCAT(W$4,$E41), "")</f>
        <v>ㄘㄨㄚ</v>
      </c>
      <c r="X41" s="169" t="str">
        <f xml:space="preserve"> IF([6]十五音音節表!W38&lt;&gt;"", _xlfn.CONCAT(X$4,$E41), "")</f>
        <v>ㄏㄨㄚ</v>
      </c>
      <c r="Y41" s="164" t="s">
        <v>493</v>
      </c>
      <c r="Z41" s="156" t="s">
        <v>491</v>
      </c>
      <c r="AA41" s="156" t="s">
        <v>694</v>
      </c>
    </row>
    <row r="42" spans="2:27" outlineLevel="1">
      <c r="B42" s="168">
        <v>20</v>
      </c>
      <c r="C42" s="156" t="s">
        <v>921</v>
      </c>
      <c r="D42" s="156" t="s">
        <v>496</v>
      </c>
      <c r="E42" s="164" t="s">
        <v>498</v>
      </c>
      <c r="F42" s="156" t="s">
        <v>695</v>
      </c>
      <c r="G42" s="169" t="str">
        <f xml:space="preserve"> IF([6]十五音音節表!F39&lt;&gt;"", _xlfn.CONCAT(G$4,$E42), "")</f>
        <v>ㄌㄨㄚㆷ</v>
      </c>
      <c r="H42" s="169" t="str">
        <f xml:space="preserve"> IF([6]十五音音節表!G39&lt;&gt;"", _xlfn.CONCAT(H$4,$E42), "")</f>
        <v/>
      </c>
      <c r="I42" s="169" t="str">
        <f xml:space="preserve"> IF([6]十五音音節表!H39&lt;&gt;"", _xlfn.CONCAT(I$4,$E42), "")</f>
        <v>ㄅㄨㄚㆷ</v>
      </c>
      <c r="J42" s="169" t="str">
        <f xml:space="preserve"> IF([6]十五音音節表!I39&lt;&gt;"", _xlfn.CONCAT(J$4,$E42), "")</f>
        <v>ㄍㄨㄚㆷ</v>
      </c>
      <c r="K42" s="169" t="str">
        <f xml:space="preserve"> IF([6]十五音音節表!J39&lt;&gt;"", _xlfn.CONCAT(K$4,$E42), "")</f>
        <v>ㄎㄨㄚㆷ</v>
      </c>
      <c r="L42" s="169" t="str">
        <f xml:space="preserve"> IF([6]十五音音節表!K39&lt;&gt;"", _xlfn.CONCAT(L$4,$E42), "")</f>
        <v/>
      </c>
      <c r="M42" s="169" t="str">
        <f xml:space="preserve"> IF([6]十五音音節表!L39&lt;&gt;"", _xlfn.CONCAT(M$4,$E42), "")</f>
        <v>ㄆㄨㄚㆷ</v>
      </c>
      <c r="N42" s="169" t="str">
        <f xml:space="preserve"> IF([6]十五音音節表!M39&lt;&gt;"", _xlfn.CONCAT(N$4,$E42), "")</f>
        <v>ㄊㄨㄚㆷ</v>
      </c>
      <c r="O42" s="169" t="str">
        <f xml:space="preserve"> IF([6]十五音音節表!N39&lt;&gt;"", _xlfn.CONCAT(O$4,$E42), "")</f>
        <v>ㄗㄨㄚㆷ</v>
      </c>
      <c r="P42" s="169" t="str">
        <f xml:space="preserve"> IF([6]十五音音節表!O39&lt;&gt;"", _xlfn.CONCAT(P$4,$E42), "")</f>
        <v>ㆡㄨㄚㆷ</v>
      </c>
      <c r="Q42" s="169" t="str">
        <f xml:space="preserve"> IF([6]十五音音節表!P39&lt;&gt;"", _xlfn.CONCAT(Q$4,$E42), "")</f>
        <v>ㄙㄨㄚㆷ</v>
      </c>
      <c r="R42" s="169" t="str">
        <f xml:space="preserve"> IF([6]十五音音節表!Q39&lt;&gt;"", _xlfn.CONCAT(R$4,$E42), "")</f>
        <v>ㄨㄚㆷ</v>
      </c>
      <c r="S42" s="169" t="str">
        <f xml:space="preserve"> IF([6]十五音音節表!R39&lt;&gt;"", _xlfn.CONCAT(S$4,$E42), "")</f>
        <v>ㆠㄨㄚㆷ</v>
      </c>
      <c r="T42" s="169" t="str">
        <f xml:space="preserve"> IF([6]十五音音節表!S39&lt;&gt;"", _xlfn.CONCAT(T$4,$E42), "")</f>
        <v/>
      </c>
      <c r="U42" s="169" t="str">
        <f xml:space="preserve"> IF([6]十五音音節表!T39&lt;&gt;"", _xlfn.CONCAT(U$4,$E42), "")</f>
        <v/>
      </c>
      <c r="V42" s="169" t="str">
        <f xml:space="preserve"> IF([6]十五音音節表!U39&lt;&gt;"", _xlfn.CONCAT(V$4,$E42), "")</f>
        <v/>
      </c>
      <c r="W42" s="169" t="str">
        <f xml:space="preserve"> IF([6]十五音音節表!V39&lt;&gt;"", _xlfn.CONCAT(W$4,$E42), "")</f>
        <v>ㄘㄨㄚㆷ</v>
      </c>
      <c r="X42" s="169" t="str">
        <f xml:space="preserve"> IF([6]十五音音節表!W39&lt;&gt;"", _xlfn.CONCAT(X$4,$E42), "")</f>
        <v>ㄏㄨㄚㆷ</v>
      </c>
      <c r="Y42" s="164" t="s">
        <v>498</v>
      </c>
      <c r="Z42" s="156" t="s">
        <v>496</v>
      </c>
      <c r="AA42" s="156" t="s">
        <v>695</v>
      </c>
    </row>
    <row r="43" spans="2:27">
      <c r="B43" s="168">
        <v>21</v>
      </c>
      <c r="C43" s="156" t="s">
        <v>922</v>
      </c>
      <c r="D43" s="156" t="s">
        <v>258</v>
      </c>
      <c r="E43" s="164" t="s">
        <v>259</v>
      </c>
      <c r="F43" s="156" t="s">
        <v>637</v>
      </c>
      <c r="G43" s="169" t="str">
        <f xml:space="preserve"> IF([6]十五音音節表!F40&lt;&gt;"", _xlfn.CONCAT(G$4,$E43), "")</f>
        <v>ㄌㄤ</v>
      </c>
      <c r="H43" s="169" t="str">
        <f xml:space="preserve"> IF([6]十五音音節表!G40&lt;&gt;"", _xlfn.CONCAT(H$4,$E43), "")</f>
        <v/>
      </c>
      <c r="I43" s="169" t="str">
        <f xml:space="preserve"> IF([6]十五音音節表!H40&lt;&gt;"", _xlfn.CONCAT(I$4,$E43), "")</f>
        <v>ㄅㄤ</v>
      </c>
      <c r="J43" s="169" t="str">
        <f xml:space="preserve"> IF([6]十五音音節表!I40&lt;&gt;"", _xlfn.CONCAT(J$4,$E43), "")</f>
        <v>ㄍㄤ</v>
      </c>
      <c r="K43" s="169" t="str">
        <f xml:space="preserve"> IF([6]十五音音節表!J40&lt;&gt;"", _xlfn.CONCAT(K$4,$E43), "")</f>
        <v>ㄎㄤ</v>
      </c>
      <c r="L43" s="169" t="str">
        <f xml:space="preserve"> IF([6]十五音音節表!K40&lt;&gt;"", _xlfn.CONCAT(L$4,$E43), "")</f>
        <v>ㄉㄤ</v>
      </c>
      <c r="M43" s="169" t="str">
        <f xml:space="preserve"> IF([6]十五音音節表!L40&lt;&gt;"", _xlfn.CONCAT(M$4,$E43), "")</f>
        <v>ㄆㄤ</v>
      </c>
      <c r="N43" s="169" t="str">
        <f xml:space="preserve"> IF([6]十五音音節表!M40&lt;&gt;"", _xlfn.CONCAT(N$4,$E43), "")</f>
        <v>ㄊㄤ</v>
      </c>
      <c r="O43" s="169" t="str">
        <f xml:space="preserve"> IF([6]十五音音節表!N40&lt;&gt;"", _xlfn.CONCAT(O$4,$E43), "")</f>
        <v>ㄗㄤ</v>
      </c>
      <c r="P43" s="169" t="str">
        <f xml:space="preserve"> IF([6]十五音音節表!O40&lt;&gt;"", _xlfn.CONCAT(P$4,$E43), "")</f>
        <v/>
      </c>
      <c r="Q43" s="169" t="str">
        <f xml:space="preserve"> IF([6]十五音音節表!P40&lt;&gt;"", _xlfn.CONCAT(Q$4,$E43), "")</f>
        <v>ㄙㄤ</v>
      </c>
      <c r="R43" s="169" t="str">
        <f xml:space="preserve"> IF([6]十五音音節表!Q40&lt;&gt;"", _xlfn.CONCAT(R$4,$E43), "")</f>
        <v>ㄤ</v>
      </c>
      <c r="S43" s="169" t="str">
        <f xml:space="preserve"> IF([6]十五音音節表!R40&lt;&gt;"", _xlfn.CONCAT(S$4,$E43), "")</f>
        <v>ㆠㄤ</v>
      </c>
      <c r="T43" s="169" t="str">
        <f xml:space="preserve"> IF([6]十五音音節表!S40&lt;&gt;"", _xlfn.CONCAT(T$4,$E43), "")</f>
        <v/>
      </c>
      <c r="U43" s="169" t="str">
        <f xml:space="preserve"> IF([6]十五音音節表!T40&lt;&gt;"", _xlfn.CONCAT(U$4,$E43), "")</f>
        <v>ㆣㄤ</v>
      </c>
      <c r="V43" s="169" t="str">
        <f xml:space="preserve"> IF([6]十五音音節表!U40&lt;&gt;"", _xlfn.CONCAT(V$4,$E43), "")</f>
        <v/>
      </c>
      <c r="W43" s="169" t="str">
        <f xml:space="preserve"> IF([6]十五音音節表!V40&lt;&gt;"", _xlfn.CONCAT(W$4,$E43), "")</f>
        <v>ㄘㄤ</v>
      </c>
      <c r="X43" s="169" t="str">
        <f xml:space="preserve"> IF([6]十五音音節表!W40&lt;&gt;"", _xlfn.CONCAT(X$4,$E43), "")</f>
        <v>ㄏㄤ</v>
      </c>
      <c r="Y43" s="164" t="s">
        <v>259</v>
      </c>
      <c r="Z43" s="156" t="s">
        <v>258</v>
      </c>
      <c r="AA43" s="156" t="s">
        <v>637</v>
      </c>
    </row>
    <row r="44" spans="2:27" outlineLevel="1">
      <c r="B44" s="168">
        <v>21</v>
      </c>
      <c r="C44" s="156" t="s">
        <v>923</v>
      </c>
      <c r="D44" s="156" t="s">
        <v>246</v>
      </c>
      <c r="E44" s="164" t="s">
        <v>885</v>
      </c>
      <c r="F44" s="156" t="s">
        <v>634</v>
      </c>
      <c r="G44" s="169" t="str">
        <f xml:space="preserve"> IF([6]十五音音節表!F41&lt;&gt;"", _xlfn.CONCAT(G$4,$E44), "")</f>
        <v>ㄌㄚㆻ</v>
      </c>
      <c r="H44" s="169" t="str">
        <f xml:space="preserve"> IF([6]十五音音節表!G41&lt;&gt;"", _xlfn.CONCAT(H$4,$E44), "")</f>
        <v/>
      </c>
      <c r="I44" s="169" t="str">
        <f xml:space="preserve"> IF([6]十五音音節表!H41&lt;&gt;"", _xlfn.CONCAT(I$4,$E44), "")</f>
        <v>ㄅㄚㆻ</v>
      </c>
      <c r="J44" s="169" t="str">
        <f xml:space="preserve"> IF([6]十五音音節表!I41&lt;&gt;"", _xlfn.CONCAT(J$4,$E44), "")</f>
        <v>ㄍㄚㆻ</v>
      </c>
      <c r="K44" s="169" t="str">
        <f xml:space="preserve"> IF([6]十五音音節表!J41&lt;&gt;"", _xlfn.CONCAT(K$4,$E44), "")</f>
        <v>ㄎㄚㆻ</v>
      </c>
      <c r="L44" s="169" t="str">
        <f xml:space="preserve"> IF([6]十五音音節表!K41&lt;&gt;"", _xlfn.CONCAT(L$4,$E44), "")</f>
        <v>ㄉㄚㆻ</v>
      </c>
      <c r="M44" s="169" t="str">
        <f xml:space="preserve"> IF([6]十五音音節表!L41&lt;&gt;"", _xlfn.CONCAT(M$4,$E44), "")</f>
        <v>ㄆㄚㆻ</v>
      </c>
      <c r="N44" s="169" t="str">
        <f xml:space="preserve"> IF([6]十五音音節表!M41&lt;&gt;"", _xlfn.CONCAT(N$4,$E44), "")</f>
        <v>ㄊㄚㆻ</v>
      </c>
      <c r="O44" s="169" t="str">
        <f xml:space="preserve"> IF([6]十五音音節表!N41&lt;&gt;"", _xlfn.CONCAT(O$4,$E44), "")</f>
        <v>ㄗㄚㆻ</v>
      </c>
      <c r="P44" s="169" t="str">
        <f xml:space="preserve"> IF([6]十五音音節表!O41&lt;&gt;"", _xlfn.CONCAT(P$4,$E44), "")</f>
        <v/>
      </c>
      <c r="Q44" s="169" t="str">
        <f xml:space="preserve"> IF([6]十五音音節表!P41&lt;&gt;"", _xlfn.CONCAT(Q$4,$E44), "")</f>
        <v>ㄙㄚㆻ</v>
      </c>
      <c r="R44" s="169" t="str">
        <f xml:space="preserve"> IF([6]十五音音節表!Q41&lt;&gt;"", _xlfn.CONCAT(R$4,$E44), "")</f>
        <v>ㄚㆻ</v>
      </c>
      <c r="S44" s="169" t="str">
        <f xml:space="preserve"> IF([6]十五音音節表!R41&lt;&gt;"", _xlfn.CONCAT(S$4,$E44), "")</f>
        <v>ㆠㄚㆻ</v>
      </c>
      <c r="T44" s="169" t="str">
        <f xml:space="preserve"> IF([6]十五音音節表!S41&lt;&gt;"", _xlfn.CONCAT(T$4,$E44), "")</f>
        <v/>
      </c>
      <c r="U44" s="169" t="str">
        <f xml:space="preserve"> IF([6]十五音音節表!T41&lt;&gt;"", _xlfn.CONCAT(U$4,$E44), "")</f>
        <v>ㆣㄚㆻ</v>
      </c>
      <c r="V44" s="169" t="str">
        <f xml:space="preserve"> IF([6]十五音音節表!U41&lt;&gt;"", _xlfn.CONCAT(V$4,$E44), "")</f>
        <v/>
      </c>
      <c r="W44" s="169" t="str">
        <f xml:space="preserve"> IF([6]十五音音節表!V41&lt;&gt;"", _xlfn.CONCAT(W$4,$E44), "")</f>
        <v>ㄘㄚㆻ</v>
      </c>
      <c r="X44" s="169" t="str">
        <f xml:space="preserve"> IF([6]十五音音節表!W41&lt;&gt;"", _xlfn.CONCAT(X$4,$E44), "")</f>
        <v>ㄏㄚㆻ</v>
      </c>
      <c r="Y44" s="164" t="s">
        <v>885</v>
      </c>
      <c r="Z44" s="156" t="s">
        <v>246</v>
      </c>
      <c r="AA44" s="156" t="s">
        <v>634</v>
      </c>
    </row>
    <row r="45" spans="2:27">
      <c r="B45" s="168">
        <v>22</v>
      </c>
      <c r="C45" s="156" t="s">
        <v>924</v>
      </c>
      <c r="D45" s="156" t="s">
        <v>326</v>
      </c>
      <c r="E45" s="164" t="s">
        <v>327</v>
      </c>
      <c r="F45" s="156" t="s">
        <v>656</v>
      </c>
      <c r="G45" s="169" t="str">
        <f xml:space="preserve"> IF([6]十五音音節表!F42&lt;&gt;"", _xlfn.CONCAT(G$4,$E45), "")</f>
        <v>ㄌㄧㆰ</v>
      </c>
      <c r="H45" s="169" t="str">
        <f xml:space="preserve"> IF([6]十五音音節表!G42&lt;&gt;"", _xlfn.CONCAT(H$4,$E45), "")</f>
        <v/>
      </c>
      <c r="I45" s="169" t="str">
        <f xml:space="preserve"> IF([6]十五音音節表!H42&lt;&gt;"", _xlfn.CONCAT(I$4,$E45), "")</f>
        <v/>
      </c>
      <c r="J45" s="169" t="str">
        <f xml:space="preserve"> IF([6]十五音音節表!I42&lt;&gt;"", _xlfn.CONCAT(J$4,$E45), "")</f>
        <v>ㄍㄧㆰ</v>
      </c>
      <c r="K45" s="169" t="str">
        <f xml:space="preserve"> IF([6]十五音音節表!J42&lt;&gt;"", _xlfn.CONCAT(K$4,$E45), "")</f>
        <v>ㄎㄧㆰ</v>
      </c>
      <c r="L45" s="169" t="str">
        <f xml:space="preserve"> IF([6]十五音音節表!K42&lt;&gt;"", _xlfn.CONCAT(L$4,$E45), "")</f>
        <v>ㄉㄧㆰ</v>
      </c>
      <c r="M45" s="169" t="str">
        <f xml:space="preserve"> IF([6]十五音音節表!L42&lt;&gt;"", _xlfn.CONCAT(M$4,$E45), "")</f>
        <v/>
      </c>
      <c r="N45" s="169" t="str">
        <f xml:space="preserve"> IF([6]十五音音節表!M42&lt;&gt;"", _xlfn.CONCAT(N$4,$E45), "")</f>
        <v>ㄊㄧㆰ</v>
      </c>
      <c r="O45" s="169" t="str">
        <f xml:space="preserve"> IF([6]十五音音節表!N42&lt;&gt;"", _xlfn.CONCAT(O$4,$E45), "")</f>
        <v>ㄗㄧㆰ</v>
      </c>
      <c r="P45" s="169" t="str">
        <f xml:space="preserve"> IF([6]十五音音節表!O42&lt;&gt;"", _xlfn.CONCAT(P$4,$E45), "")</f>
        <v>ㆡㄧㆰ</v>
      </c>
      <c r="Q45" s="169" t="str">
        <f xml:space="preserve"> IF([6]十五音音節表!P42&lt;&gt;"", _xlfn.CONCAT(Q$4,$E45), "")</f>
        <v>ㄙㄧㆰ</v>
      </c>
      <c r="R45" s="169" t="str">
        <f xml:space="preserve"> IF([6]十五音音節表!Q42&lt;&gt;"", _xlfn.CONCAT(R$4,$E45), "")</f>
        <v>ㄧㆰ</v>
      </c>
      <c r="S45" s="169" t="str">
        <f xml:space="preserve"> IF([6]十五音音節表!R42&lt;&gt;"", _xlfn.CONCAT(S$4,$E45), "")</f>
        <v/>
      </c>
      <c r="T45" s="169" t="str">
        <f xml:space="preserve"> IF([6]十五音音節表!S42&lt;&gt;"", _xlfn.CONCAT(T$4,$E45), "")</f>
        <v/>
      </c>
      <c r="U45" s="169" t="str">
        <f xml:space="preserve"> IF([6]十五音音節表!T42&lt;&gt;"", _xlfn.CONCAT(U$4,$E45), "")</f>
        <v>ㆣㄧㆰ</v>
      </c>
      <c r="V45" s="169" t="str">
        <f xml:space="preserve"> IF([6]十五音音節表!U42&lt;&gt;"", _xlfn.CONCAT(V$4,$E45), "")</f>
        <v/>
      </c>
      <c r="W45" s="169" t="str">
        <f xml:space="preserve"> IF([6]十五音音節表!V42&lt;&gt;"", _xlfn.CONCAT(W$4,$E45), "")</f>
        <v>ㄘㄧㆰ</v>
      </c>
      <c r="X45" s="169" t="str">
        <f xml:space="preserve"> IF([6]十五音音節表!W42&lt;&gt;"", _xlfn.CONCAT(X$4,$E45), "")</f>
        <v>ㄏㄧㆰ</v>
      </c>
      <c r="Y45" s="164" t="s">
        <v>327</v>
      </c>
      <c r="Z45" s="156" t="s">
        <v>326</v>
      </c>
      <c r="AA45" s="156" t="s">
        <v>656</v>
      </c>
    </row>
    <row r="46" spans="2:27" outlineLevel="1">
      <c r="B46" s="168">
        <v>22</v>
      </c>
      <c r="C46" s="156" t="s">
        <v>925</v>
      </c>
      <c r="D46" s="156" t="s">
        <v>343</v>
      </c>
      <c r="E46" s="164" t="s">
        <v>344</v>
      </c>
      <c r="F46" s="156" t="s">
        <v>660</v>
      </c>
      <c r="G46" s="169" t="str">
        <f xml:space="preserve"> IF([6]十五音音節表!F43&lt;&gt;"", _xlfn.CONCAT(G$4,$E46), "")</f>
        <v>ㄌㄧㄚㆴ</v>
      </c>
      <c r="H46" s="169" t="str">
        <f xml:space="preserve"> IF([6]十五音音節表!G43&lt;&gt;"", _xlfn.CONCAT(H$4,$E46), "")</f>
        <v/>
      </c>
      <c r="I46" s="169" t="str">
        <f xml:space="preserve"> IF([6]十五音音節表!H43&lt;&gt;"", _xlfn.CONCAT(I$4,$E46), "")</f>
        <v/>
      </c>
      <c r="J46" s="169" t="str">
        <f xml:space="preserve"> IF([6]十五音音節表!I43&lt;&gt;"", _xlfn.CONCAT(J$4,$E46), "")</f>
        <v>ㄍㄧㄚㆴ</v>
      </c>
      <c r="K46" s="169" t="str">
        <f xml:space="preserve"> IF([6]十五音音節表!J43&lt;&gt;"", _xlfn.CONCAT(K$4,$E46), "")</f>
        <v>ㄎㄧㄚㆴ</v>
      </c>
      <c r="L46" s="169" t="str">
        <f xml:space="preserve"> IF([6]十五音音節表!K43&lt;&gt;"", _xlfn.CONCAT(L$4,$E46), "")</f>
        <v>ㄉㄧㄚㆴ</v>
      </c>
      <c r="M46" s="169" t="str">
        <f xml:space="preserve"> IF([6]十五音音節表!L43&lt;&gt;"", _xlfn.CONCAT(M$4,$E46), "")</f>
        <v/>
      </c>
      <c r="N46" s="169" t="str">
        <f xml:space="preserve"> IF([6]十五音音節表!M43&lt;&gt;"", _xlfn.CONCAT(N$4,$E46), "")</f>
        <v>ㄊㄧㄚㆴ</v>
      </c>
      <c r="O46" s="169" t="str">
        <f xml:space="preserve"> IF([6]十五音音節表!N43&lt;&gt;"", _xlfn.CONCAT(O$4,$E46), "")</f>
        <v>ㄗㄧㄚㆴ</v>
      </c>
      <c r="P46" s="169" t="str">
        <f xml:space="preserve"> IF([6]十五音音節表!O43&lt;&gt;"", _xlfn.CONCAT(P$4,$E46), "")</f>
        <v>ㆡㄧㄚㆴ</v>
      </c>
      <c r="Q46" s="169" t="str">
        <f xml:space="preserve"> IF([6]十五音音節表!P43&lt;&gt;"", _xlfn.CONCAT(Q$4,$E46), "")</f>
        <v>ㄙㄧㄚㆴ</v>
      </c>
      <c r="R46" s="169" t="str">
        <f xml:space="preserve"> IF([6]十五音音節表!Q43&lt;&gt;"", _xlfn.CONCAT(R$4,$E46), "")</f>
        <v>ㄧㄚㆴ</v>
      </c>
      <c r="S46" s="169" t="str">
        <f xml:space="preserve"> IF([6]十五音音節表!R43&lt;&gt;"", _xlfn.CONCAT(S$4,$E46), "")</f>
        <v/>
      </c>
      <c r="T46" s="169" t="str">
        <f xml:space="preserve"> IF([6]十五音音節表!S43&lt;&gt;"", _xlfn.CONCAT(T$4,$E46), "")</f>
        <v/>
      </c>
      <c r="U46" s="169" t="str">
        <f xml:space="preserve"> IF([6]十五音音節表!T43&lt;&gt;"", _xlfn.CONCAT(U$4,$E46), "")</f>
        <v>ㆣㄧㄚㆴ</v>
      </c>
      <c r="V46" s="169" t="str">
        <f xml:space="preserve"> IF([6]十五音音節表!U43&lt;&gt;"", _xlfn.CONCAT(V$4,$E46), "")</f>
        <v/>
      </c>
      <c r="W46" s="169" t="str">
        <f xml:space="preserve"> IF([6]十五音音節表!V43&lt;&gt;"", _xlfn.CONCAT(W$4,$E46), "")</f>
        <v>ㄘㄧㄚㆴ</v>
      </c>
      <c r="X46" s="169" t="str">
        <f xml:space="preserve"> IF([6]十五音音節表!W43&lt;&gt;"", _xlfn.CONCAT(X$4,$E46), "")</f>
        <v>ㄏㄧㄚㆴ</v>
      </c>
      <c r="Y46" s="164" t="s">
        <v>344</v>
      </c>
      <c r="Z46" s="156" t="s">
        <v>343</v>
      </c>
      <c r="AA46" s="156" t="s">
        <v>660</v>
      </c>
    </row>
    <row r="47" spans="2:27">
      <c r="B47" s="168">
        <v>23</v>
      </c>
      <c r="C47" s="156" t="s">
        <v>926</v>
      </c>
      <c r="D47" s="156" t="s">
        <v>281</v>
      </c>
      <c r="E47" s="164" t="s">
        <v>283</v>
      </c>
      <c r="F47" s="156" t="s">
        <v>642</v>
      </c>
      <c r="G47" s="169" t="str">
        <f xml:space="preserve"> IF([6]十五音音節表!F44&lt;&gt;"", _xlfn.CONCAT(G$4,$E47), "")</f>
        <v>ㄌㄠ</v>
      </c>
      <c r="H47" s="169" t="str">
        <f xml:space="preserve"> IF([6]十五音音節表!G44&lt;&gt;"", _xlfn.CONCAT(H$4,$E47), "")</f>
        <v>ㄋㄠ</v>
      </c>
      <c r="I47" s="169" t="str">
        <f xml:space="preserve"> IF([6]十五音音節表!H44&lt;&gt;"", _xlfn.CONCAT(I$4,$E47), "")</f>
        <v>ㄅㄠ</v>
      </c>
      <c r="J47" s="169" t="str">
        <f xml:space="preserve"> IF([6]十五音音節表!I44&lt;&gt;"", _xlfn.CONCAT(J$4,$E47), "")</f>
        <v>ㄍㄠ</v>
      </c>
      <c r="K47" s="169" t="str">
        <f xml:space="preserve"> IF([6]十五音音節表!J44&lt;&gt;"", _xlfn.CONCAT(K$4,$E47), "")</f>
        <v>ㄎㄠ</v>
      </c>
      <c r="L47" s="169" t="str">
        <f xml:space="preserve"> IF([6]十五音音節表!K44&lt;&gt;"", _xlfn.CONCAT(L$4,$E47), "")</f>
        <v>ㄉㄠ</v>
      </c>
      <c r="M47" s="169" t="str">
        <f xml:space="preserve"> IF([6]十五音音節表!L44&lt;&gt;"", _xlfn.CONCAT(M$4,$E47), "")</f>
        <v>ㄆㄠ</v>
      </c>
      <c r="N47" s="169" t="str">
        <f xml:space="preserve"> IF([6]十五音音節表!M44&lt;&gt;"", _xlfn.CONCAT(N$4,$E47), "")</f>
        <v>ㄊㄠ</v>
      </c>
      <c r="O47" s="169" t="str">
        <f xml:space="preserve"> IF([6]十五音音節表!N44&lt;&gt;"", _xlfn.CONCAT(O$4,$E47), "")</f>
        <v>ㄗㄠ</v>
      </c>
      <c r="P47" s="169" t="str">
        <f xml:space="preserve"> IF([6]十五音音節表!O44&lt;&gt;"", _xlfn.CONCAT(P$4,$E47), "")</f>
        <v/>
      </c>
      <c r="Q47" s="169" t="str">
        <f xml:space="preserve"> IF([6]十五音音節表!P44&lt;&gt;"", _xlfn.CONCAT(Q$4,$E47), "")</f>
        <v>ㄙㄠ</v>
      </c>
      <c r="R47" s="169" t="str">
        <f xml:space="preserve"> IF([6]十五音音節表!Q44&lt;&gt;"", _xlfn.CONCAT(R$4,$E47), "")</f>
        <v>ㄠ</v>
      </c>
      <c r="S47" s="169" t="str">
        <f xml:space="preserve"> IF([6]十五音音節表!R44&lt;&gt;"", _xlfn.CONCAT(S$4,$E47), "")</f>
        <v>ㆠㄠ</v>
      </c>
      <c r="T47" s="169" t="str">
        <f xml:space="preserve"> IF([6]十五音音節表!S44&lt;&gt;"", _xlfn.CONCAT(T$4,$E47), "")</f>
        <v>ㄇㄠ</v>
      </c>
      <c r="U47" s="169" t="str">
        <f xml:space="preserve"> IF([6]十五音音節表!T44&lt;&gt;"", _xlfn.CONCAT(U$4,$E47), "")</f>
        <v>ㆣㄠ</v>
      </c>
      <c r="V47" s="169" t="str">
        <f xml:space="preserve"> IF([6]十五音音節表!U44&lt;&gt;"", _xlfn.CONCAT(V$4,$E47), "")</f>
        <v>ㄫㄠ</v>
      </c>
      <c r="W47" s="169" t="str">
        <f xml:space="preserve"> IF([6]十五音音節表!V44&lt;&gt;"", _xlfn.CONCAT(W$4,$E47), "")</f>
        <v>ㄘㄠ</v>
      </c>
      <c r="X47" s="169" t="str">
        <f xml:space="preserve"> IF([6]十五音音節表!W44&lt;&gt;"", _xlfn.CONCAT(X$4,$E47), "")</f>
        <v>ㄏㄠ</v>
      </c>
      <c r="Y47" s="164" t="s">
        <v>283</v>
      </c>
      <c r="Z47" s="156" t="s">
        <v>281</v>
      </c>
      <c r="AA47" s="156" t="s">
        <v>642</v>
      </c>
    </row>
    <row r="48" spans="2:27" outlineLevel="1">
      <c r="B48" s="168">
        <v>23</v>
      </c>
      <c r="C48" s="156" t="s">
        <v>927</v>
      </c>
      <c r="D48" s="156" t="s">
        <v>286</v>
      </c>
      <c r="E48" s="164" t="s">
        <v>886</v>
      </c>
      <c r="F48" s="156" t="s">
        <v>643</v>
      </c>
      <c r="G48" s="169" t="str">
        <f xml:space="preserve"> IF([6]十五音音節表!F45&lt;&gt;"", _xlfn.CONCAT(G$4,$E48), "")</f>
        <v>ㄌㄠㆷ</v>
      </c>
      <c r="H48" s="169" t="str">
        <f xml:space="preserve"> IF([6]十五音音節表!G45&lt;&gt;"", _xlfn.CONCAT(H$4,$E48), "")</f>
        <v>ㄋㄠㆷ</v>
      </c>
      <c r="I48" s="169" t="str">
        <f xml:space="preserve"> IF([6]十五音音節表!H45&lt;&gt;"", _xlfn.CONCAT(I$4,$E48), "")</f>
        <v/>
      </c>
      <c r="J48" s="169" t="str">
        <f xml:space="preserve"> IF([6]十五音音節表!I45&lt;&gt;"", _xlfn.CONCAT(J$4,$E48), "")</f>
        <v>ㄍㄠㆷ</v>
      </c>
      <c r="K48" s="169" t="str">
        <f xml:space="preserve"> IF([6]十五音音節表!J45&lt;&gt;"", _xlfn.CONCAT(K$4,$E48), "")</f>
        <v/>
      </c>
      <c r="L48" s="169" t="str">
        <f xml:space="preserve"> IF([6]十五音音節表!K45&lt;&gt;"", _xlfn.CONCAT(L$4,$E48), "")</f>
        <v>ㄉㄠㆷ</v>
      </c>
      <c r="M48" s="169" t="str">
        <f xml:space="preserve"> IF([6]十五音音節表!L45&lt;&gt;"", _xlfn.CONCAT(M$4,$E48), "")</f>
        <v>ㄆㄠㆷ</v>
      </c>
      <c r="N48" s="169" t="str">
        <f xml:space="preserve"> IF([6]十五音音節表!M45&lt;&gt;"", _xlfn.CONCAT(N$4,$E48), "")</f>
        <v/>
      </c>
      <c r="O48" s="169" t="str">
        <f xml:space="preserve"> IF([6]十五音音節表!N45&lt;&gt;"", _xlfn.CONCAT(O$4,$E48), "")</f>
        <v/>
      </c>
      <c r="P48" s="169" t="str">
        <f xml:space="preserve"> IF([6]十五音音節表!O45&lt;&gt;"", _xlfn.CONCAT(P$4,$E48), "")</f>
        <v/>
      </c>
      <c r="Q48" s="169" t="str">
        <f xml:space="preserve"> IF([6]十五音音節表!P45&lt;&gt;"", _xlfn.CONCAT(Q$4,$E48), "")</f>
        <v/>
      </c>
      <c r="R48" s="169" t="str">
        <f xml:space="preserve"> IF([6]十五音音節表!Q45&lt;&gt;"", _xlfn.CONCAT(R$4,$E48), "")</f>
        <v/>
      </c>
      <c r="S48" s="169" t="str">
        <f xml:space="preserve"> IF([6]十五音音節表!R45&lt;&gt;"", _xlfn.CONCAT(S$4,$E48), "")</f>
        <v/>
      </c>
      <c r="T48" s="169" t="str">
        <f xml:space="preserve"> IF([6]十五音音節表!S45&lt;&gt;"", _xlfn.CONCAT(T$4,$E48), "")</f>
        <v>ㄇㄠㆷ</v>
      </c>
      <c r="U48" s="169" t="str">
        <f xml:space="preserve"> IF([6]十五音音節表!T45&lt;&gt;"", _xlfn.CONCAT(U$4,$E48), "")</f>
        <v/>
      </c>
      <c r="V48" s="169" t="str">
        <f xml:space="preserve"> IF([6]十五音音節表!U45&lt;&gt;"", _xlfn.CONCAT(V$4,$E48), "")</f>
        <v/>
      </c>
      <c r="W48" s="169" t="str">
        <f xml:space="preserve"> IF([6]十五音音節表!V45&lt;&gt;"", _xlfn.CONCAT(W$4,$E48), "")</f>
        <v>ㄘㄠㆷ</v>
      </c>
      <c r="X48" s="169" t="str">
        <f xml:space="preserve"> IF([6]十五音音節表!W45&lt;&gt;"", _xlfn.CONCAT(X$4,$E48), "")</f>
        <v/>
      </c>
      <c r="Y48" s="164" t="s">
        <v>886</v>
      </c>
      <c r="Z48" s="156" t="s">
        <v>286</v>
      </c>
      <c r="AA48" s="156" t="s">
        <v>643</v>
      </c>
    </row>
    <row r="49" spans="2:27">
      <c r="B49" s="168">
        <v>24</v>
      </c>
      <c r="C49" s="156" t="s">
        <v>928</v>
      </c>
      <c r="D49" s="156" t="s">
        <v>317</v>
      </c>
      <c r="E49" s="164" t="s">
        <v>318</v>
      </c>
      <c r="F49" s="156" t="s">
        <v>653</v>
      </c>
      <c r="G49" s="169" t="str">
        <f xml:space="preserve"> IF([6]十五音音節表!F46&lt;&gt;"", _xlfn.CONCAT(G$4,$E49), "")</f>
        <v/>
      </c>
      <c r="H49" s="169" t="str">
        <f xml:space="preserve"> IF([6]十五音音節表!G46&lt;&gt;"", _xlfn.CONCAT(H$4,$E49), "")</f>
        <v>ㄋㄧㄚ</v>
      </c>
      <c r="I49" s="169" t="str">
        <f xml:space="preserve"> IF([6]十五音音節表!H46&lt;&gt;"", _xlfn.CONCAT(I$4,$E49), "")</f>
        <v/>
      </c>
      <c r="J49" s="169" t="str">
        <f xml:space="preserve"> IF([6]十五音音節表!I46&lt;&gt;"", _xlfn.CONCAT(J$4,$E49), "")</f>
        <v>ㄍㄧㄚ</v>
      </c>
      <c r="K49" s="169" t="str">
        <f xml:space="preserve"> IF([6]十五音音節表!J46&lt;&gt;"", _xlfn.CONCAT(K$4,$E49), "")</f>
        <v>ㄎㄧㄚ</v>
      </c>
      <c r="L49" s="169" t="str">
        <f xml:space="preserve"> IF([6]十五音音節表!K46&lt;&gt;"", _xlfn.CONCAT(L$4,$E49), "")</f>
        <v>ㄉㄧㄚ</v>
      </c>
      <c r="M49" s="169" t="str">
        <f xml:space="preserve"> IF([6]十五音音節表!L46&lt;&gt;"", _xlfn.CONCAT(M$4,$E49), "")</f>
        <v/>
      </c>
      <c r="N49" s="169" t="str">
        <f xml:space="preserve"> IF([6]十五音音節表!M46&lt;&gt;"", _xlfn.CONCAT(N$4,$E49), "")</f>
        <v/>
      </c>
      <c r="O49" s="169" t="str">
        <f xml:space="preserve"> IF([6]十五音音節表!N46&lt;&gt;"", _xlfn.CONCAT(O$4,$E49), "")</f>
        <v>ㄗㄧㄚ</v>
      </c>
      <c r="P49" s="169" t="str">
        <f xml:space="preserve"> IF([6]十五音音節表!O46&lt;&gt;"", _xlfn.CONCAT(P$4,$E49), "")</f>
        <v>ㆡㄧㄚ</v>
      </c>
      <c r="Q49" s="169" t="str">
        <f xml:space="preserve"> IF([6]十五音音節表!P46&lt;&gt;"", _xlfn.CONCAT(Q$4,$E49), "")</f>
        <v>ㄙㄧㄚ</v>
      </c>
      <c r="R49" s="169" t="str">
        <f xml:space="preserve"> IF([6]十五音音節表!Q46&lt;&gt;"", _xlfn.CONCAT(R$4,$E49), "")</f>
        <v>ㄧㄚ</v>
      </c>
      <c r="S49" s="169" t="str">
        <f xml:space="preserve"> IF([6]十五音音節表!R46&lt;&gt;"", _xlfn.CONCAT(S$4,$E49), "")</f>
        <v/>
      </c>
      <c r="T49" s="169" t="str">
        <f xml:space="preserve"> IF([6]十五音音節表!S46&lt;&gt;"", _xlfn.CONCAT(T$4,$E49), "")</f>
        <v>ㄇㄧㄚ</v>
      </c>
      <c r="U49" s="169" t="str">
        <f xml:space="preserve"> IF([6]十五音音節表!T46&lt;&gt;"", _xlfn.CONCAT(U$4,$E49), "")</f>
        <v>ㆣㄧㄚ</v>
      </c>
      <c r="V49" s="169" t="str">
        <f xml:space="preserve"> IF([6]十五音音節表!U46&lt;&gt;"", _xlfn.CONCAT(V$4,$E49), "")</f>
        <v>ㄫㄧㄚ</v>
      </c>
      <c r="W49" s="169" t="str">
        <f xml:space="preserve"> IF([6]十五音音節表!V46&lt;&gt;"", _xlfn.CONCAT(W$4,$E49), "")</f>
        <v>ㄘㄧㄚ</v>
      </c>
      <c r="X49" s="169" t="str">
        <f xml:space="preserve"> IF([6]十五音音節表!W46&lt;&gt;"", _xlfn.CONCAT(X$4,$E49), "")</f>
        <v>ㄏㄧㄚ</v>
      </c>
      <c r="Y49" s="164" t="s">
        <v>318</v>
      </c>
      <c r="Z49" s="156" t="s">
        <v>317</v>
      </c>
      <c r="AA49" s="156" t="s">
        <v>653</v>
      </c>
    </row>
    <row r="50" spans="2:27" outlineLevel="1">
      <c r="B50" s="168">
        <v>24</v>
      </c>
      <c r="C50" s="156" t="s">
        <v>929</v>
      </c>
      <c r="D50" s="156" t="s">
        <v>320</v>
      </c>
      <c r="E50" s="164" t="s">
        <v>321</v>
      </c>
      <c r="F50" s="156" t="s">
        <v>654</v>
      </c>
      <c r="G50" s="169" t="str">
        <f xml:space="preserve"> IF([6]十五音音節表!F47&lt;&gt;"", _xlfn.CONCAT(G$4,$E50), "")</f>
        <v>ㄌㄧㄚㆷ</v>
      </c>
      <c r="H50" s="169" t="str">
        <f xml:space="preserve"> IF([6]十五音音節表!G47&lt;&gt;"", _xlfn.CONCAT(H$4,$E50), "")</f>
        <v/>
      </c>
      <c r="I50" s="169" t="str">
        <f xml:space="preserve"> IF([6]十五音音節表!H47&lt;&gt;"", _xlfn.CONCAT(I$4,$E50), "")</f>
        <v>ㄅㄧㄚㆷ</v>
      </c>
      <c r="J50" s="169" t="str">
        <f xml:space="preserve"> IF([6]十五音音節表!I47&lt;&gt;"", _xlfn.CONCAT(J$4,$E50), "")</f>
        <v>ㄍㄧㄚㆷ</v>
      </c>
      <c r="K50" s="169" t="str">
        <f xml:space="preserve"> IF([6]十五音音節表!J47&lt;&gt;"", _xlfn.CONCAT(K$4,$E50), "")</f>
        <v>ㄎㄧㄚㆷ</v>
      </c>
      <c r="L50" s="169" t="str">
        <f xml:space="preserve"> IF([6]十五音音節表!K47&lt;&gt;"", _xlfn.CONCAT(L$4,$E50), "")</f>
        <v>ㄉㄧㄚㆷ</v>
      </c>
      <c r="M50" s="169" t="str">
        <f xml:space="preserve"> IF([6]十五音音節表!L47&lt;&gt;"", _xlfn.CONCAT(M$4,$E50), "")</f>
        <v>ㄆㄧㄚㆷ</v>
      </c>
      <c r="N50" s="169" t="str">
        <f xml:space="preserve"> IF([6]十五音音節表!M47&lt;&gt;"", _xlfn.CONCAT(N$4,$E50), "")</f>
        <v>ㄊㄧㄚㆷ</v>
      </c>
      <c r="O50" s="169" t="str">
        <f xml:space="preserve"> IF([6]十五音音節表!N47&lt;&gt;"", _xlfn.CONCAT(O$4,$E50), "")</f>
        <v>ㄗㄧㄚㆷ</v>
      </c>
      <c r="P50" s="169" t="str">
        <f xml:space="preserve"> IF([6]十五音音節表!O47&lt;&gt;"", _xlfn.CONCAT(P$4,$E50), "")</f>
        <v/>
      </c>
      <c r="Q50" s="169" t="str">
        <f xml:space="preserve"> IF([6]十五音音節表!P47&lt;&gt;"", _xlfn.CONCAT(Q$4,$E50), "")</f>
        <v>ㄙㄧㄚㆷ</v>
      </c>
      <c r="R50" s="169" t="str">
        <f xml:space="preserve"> IF([6]十五音音節表!Q47&lt;&gt;"", _xlfn.CONCAT(R$4,$E50), "")</f>
        <v>ㄧㄚㆷ</v>
      </c>
      <c r="S50" s="169" t="str">
        <f xml:space="preserve"> IF([6]十五音音節表!R47&lt;&gt;"", _xlfn.CONCAT(S$4,$E50), "")</f>
        <v/>
      </c>
      <c r="T50" s="169" t="str">
        <f xml:space="preserve"> IF([6]十五音音節表!S47&lt;&gt;"", _xlfn.CONCAT(T$4,$E50), "")</f>
        <v/>
      </c>
      <c r="U50" s="169" t="str">
        <f xml:space="preserve"> IF([6]十五音音節表!T47&lt;&gt;"", _xlfn.CONCAT(U$4,$E50), "")</f>
        <v>ㆣㄧㄚㆷ</v>
      </c>
      <c r="V50" s="169" t="str">
        <f xml:space="preserve"> IF([6]十五音音節表!U47&lt;&gt;"", _xlfn.CONCAT(V$4,$E50), "")</f>
        <v/>
      </c>
      <c r="W50" s="169" t="str">
        <f xml:space="preserve"> IF([6]十五音音節表!V47&lt;&gt;"", _xlfn.CONCAT(W$4,$E50), "")</f>
        <v>ㄘㄧㄚㆷ</v>
      </c>
      <c r="X50" s="169" t="str">
        <f xml:space="preserve"> IF([6]十五音音節表!W47&lt;&gt;"", _xlfn.CONCAT(X$4,$E50), "")</f>
        <v>ㄏㄧㄚㆷ</v>
      </c>
      <c r="Y50" s="164" t="s">
        <v>321</v>
      </c>
      <c r="Z50" s="156" t="s">
        <v>320</v>
      </c>
      <c r="AA50" s="156" t="s">
        <v>654</v>
      </c>
    </row>
    <row r="51" spans="2:27">
      <c r="B51" s="168">
        <v>25</v>
      </c>
      <c r="C51" s="170" t="s">
        <v>930</v>
      </c>
      <c r="D51" s="156" t="s">
        <v>541</v>
      </c>
      <c r="E51" s="164" t="s">
        <v>543</v>
      </c>
      <c r="F51" s="156" t="s">
        <v>704</v>
      </c>
      <c r="G51" s="169" t="str">
        <f xml:space="preserve"> IF([6]十五音音節表!F48&lt;&gt;"", _xlfn.CONCAT(G$4,$E51), "")</f>
        <v>ㄌㄨㆤ</v>
      </c>
      <c r="H51" s="169" t="str">
        <f xml:space="preserve"> IF([6]十五音音節表!G48&lt;&gt;"", _xlfn.CONCAT(H$4,$E51), "")</f>
        <v/>
      </c>
      <c r="I51" s="169" t="str">
        <f xml:space="preserve"> IF([6]十五音音節表!H48&lt;&gt;"", _xlfn.CONCAT(I$4,$E51), "")</f>
        <v>ㄅㄨㆤ</v>
      </c>
      <c r="J51" s="169" t="str">
        <f xml:space="preserve"> IF([6]十五音音節表!I48&lt;&gt;"", _xlfn.CONCAT(J$4,$E51), "")</f>
        <v>ㄍㄨㆤ</v>
      </c>
      <c r="K51" s="169" t="str">
        <f xml:space="preserve"> IF([6]十五音音節表!J48&lt;&gt;"", _xlfn.CONCAT(K$4,$E51), "")</f>
        <v>ㄎㄨㆤ</v>
      </c>
      <c r="L51" s="169" t="str">
        <f xml:space="preserve"> IF([6]十五音音節表!K48&lt;&gt;"", _xlfn.CONCAT(L$4,$E51), "")</f>
        <v>ㄉㄨㆤ</v>
      </c>
      <c r="M51" s="169" t="str">
        <f xml:space="preserve"> IF([6]十五音音節表!L48&lt;&gt;"", _xlfn.CONCAT(M$4,$E51), "")</f>
        <v>ㄆㄨㆤ</v>
      </c>
      <c r="N51" s="169" t="str">
        <f xml:space="preserve"> IF([6]十五音音節表!M48&lt;&gt;"", _xlfn.CONCAT(N$4,$E51), "")</f>
        <v/>
      </c>
      <c r="O51" s="169" t="str">
        <f xml:space="preserve"> IF([6]十五音音節表!N48&lt;&gt;"", _xlfn.CONCAT(O$4,$E51), "")</f>
        <v>ㄗㄨㆤ</v>
      </c>
      <c r="P51" s="169" t="str">
        <f xml:space="preserve"> IF([6]十五音音節表!O48&lt;&gt;"", _xlfn.CONCAT(P$4,$E51), "")</f>
        <v>ㆡㄨㆤ</v>
      </c>
      <c r="Q51" s="169" t="str">
        <f xml:space="preserve"> IF([6]十五音音節表!P48&lt;&gt;"", _xlfn.CONCAT(Q$4,$E51), "")</f>
        <v>ㄙㄨㆤ</v>
      </c>
      <c r="R51" s="169" t="str">
        <f xml:space="preserve"> IF([6]十五音音節表!Q48&lt;&gt;"", _xlfn.CONCAT(R$4,$E51), "")</f>
        <v>ㄨㆤ</v>
      </c>
      <c r="S51" s="169" t="str">
        <f xml:space="preserve"> IF([6]十五音音節表!R48&lt;&gt;"", _xlfn.CONCAT(S$4,$E51), "")</f>
        <v>ㆠㄨㆤ</v>
      </c>
      <c r="T51" s="169" t="str">
        <f xml:space="preserve"> IF([6]十五音音節表!S48&lt;&gt;"", _xlfn.CONCAT(T$4,$E51), "")</f>
        <v/>
      </c>
      <c r="U51" s="169" t="str">
        <f xml:space="preserve"> IF([6]十五音音節表!T48&lt;&gt;"", _xlfn.CONCAT(U$4,$E51), "")</f>
        <v>ㆣㄨㆤ</v>
      </c>
      <c r="V51" s="169" t="str">
        <f xml:space="preserve"> IF([6]十五音音節表!U48&lt;&gt;"", _xlfn.CONCAT(V$4,$E51), "")</f>
        <v/>
      </c>
      <c r="W51" s="169" t="str">
        <f xml:space="preserve"> IF([6]十五音音節表!V48&lt;&gt;"", _xlfn.CONCAT(W$4,$E51), "")</f>
        <v>ㄘㄨㆤ</v>
      </c>
      <c r="X51" s="169" t="str">
        <f xml:space="preserve"> IF([6]十五音音節表!W48&lt;&gt;"", _xlfn.CONCAT(X$4,$E51), "")</f>
        <v>ㄏㄨㆤ</v>
      </c>
      <c r="Y51" s="164" t="s">
        <v>543</v>
      </c>
      <c r="Z51" s="156" t="s">
        <v>541</v>
      </c>
      <c r="AA51" s="156" t="s">
        <v>704</v>
      </c>
    </row>
    <row r="52" spans="2:27" outlineLevel="1">
      <c r="B52" s="168">
        <v>25</v>
      </c>
      <c r="C52" s="170" t="s">
        <v>931</v>
      </c>
      <c r="D52" s="156" t="s">
        <v>546</v>
      </c>
      <c r="E52" s="164" t="s">
        <v>548</v>
      </c>
      <c r="F52" s="156" t="s">
        <v>705</v>
      </c>
      <c r="G52" s="169" t="str">
        <f xml:space="preserve"> IF([6]十五音音節表!F49&lt;&gt;"", _xlfn.CONCAT(G$4,$E52), "")</f>
        <v/>
      </c>
      <c r="H52" s="169" t="str">
        <f xml:space="preserve"> IF([6]十五音音節表!G49&lt;&gt;"", _xlfn.CONCAT(H$4,$E52), "")</f>
        <v/>
      </c>
      <c r="I52" s="169" t="str">
        <f xml:space="preserve"> IF([6]十五音音節表!H49&lt;&gt;"", _xlfn.CONCAT(I$4,$E52), "")</f>
        <v>ㄅㄨㆤㆷ</v>
      </c>
      <c r="J52" s="169" t="str">
        <f xml:space="preserve"> IF([6]十五音音節表!I49&lt;&gt;"", _xlfn.CONCAT(J$4,$E52), "")</f>
        <v>ㄍㄨㆤㆷ</v>
      </c>
      <c r="K52" s="169" t="str">
        <f xml:space="preserve"> IF([6]十五音音節表!J49&lt;&gt;"", _xlfn.CONCAT(K$4,$E52), "")</f>
        <v>ㄎㄨㆤㆷ</v>
      </c>
      <c r="L52" s="169" t="str">
        <f xml:space="preserve"> IF([6]十五音音節表!K49&lt;&gt;"", _xlfn.CONCAT(L$4,$E52), "")</f>
        <v/>
      </c>
      <c r="M52" s="169" t="str">
        <f xml:space="preserve"> IF([6]十五音音節表!L49&lt;&gt;"", _xlfn.CONCAT(M$4,$E52), "")</f>
        <v>ㄆㄨㆤㆷ</v>
      </c>
      <c r="N52" s="169" t="str">
        <f xml:space="preserve"> IF([6]十五音音節表!M49&lt;&gt;"", _xlfn.CONCAT(N$4,$E52), "")</f>
        <v/>
      </c>
      <c r="O52" s="169" t="str">
        <f xml:space="preserve"> IF([6]十五音音節表!N49&lt;&gt;"", _xlfn.CONCAT(O$4,$E52), "")</f>
        <v/>
      </c>
      <c r="P52" s="169" t="str">
        <f xml:space="preserve"> IF([6]十五音音節表!O49&lt;&gt;"", _xlfn.CONCAT(P$4,$E52), "")</f>
        <v/>
      </c>
      <c r="Q52" s="169" t="str">
        <f xml:space="preserve"> IF([6]十五音音節表!P49&lt;&gt;"", _xlfn.CONCAT(Q$4,$E52), "")</f>
        <v>ㄙㄨㆤㆷ</v>
      </c>
      <c r="R52" s="169" t="str">
        <f xml:space="preserve"> IF([6]十五音音節表!Q49&lt;&gt;"", _xlfn.CONCAT(R$4,$E52), "")</f>
        <v>ㄨㆤㆷ</v>
      </c>
      <c r="S52" s="169" t="str">
        <f xml:space="preserve"> IF([6]十五音音節表!R49&lt;&gt;"", _xlfn.CONCAT(S$4,$E52), "")</f>
        <v>ㆠㄨㆤㆷ</v>
      </c>
      <c r="T52" s="169" t="str">
        <f xml:space="preserve"> IF([6]十五音音節表!S49&lt;&gt;"", _xlfn.CONCAT(T$4,$E52), "")</f>
        <v/>
      </c>
      <c r="U52" s="169" t="str">
        <f xml:space="preserve"> IF([6]十五音音節表!T49&lt;&gt;"", _xlfn.CONCAT(U$4,$E52), "")</f>
        <v>ㆣㄨㆤㆷ</v>
      </c>
      <c r="V52" s="169" t="str">
        <f xml:space="preserve"> IF([6]十五音音節表!U49&lt;&gt;"", _xlfn.CONCAT(V$4,$E52), "")</f>
        <v/>
      </c>
      <c r="W52" s="169" t="str">
        <f xml:space="preserve"> IF([6]十五音音節表!V49&lt;&gt;"", _xlfn.CONCAT(W$4,$E52), "")</f>
        <v/>
      </c>
      <c r="X52" s="169" t="str">
        <f xml:space="preserve"> IF([6]十五音音節表!W49&lt;&gt;"", _xlfn.CONCAT(X$4,$E52), "")</f>
        <v>ㄏㄨㆤㆷ</v>
      </c>
      <c r="Y52" s="164" t="s">
        <v>548</v>
      </c>
      <c r="Z52" s="156" t="s">
        <v>546</v>
      </c>
      <c r="AA52" s="156" t="s">
        <v>705</v>
      </c>
    </row>
    <row r="53" spans="2:27">
      <c r="B53" s="168">
        <v>26</v>
      </c>
      <c r="C53" s="156" t="s">
        <v>932</v>
      </c>
      <c r="D53" s="156" t="s">
        <v>262</v>
      </c>
      <c r="E53" s="164" t="s">
        <v>265</v>
      </c>
      <c r="F53" s="156" t="s">
        <v>638</v>
      </c>
      <c r="G53" s="169" t="str">
        <f xml:space="preserve"> IF([6]十五音音節表!F50&lt;&gt;"", _xlfn.CONCAT(G$4,$E53), "")</f>
        <v/>
      </c>
      <c r="H53" s="169" t="str">
        <f xml:space="preserve"> IF([6]十五音音節表!G50&lt;&gt;"", _xlfn.CONCAT(H$4,$E53), "")</f>
        <v/>
      </c>
      <c r="I53" s="169" t="str">
        <f xml:space="preserve"> IF([6]十五音音節表!H50&lt;&gt;"", _xlfn.CONCAT(I$4,$E53), "")</f>
        <v/>
      </c>
      <c r="J53" s="169" t="str">
        <f xml:space="preserve"> IF([6]十五音音節表!I50&lt;&gt;"", _xlfn.CONCAT(J$4,$E53), "")</f>
        <v>ㄍㆩ</v>
      </c>
      <c r="K53" s="169" t="str">
        <f xml:space="preserve"> IF([6]十五音音節表!J50&lt;&gt;"", _xlfn.CONCAT(K$4,$E53), "")</f>
        <v>ㄎㆩ</v>
      </c>
      <c r="L53" s="169" t="str">
        <f xml:space="preserve"> IF([6]十五音音節表!K50&lt;&gt;"", _xlfn.CONCAT(L$4,$E53), "")</f>
        <v>ㄉㆩ</v>
      </c>
      <c r="M53" s="169" t="str">
        <f xml:space="preserve"> IF([6]十五音音節表!L50&lt;&gt;"", _xlfn.CONCAT(M$4,$E53), "")</f>
        <v>ㄆㆩ</v>
      </c>
      <c r="N53" s="169" t="str">
        <f xml:space="preserve"> IF([6]十五音音節表!M50&lt;&gt;"", _xlfn.CONCAT(N$4,$E53), "")</f>
        <v>ㄊㆩ</v>
      </c>
      <c r="O53" s="169" t="str">
        <f xml:space="preserve"> IF([6]十五音音節表!N50&lt;&gt;"", _xlfn.CONCAT(O$4,$E53), "")</f>
        <v>ㄗㆩ</v>
      </c>
      <c r="P53" s="169" t="str">
        <f xml:space="preserve"> IF([6]十五音音節表!O50&lt;&gt;"", _xlfn.CONCAT(P$4,$E53), "")</f>
        <v/>
      </c>
      <c r="Q53" s="169" t="str">
        <f xml:space="preserve"> IF([6]十五音音節表!P50&lt;&gt;"", _xlfn.CONCAT(Q$4,$E53), "")</f>
        <v>ㄙㆩ</v>
      </c>
      <c r="R53" s="169" t="str">
        <f xml:space="preserve"> IF([6]十五音音節表!Q50&lt;&gt;"", _xlfn.CONCAT(R$4,$E53), "")</f>
        <v>ㆩ</v>
      </c>
      <c r="S53" s="169" t="str">
        <f xml:space="preserve"> IF([6]十五音音節表!R50&lt;&gt;"", _xlfn.CONCAT(S$4,$E53), "")</f>
        <v/>
      </c>
      <c r="T53" s="169" t="str">
        <f xml:space="preserve"> IF([6]十五音音節表!S50&lt;&gt;"", _xlfn.CONCAT(T$4,$E53), "")</f>
        <v/>
      </c>
      <c r="U53" s="169" t="str">
        <f xml:space="preserve"> IF([6]十五音音節表!T50&lt;&gt;"", _xlfn.CONCAT(U$4,$E53), "")</f>
        <v/>
      </c>
      <c r="V53" s="169" t="str">
        <f xml:space="preserve"> IF([6]十五音音節表!U50&lt;&gt;"", _xlfn.CONCAT(V$4,$E53), "")</f>
        <v/>
      </c>
      <c r="W53" s="169" t="str">
        <f xml:space="preserve"> IF([6]十五音音節表!V50&lt;&gt;"", _xlfn.CONCAT(W$4,$E53), "")</f>
        <v>ㄘㆩ</v>
      </c>
      <c r="X53" s="169" t="str">
        <f xml:space="preserve"> IF([6]十五音音節表!W50&lt;&gt;"", _xlfn.CONCAT(X$4,$E53), "")</f>
        <v>ㄏㆩ</v>
      </c>
      <c r="Y53" s="164" t="s">
        <v>265</v>
      </c>
      <c r="Z53" s="156" t="s">
        <v>262</v>
      </c>
      <c r="AA53" s="156" t="s">
        <v>638</v>
      </c>
    </row>
    <row r="54" spans="2:27" outlineLevel="1">
      <c r="B54" s="168">
        <v>26</v>
      </c>
      <c r="C54" s="156" t="s">
        <v>933</v>
      </c>
      <c r="D54" s="156" t="s">
        <v>269</v>
      </c>
      <c r="E54" s="164" t="s">
        <v>273</v>
      </c>
      <c r="F54" s="156" t="s">
        <v>639</v>
      </c>
      <c r="G54" s="169" t="str">
        <f xml:space="preserve"> IF([6]十五音音節表!F51&lt;&gt;"", _xlfn.CONCAT(G$4,$E54), "")</f>
        <v/>
      </c>
      <c r="H54" s="169" t="str">
        <f xml:space="preserve"> IF([6]十五音音節表!G51&lt;&gt;"", _xlfn.CONCAT(H$4,$E54), "")</f>
        <v/>
      </c>
      <c r="I54" s="169" t="str">
        <f xml:space="preserve"> IF([6]十五音音節表!H51&lt;&gt;"", _xlfn.CONCAT(I$4,$E54), "")</f>
        <v/>
      </c>
      <c r="J54" s="169" t="str">
        <f xml:space="preserve"> IF([6]十五音音節表!I51&lt;&gt;"", _xlfn.CONCAT(J$4,$E54), "")</f>
        <v/>
      </c>
      <c r="K54" s="169" t="str">
        <f xml:space="preserve"> IF([6]十五音音節表!J51&lt;&gt;"", _xlfn.CONCAT(K$4,$E54), "")</f>
        <v/>
      </c>
      <c r="L54" s="169" t="str">
        <f xml:space="preserve"> IF([6]十五音音節表!K51&lt;&gt;"", _xlfn.CONCAT(L$4,$E54), "")</f>
        <v/>
      </c>
      <c r="M54" s="169" t="str">
        <f xml:space="preserve"> IF([6]十五音音節表!L51&lt;&gt;"", _xlfn.CONCAT(M$4,$E54), "")</f>
        <v/>
      </c>
      <c r="N54" s="169" t="str">
        <f xml:space="preserve"> IF([6]十五音音節表!M51&lt;&gt;"", _xlfn.CONCAT(N$4,$E54), "")</f>
        <v/>
      </c>
      <c r="O54" s="169" t="str">
        <f xml:space="preserve"> IF([6]十五音音節表!N51&lt;&gt;"", _xlfn.CONCAT(O$4,$E54), "")</f>
        <v/>
      </c>
      <c r="P54" s="169" t="str">
        <f xml:space="preserve"> IF([6]十五音音節表!O51&lt;&gt;"", _xlfn.CONCAT(P$4,$E54), "")</f>
        <v/>
      </c>
      <c r="Q54" s="169" t="str">
        <f xml:space="preserve"> IF([6]十五音音節表!P51&lt;&gt;"", _xlfn.CONCAT(Q$4,$E54), "")</f>
        <v>ㄙㆩㆷ</v>
      </c>
      <c r="R54" s="169" t="str">
        <f xml:space="preserve"> IF([6]十五音音節表!Q51&lt;&gt;"", _xlfn.CONCAT(R$4,$E54), "")</f>
        <v/>
      </c>
      <c r="S54" s="169" t="str">
        <f xml:space="preserve"> IF([6]十五音音節表!R51&lt;&gt;"", _xlfn.CONCAT(S$4,$E54), "")</f>
        <v/>
      </c>
      <c r="T54" s="169" t="str">
        <f xml:space="preserve"> IF([6]十五音音節表!S51&lt;&gt;"", _xlfn.CONCAT(T$4,$E54), "")</f>
        <v/>
      </c>
      <c r="U54" s="169" t="str">
        <f xml:space="preserve"> IF([6]十五音音節表!T51&lt;&gt;"", _xlfn.CONCAT(U$4,$E54), "")</f>
        <v/>
      </c>
      <c r="V54" s="169" t="str">
        <f xml:space="preserve"> IF([6]十五音音節表!U51&lt;&gt;"", _xlfn.CONCAT(V$4,$E54), "")</f>
        <v/>
      </c>
      <c r="W54" s="169" t="str">
        <f xml:space="preserve"> IF([6]十五音音節表!V51&lt;&gt;"", _xlfn.CONCAT(W$4,$E54), "")</f>
        <v/>
      </c>
      <c r="X54" s="169" t="str">
        <f xml:space="preserve"> IF([6]十五音音節表!W51&lt;&gt;"", _xlfn.CONCAT(X$4,$E54), "")</f>
        <v>ㄏㆩㆷ</v>
      </c>
      <c r="Y54" s="164" t="s">
        <v>273</v>
      </c>
      <c r="Z54" s="156" t="s">
        <v>269</v>
      </c>
      <c r="AA54" s="156" t="s">
        <v>639</v>
      </c>
    </row>
    <row r="55" spans="2:27">
      <c r="B55" s="168">
        <v>27</v>
      </c>
      <c r="C55" s="156" t="s">
        <v>487</v>
      </c>
      <c r="D55" s="156" t="s">
        <v>487</v>
      </c>
      <c r="E55" s="164" t="s">
        <v>488</v>
      </c>
      <c r="F55" s="156" t="s">
        <v>693</v>
      </c>
      <c r="G55" s="169" t="str">
        <f xml:space="preserve"> IF([6]十五音音節表!F52&lt;&gt;"", _xlfn.CONCAT(G$4,$E55), "")</f>
        <v>ㄌㄨ</v>
      </c>
      <c r="H55" s="169" t="str">
        <f xml:space="preserve"> IF([6]十五音音節表!G52&lt;&gt;"", _xlfn.CONCAT(H$4,$E55), "")</f>
        <v/>
      </c>
      <c r="I55" s="169" t="str">
        <f xml:space="preserve"> IF([6]十五音音節表!H52&lt;&gt;"", _xlfn.CONCAT(I$4,$E55), "")</f>
        <v>ㄅㄨ</v>
      </c>
      <c r="J55" s="169" t="str">
        <f xml:space="preserve"> IF([6]十五音音節表!I52&lt;&gt;"", _xlfn.CONCAT(J$4,$E55), "")</f>
        <v>ㄍㄨ</v>
      </c>
      <c r="K55" s="169" t="str">
        <f xml:space="preserve"> IF([6]十五音音節表!J52&lt;&gt;"", _xlfn.CONCAT(K$4,$E55), "")</f>
        <v>ㄎㄨ</v>
      </c>
      <c r="L55" s="169" t="str">
        <f xml:space="preserve"> IF([6]十五音音節表!K52&lt;&gt;"", _xlfn.CONCAT(L$4,$E55), "")</f>
        <v>ㄉㄨ</v>
      </c>
      <c r="M55" s="169" t="str">
        <f xml:space="preserve"> IF([6]十五音音節表!L52&lt;&gt;"", _xlfn.CONCAT(M$4,$E55), "")</f>
        <v>ㄆㄨ</v>
      </c>
      <c r="N55" s="169" t="str">
        <f xml:space="preserve"> IF([6]十五音音節表!M52&lt;&gt;"", _xlfn.CONCAT(N$4,$E55), "")</f>
        <v>ㄊㄨ</v>
      </c>
      <c r="O55" s="169" t="str">
        <f xml:space="preserve"> IF([6]十五音音節表!N52&lt;&gt;"", _xlfn.CONCAT(O$4,$E55), "")</f>
        <v>ㄗㄨ</v>
      </c>
      <c r="P55" s="169" t="str">
        <f xml:space="preserve"> IF([6]十五音音節表!O52&lt;&gt;"", _xlfn.CONCAT(P$4,$E55), "")</f>
        <v>ㆡㄨ</v>
      </c>
      <c r="Q55" s="169" t="str">
        <f xml:space="preserve"> IF([6]十五音音節表!P52&lt;&gt;"", _xlfn.CONCAT(Q$4,$E55), "")</f>
        <v>ㄙㄨ</v>
      </c>
      <c r="R55" s="169" t="str">
        <f xml:space="preserve"> IF([6]十五音音節表!Q52&lt;&gt;"", _xlfn.CONCAT(R$4,$E55), "")</f>
        <v>ㄨ</v>
      </c>
      <c r="S55" s="169" t="str">
        <f xml:space="preserve"> IF([6]十五音音節表!R52&lt;&gt;"", _xlfn.CONCAT(S$4,$E55), "")</f>
        <v>ㆠㄨ</v>
      </c>
      <c r="T55" s="169" t="str">
        <f xml:space="preserve"> IF([6]十五音音節表!S52&lt;&gt;"", _xlfn.CONCAT(T$4,$E55), "")</f>
        <v/>
      </c>
      <c r="U55" s="169" t="str">
        <f xml:space="preserve"> IF([6]十五音音節表!T52&lt;&gt;"", _xlfn.CONCAT(U$4,$E55), "")</f>
        <v>ㆣㄨ</v>
      </c>
      <c r="V55" s="169" t="str">
        <f xml:space="preserve"> IF([6]十五音音節表!U52&lt;&gt;"", _xlfn.CONCAT(V$4,$E55), "")</f>
        <v/>
      </c>
      <c r="W55" s="169" t="str">
        <f xml:space="preserve"> IF([6]十五音音節表!V52&lt;&gt;"", _xlfn.CONCAT(W$4,$E55), "")</f>
        <v>ㄘㄨ</v>
      </c>
      <c r="X55" s="169" t="str">
        <f xml:space="preserve"> IF([6]十五音音節表!W52&lt;&gt;"", _xlfn.CONCAT(X$4,$E55), "")</f>
        <v>ㄏㄨ</v>
      </c>
      <c r="Y55" s="164" t="s">
        <v>488</v>
      </c>
      <c r="Z55" s="156" t="s">
        <v>487</v>
      </c>
      <c r="AA55" s="156" t="s">
        <v>693</v>
      </c>
    </row>
    <row r="56" spans="2:27" outlineLevel="1">
      <c r="B56" s="168">
        <v>27</v>
      </c>
      <c r="C56" s="156" t="s">
        <v>934</v>
      </c>
      <c r="D56" s="156" t="s">
        <v>551</v>
      </c>
      <c r="E56" s="164" t="s">
        <v>552</v>
      </c>
      <c r="F56" s="156" t="s">
        <v>706</v>
      </c>
      <c r="G56" s="169" t="str">
        <f xml:space="preserve"> IF([6]十五音音節表!F53&lt;&gt;"", _xlfn.CONCAT(G$4,$E56), "")</f>
        <v/>
      </c>
      <c r="H56" s="169" t="str">
        <f xml:space="preserve"> IF([6]十五音音節表!G53&lt;&gt;"", _xlfn.CONCAT(H$4,$E56), "")</f>
        <v/>
      </c>
      <c r="I56" s="169" t="str">
        <f xml:space="preserve"> IF([6]十五音音節表!H53&lt;&gt;"", _xlfn.CONCAT(I$4,$E56), "")</f>
        <v>ㄅㄨㆷ</v>
      </c>
      <c r="J56" s="169" t="str">
        <f xml:space="preserve"> IF([6]十五音音節表!I53&lt;&gt;"", _xlfn.CONCAT(J$4,$E56), "")</f>
        <v/>
      </c>
      <c r="K56" s="169" t="str">
        <f xml:space="preserve"> IF([6]十五音音節表!J53&lt;&gt;"", _xlfn.CONCAT(K$4,$E56), "")</f>
        <v>ㄎㄨㆷ</v>
      </c>
      <c r="L56" s="169" t="str">
        <f xml:space="preserve"> IF([6]十五音音節表!K53&lt;&gt;"", _xlfn.CONCAT(L$4,$E56), "")</f>
        <v>ㄉㄨㆷ</v>
      </c>
      <c r="M56" s="169" t="str">
        <f xml:space="preserve"> IF([6]十五音音節表!L53&lt;&gt;"", _xlfn.CONCAT(M$4,$E56), "")</f>
        <v>ㄆㄨㆷ</v>
      </c>
      <c r="N56" s="169" t="str">
        <f xml:space="preserve"> IF([6]十五音音節表!M53&lt;&gt;"", _xlfn.CONCAT(N$4,$E56), "")</f>
        <v>ㄊㄨㆷ</v>
      </c>
      <c r="O56" s="169" t="str">
        <f xml:space="preserve"> IF([6]十五音音節表!N53&lt;&gt;"", _xlfn.CONCAT(O$4,$E56), "")</f>
        <v>ㄗㄨㆷ</v>
      </c>
      <c r="P56" s="169" t="str">
        <f xml:space="preserve"> IF([6]十五音音節表!O53&lt;&gt;"", _xlfn.CONCAT(P$4,$E56), "")</f>
        <v/>
      </c>
      <c r="Q56" s="169" t="str">
        <f xml:space="preserve"> IF([6]十五音音節表!P53&lt;&gt;"", _xlfn.CONCAT(Q$4,$E56), "")</f>
        <v/>
      </c>
      <c r="R56" s="169" t="str">
        <f xml:space="preserve"> IF([6]十五音音節表!Q53&lt;&gt;"", _xlfn.CONCAT(R$4,$E56), "")</f>
        <v>ㄨㆷ</v>
      </c>
      <c r="S56" s="169" t="str">
        <f xml:space="preserve"> IF([6]十五音音節表!R53&lt;&gt;"", _xlfn.CONCAT(S$4,$E56), "")</f>
        <v/>
      </c>
      <c r="T56" s="169" t="str">
        <f xml:space="preserve"> IF([6]十五音音節表!S53&lt;&gt;"", _xlfn.CONCAT(T$4,$E56), "")</f>
        <v/>
      </c>
      <c r="U56" s="169" t="str">
        <f xml:space="preserve"> IF([6]十五音音節表!T53&lt;&gt;"", _xlfn.CONCAT(U$4,$E56), "")</f>
        <v/>
      </c>
      <c r="V56" s="169" t="str">
        <f xml:space="preserve"> IF([6]十五音音節表!U53&lt;&gt;"", _xlfn.CONCAT(V$4,$E56), "")</f>
        <v/>
      </c>
      <c r="W56" s="169" t="str">
        <f xml:space="preserve"> IF([6]十五音音節表!V53&lt;&gt;"", _xlfn.CONCAT(W$4,$E56), "")</f>
        <v>ㄘㄨㆷ</v>
      </c>
      <c r="X56" s="169" t="str">
        <f xml:space="preserve"> IF([6]十五音音節表!W53&lt;&gt;"", _xlfn.CONCAT(X$4,$E56), "")</f>
        <v/>
      </c>
      <c r="Y56" s="164" t="s">
        <v>552</v>
      </c>
      <c r="Z56" s="156" t="s">
        <v>551</v>
      </c>
      <c r="AA56" s="156" t="s">
        <v>706</v>
      </c>
    </row>
    <row r="57" spans="2:27">
      <c r="B57" s="168">
        <v>28</v>
      </c>
      <c r="C57" s="156" t="s">
        <v>224</v>
      </c>
      <c r="D57" s="156" t="s">
        <v>224</v>
      </c>
      <c r="E57" s="164" t="s">
        <v>225</v>
      </c>
      <c r="F57" s="156" t="s">
        <v>629</v>
      </c>
      <c r="G57" s="169" t="str">
        <f xml:space="preserve"> IF([6]十五音音節表!F54&lt;&gt;"", _xlfn.CONCAT(G$4,$E57), "")</f>
        <v>ㄌㄚ</v>
      </c>
      <c r="H57" s="169" t="str">
        <f xml:space="preserve"> IF([6]十五音音節表!G54&lt;&gt;"", _xlfn.CONCAT(H$4,$E57), "")</f>
        <v>ㄋㄚ</v>
      </c>
      <c r="I57" s="169" t="str">
        <f xml:space="preserve"> IF([6]十五音音節表!H54&lt;&gt;"", _xlfn.CONCAT(I$4,$E57), "")</f>
        <v>ㄅㄚ</v>
      </c>
      <c r="J57" s="169" t="str">
        <f xml:space="preserve"> IF([6]十五音音節表!I54&lt;&gt;"", _xlfn.CONCAT(J$4,$E57), "")</f>
        <v>ㄍㄚ</v>
      </c>
      <c r="K57" s="169" t="str">
        <f xml:space="preserve"> IF([6]十五音音節表!J54&lt;&gt;"", _xlfn.CONCAT(K$4,$E57), "")</f>
        <v>ㄎㄚ</v>
      </c>
      <c r="L57" s="169" t="str">
        <f xml:space="preserve"> IF([6]十五音音節表!K54&lt;&gt;"", _xlfn.CONCAT(L$4,$E57), "")</f>
        <v>ㄉㄚ</v>
      </c>
      <c r="M57" s="169" t="str">
        <f xml:space="preserve"> IF([6]十五音音節表!L54&lt;&gt;"", _xlfn.CONCAT(M$4,$E57), "")</f>
        <v>ㄆㄚ</v>
      </c>
      <c r="N57" s="169" t="str">
        <f xml:space="preserve"> IF([6]十五音音節表!M54&lt;&gt;"", _xlfn.CONCAT(N$4,$E57), "")</f>
        <v>ㄊㄚ</v>
      </c>
      <c r="O57" s="169" t="str">
        <f xml:space="preserve"> IF([6]十五音音節表!N54&lt;&gt;"", _xlfn.CONCAT(O$4,$E57), "")</f>
        <v>ㄗㄚ</v>
      </c>
      <c r="P57" s="169" t="str">
        <f xml:space="preserve"> IF([6]十五音音節表!O54&lt;&gt;"", _xlfn.CONCAT(P$4,$E57), "")</f>
        <v/>
      </c>
      <c r="Q57" s="169" t="str">
        <f xml:space="preserve"> IF([6]十五音音節表!P54&lt;&gt;"", _xlfn.CONCAT(Q$4,$E57), "")</f>
        <v>ㄙㄚ</v>
      </c>
      <c r="R57" s="169" t="str">
        <f xml:space="preserve"> IF([6]十五音音節表!Q54&lt;&gt;"", _xlfn.CONCAT(R$4,$E57), "")</f>
        <v>ㄚ</v>
      </c>
      <c r="S57" s="169" t="str">
        <f xml:space="preserve"> IF([6]十五音音節表!R54&lt;&gt;"", _xlfn.CONCAT(S$4,$E57), "")</f>
        <v>ㆠㄚ</v>
      </c>
      <c r="T57" s="169" t="str">
        <f xml:space="preserve"> IF([6]十五音音節表!S54&lt;&gt;"", _xlfn.CONCAT(T$4,$E57), "")</f>
        <v>ㄇㄚ</v>
      </c>
      <c r="U57" s="169" t="str">
        <f xml:space="preserve"> IF([6]十五音音節表!T54&lt;&gt;"", _xlfn.CONCAT(U$4,$E57), "")</f>
        <v>ㆣㄚ</v>
      </c>
      <c r="V57" s="169" t="str">
        <f xml:space="preserve"> IF([6]十五音音節表!U54&lt;&gt;"", _xlfn.CONCAT(V$4,$E57), "")</f>
        <v>ㄫㄚ</v>
      </c>
      <c r="W57" s="169" t="str">
        <f xml:space="preserve"> IF([6]十五音音節表!V54&lt;&gt;"", _xlfn.CONCAT(W$4,$E57), "")</f>
        <v>ㄘㄚ</v>
      </c>
      <c r="X57" s="169" t="str">
        <f xml:space="preserve"> IF([6]十五音音節表!W54&lt;&gt;"", _xlfn.CONCAT(X$4,$E57), "")</f>
        <v>ㄏㄚ</v>
      </c>
      <c r="Y57" s="164" t="s">
        <v>225</v>
      </c>
      <c r="Z57" s="156" t="s">
        <v>224</v>
      </c>
      <c r="AA57" s="156" t="s">
        <v>629</v>
      </c>
    </row>
    <row r="58" spans="2:27" outlineLevel="1">
      <c r="B58" s="168">
        <v>28</v>
      </c>
      <c r="C58" s="156" t="s">
        <v>935</v>
      </c>
      <c r="D58" s="156" t="s">
        <v>228</v>
      </c>
      <c r="E58" s="164" t="s">
        <v>229</v>
      </c>
      <c r="F58" s="156" t="s">
        <v>630</v>
      </c>
      <c r="G58" s="169" t="str">
        <f xml:space="preserve"> IF([6]十五音音節表!F55&lt;&gt;"", _xlfn.CONCAT(G$4,$E58), "")</f>
        <v>ㄌㄚㆷ</v>
      </c>
      <c r="H58" s="169" t="str">
        <f xml:space="preserve"> IF([6]十五音音節表!G55&lt;&gt;"", _xlfn.CONCAT(H$4,$E58), "")</f>
        <v>ㄋㄚㆷ</v>
      </c>
      <c r="I58" s="169" t="str">
        <f xml:space="preserve"> IF([6]十五音音節表!H55&lt;&gt;"", _xlfn.CONCAT(I$4,$E58), "")</f>
        <v>ㄅㄚㆷ</v>
      </c>
      <c r="J58" s="169" t="str">
        <f xml:space="preserve"> IF([6]十五音音節表!I55&lt;&gt;"", _xlfn.CONCAT(J$4,$E58), "")</f>
        <v>ㄍㄚㆷ</v>
      </c>
      <c r="K58" s="169" t="str">
        <f xml:space="preserve"> IF([6]十五音音節表!J55&lt;&gt;"", _xlfn.CONCAT(K$4,$E58), "")</f>
        <v>ㄎㄚㆷ</v>
      </c>
      <c r="L58" s="169" t="str">
        <f xml:space="preserve"> IF([6]十五音音節表!K55&lt;&gt;"", _xlfn.CONCAT(L$4,$E58), "")</f>
        <v>ㄉㄚㆷ</v>
      </c>
      <c r="M58" s="169" t="str">
        <f xml:space="preserve"> IF([6]十五音音節表!L55&lt;&gt;"", _xlfn.CONCAT(M$4,$E58), "")</f>
        <v>ㄆㄚㆷ</v>
      </c>
      <c r="N58" s="169" t="str">
        <f xml:space="preserve"> IF([6]十五音音節表!M55&lt;&gt;"", _xlfn.CONCAT(N$4,$E58), "")</f>
        <v>ㄊㄚㆷ</v>
      </c>
      <c r="O58" s="169" t="str">
        <f xml:space="preserve"> IF([6]十五音音節表!N55&lt;&gt;"", _xlfn.CONCAT(O$4,$E58), "")</f>
        <v>ㄗㄚㆷ</v>
      </c>
      <c r="P58" s="169" t="str">
        <f xml:space="preserve"> IF([6]十五音音節表!O55&lt;&gt;"", _xlfn.CONCAT(P$4,$E58), "")</f>
        <v/>
      </c>
      <c r="Q58" s="169" t="str">
        <f xml:space="preserve"> IF([6]十五音音節表!P55&lt;&gt;"", _xlfn.CONCAT(Q$4,$E58), "")</f>
        <v>ㄙㄚㆷ</v>
      </c>
      <c r="R58" s="169" t="str">
        <f xml:space="preserve"> IF([6]十五音音節表!Q55&lt;&gt;"", _xlfn.CONCAT(R$4,$E58), "")</f>
        <v>ㄚㆷ</v>
      </c>
      <c r="S58" s="169" t="str">
        <f xml:space="preserve"> IF([6]十五音音節表!R55&lt;&gt;"", _xlfn.CONCAT(S$4,$E58), "")</f>
        <v>ㆠㄚㆷ</v>
      </c>
      <c r="T58" s="169" t="str">
        <f xml:space="preserve"> IF([6]十五音音節表!S55&lt;&gt;"", _xlfn.CONCAT(T$4,$E58), "")</f>
        <v/>
      </c>
      <c r="U58" s="169" t="str">
        <f xml:space="preserve"> IF([6]十五音音節表!T55&lt;&gt;"", _xlfn.CONCAT(U$4,$E58), "")</f>
        <v/>
      </c>
      <c r="V58" s="169" t="str">
        <f xml:space="preserve"> IF([6]十五音音節表!U55&lt;&gt;"", _xlfn.CONCAT(V$4,$E58), "")</f>
        <v/>
      </c>
      <c r="W58" s="169" t="str">
        <f xml:space="preserve"> IF([6]十五音音節表!V55&lt;&gt;"", _xlfn.CONCAT(W$4,$E58), "")</f>
        <v>ㄘㄚㆷ</v>
      </c>
      <c r="X58" s="169" t="str">
        <f xml:space="preserve"> IF([6]十五音音節表!W55&lt;&gt;"", _xlfn.CONCAT(X$4,$E58), "")</f>
        <v>ㄏㄚㆷ</v>
      </c>
      <c r="Y58" s="164" t="s">
        <v>229</v>
      </c>
      <c r="Z58" s="156" t="s">
        <v>228</v>
      </c>
      <c r="AA58" s="156" t="s">
        <v>630</v>
      </c>
    </row>
    <row r="59" spans="2:27">
      <c r="B59" s="168">
        <v>29</v>
      </c>
      <c r="C59" s="156" t="s">
        <v>314</v>
      </c>
      <c r="D59" s="156" t="s">
        <v>314</v>
      </c>
      <c r="E59" s="164" t="s">
        <v>315</v>
      </c>
      <c r="F59" s="156" t="s">
        <v>652</v>
      </c>
      <c r="G59" s="169" t="str">
        <f xml:space="preserve"> IF([6]十五音音節表!F56&lt;&gt;"", _xlfn.CONCAT(G$4,$E59), "")</f>
        <v>ㄌㄧ</v>
      </c>
      <c r="H59" s="169" t="str">
        <f xml:space="preserve"> IF([6]十五音音節表!G56&lt;&gt;"", _xlfn.CONCAT(H$4,$E59), "")</f>
        <v>ㄋㄧ</v>
      </c>
      <c r="I59" s="169" t="str">
        <f xml:space="preserve"> IF([6]十五音音節表!H56&lt;&gt;"", _xlfn.CONCAT(I$4,$E59), "")</f>
        <v>ㄅㄧ</v>
      </c>
      <c r="J59" s="169" t="str">
        <f xml:space="preserve"> IF([6]十五音音節表!I56&lt;&gt;"", _xlfn.CONCAT(J$4,$E59), "")</f>
        <v>ㄍㄧ</v>
      </c>
      <c r="K59" s="169" t="str">
        <f xml:space="preserve"> IF([6]十五音音節表!J56&lt;&gt;"", _xlfn.CONCAT(K$4,$E59), "")</f>
        <v>ㄎㄧ</v>
      </c>
      <c r="L59" s="169" t="str">
        <f xml:space="preserve"> IF([6]十五音音節表!K56&lt;&gt;"", _xlfn.CONCAT(L$4,$E59), "")</f>
        <v>ㄉㄧ</v>
      </c>
      <c r="M59" s="169" t="str">
        <f xml:space="preserve"> IF([6]十五音音節表!L56&lt;&gt;"", _xlfn.CONCAT(M$4,$E59), "")</f>
        <v>ㄆㄧ</v>
      </c>
      <c r="N59" s="169" t="str">
        <f xml:space="preserve"> IF([6]十五音音節表!M56&lt;&gt;"", _xlfn.CONCAT(N$4,$E59), "")</f>
        <v>ㄊㄧ</v>
      </c>
      <c r="O59" s="169" t="str">
        <f xml:space="preserve"> IF([6]十五音音節表!N56&lt;&gt;"", _xlfn.CONCAT(O$4,$E59), "")</f>
        <v>ㄗㄧ</v>
      </c>
      <c r="P59" s="169" t="str">
        <f xml:space="preserve"> IF([6]十五音音節表!O56&lt;&gt;"", _xlfn.CONCAT(P$4,$E59), "")</f>
        <v>ㆡㄧ</v>
      </c>
      <c r="Q59" s="169" t="str">
        <f xml:space="preserve"> IF([6]十五音音節表!P56&lt;&gt;"", _xlfn.CONCAT(Q$4,$E59), "")</f>
        <v>ㄙㄧ</v>
      </c>
      <c r="R59" s="169" t="str">
        <f xml:space="preserve"> IF([6]十五音音節表!Q56&lt;&gt;"", _xlfn.CONCAT(R$4,$E59), "")</f>
        <v>ㄧ</v>
      </c>
      <c r="S59" s="169" t="str">
        <f xml:space="preserve"> IF([6]十五音音節表!R56&lt;&gt;"", _xlfn.CONCAT(S$4,$E59), "")</f>
        <v>ㆠㄧ</v>
      </c>
      <c r="T59" s="169" t="str">
        <f xml:space="preserve"> IF([6]十五音音節表!S56&lt;&gt;"", _xlfn.CONCAT(T$4,$E59), "")</f>
        <v>ㄇㄧ</v>
      </c>
      <c r="U59" s="169" t="str">
        <f xml:space="preserve"> IF([6]十五音音節表!T56&lt;&gt;"", _xlfn.CONCAT(U$4,$E59), "")</f>
        <v>ㆣㄧ</v>
      </c>
      <c r="V59" s="169" t="str">
        <f xml:space="preserve"> IF([6]十五音音節表!U56&lt;&gt;"", _xlfn.CONCAT(V$4,$E59), "")</f>
        <v/>
      </c>
      <c r="W59" s="169" t="str">
        <f xml:space="preserve"> IF([6]十五音音節表!V56&lt;&gt;"", _xlfn.CONCAT(W$4,$E59), "")</f>
        <v>ㄘㄧ</v>
      </c>
      <c r="X59" s="169" t="str">
        <f xml:space="preserve"> IF([6]十五音音節表!W56&lt;&gt;"", _xlfn.CONCAT(X$4,$E59), "")</f>
        <v>ㄏㄧ</v>
      </c>
      <c r="Y59" s="164" t="s">
        <v>315</v>
      </c>
      <c r="Z59" s="156" t="s">
        <v>314</v>
      </c>
      <c r="AA59" s="156" t="s">
        <v>652</v>
      </c>
    </row>
    <row r="60" spans="2:27" outlineLevel="1">
      <c r="B60" s="168">
        <v>29</v>
      </c>
      <c r="C60" s="156" t="s">
        <v>936</v>
      </c>
      <c r="D60" s="156" t="s">
        <v>363</v>
      </c>
      <c r="E60" s="164" t="s">
        <v>364</v>
      </c>
      <c r="F60" s="156" t="s">
        <v>665</v>
      </c>
      <c r="G60" s="169" t="str">
        <f xml:space="preserve"> IF([6]十五音音節表!F57&lt;&gt;"", _xlfn.CONCAT(G$4,$E60), "")</f>
        <v/>
      </c>
      <c r="H60" s="169" t="str">
        <f xml:space="preserve"> IF([6]十五音音節表!G57&lt;&gt;"", _xlfn.CONCAT(H$4,$E60), "")</f>
        <v>ㄋㄧㆷ</v>
      </c>
      <c r="I60" s="169" t="str">
        <f xml:space="preserve"> IF([6]十五音音節表!H57&lt;&gt;"", _xlfn.CONCAT(I$4,$E60), "")</f>
        <v>ㄅㄧㆷ</v>
      </c>
      <c r="J60" s="169" t="str">
        <f xml:space="preserve"> IF([6]十五音音節表!I57&lt;&gt;"", _xlfn.CONCAT(J$4,$E60), "")</f>
        <v/>
      </c>
      <c r="K60" s="169" t="str">
        <f xml:space="preserve"> IF([6]十五音音節表!J57&lt;&gt;"", _xlfn.CONCAT(K$4,$E60), "")</f>
        <v>ㄎㄧㆷ</v>
      </c>
      <c r="L60" s="169" t="str">
        <f xml:space="preserve"> IF([6]十五音音節表!K57&lt;&gt;"", _xlfn.CONCAT(L$4,$E60), "")</f>
        <v>ㄉㄧㆷ</v>
      </c>
      <c r="M60" s="169" t="str">
        <f xml:space="preserve"> IF([6]十五音音節表!L57&lt;&gt;"", _xlfn.CONCAT(M$4,$E60), "")</f>
        <v>ㄆㄧㆷ</v>
      </c>
      <c r="N60" s="169" t="str">
        <f xml:space="preserve"> IF([6]十五音音節表!M57&lt;&gt;"", _xlfn.CONCAT(N$4,$E60), "")</f>
        <v>ㄊㄧㆷ</v>
      </c>
      <c r="O60" s="169" t="str">
        <f xml:space="preserve"> IF([6]十五音音節表!N57&lt;&gt;"", _xlfn.CONCAT(O$4,$E60), "")</f>
        <v>ㄗㄧㆷ</v>
      </c>
      <c r="P60" s="169" t="str">
        <f xml:space="preserve"> IF([6]十五音音節表!O57&lt;&gt;"", _xlfn.CONCAT(P$4,$E60), "")</f>
        <v/>
      </c>
      <c r="Q60" s="169" t="str">
        <f xml:space="preserve"> IF([6]十五音音節表!P57&lt;&gt;"", _xlfn.CONCAT(Q$4,$E60), "")</f>
        <v>ㄙㄧㆷ</v>
      </c>
      <c r="R60" s="169" t="str">
        <f xml:space="preserve"> IF([6]十五音音節表!Q57&lt;&gt;"", _xlfn.CONCAT(R$4,$E60), "")</f>
        <v/>
      </c>
      <c r="S60" s="169" t="str">
        <f xml:space="preserve"> IF([6]十五音音節表!R57&lt;&gt;"", _xlfn.CONCAT(S$4,$E60), "")</f>
        <v>ㆠㄧㆷ</v>
      </c>
      <c r="T60" s="169" t="str">
        <f xml:space="preserve"> IF([6]十五音音節表!S57&lt;&gt;"", _xlfn.CONCAT(T$4,$E60), "")</f>
        <v>ㄇㄧㆷ</v>
      </c>
      <c r="U60" s="169" t="str">
        <f xml:space="preserve"> IF([6]十五音音節表!T57&lt;&gt;"", _xlfn.CONCAT(U$4,$E60), "")</f>
        <v/>
      </c>
      <c r="V60" s="169" t="str">
        <f xml:space="preserve"> IF([6]十五音音節表!U57&lt;&gt;"", _xlfn.CONCAT(V$4,$E60), "")</f>
        <v/>
      </c>
      <c r="W60" s="169" t="str">
        <f xml:space="preserve"> IF([6]十五音音節表!V57&lt;&gt;"", _xlfn.CONCAT(W$4,$E60), "")</f>
        <v>ㄘㄧㆷ</v>
      </c>
      <c r="X60" s="169" t="str">
        <f xml:space="preserve"> IF([6]十五音音節表!W57&lt;&gt;"", _xlfn.CONCAT(X$4,$E60), "")</f>
        <v/>
      </c>
      <c r="Y60" s="164" t="s">
        <v>364</v>
      </c>
      <c r="Z60" s="156" t="s">
        <v>363</v>
      </c>
      <c r="AA60" s="156" t="s">
        <v>665</v>
      </c>
    </row>
    <row r="61" spans="2:27">
      <c r="B61" s="168">
        <v>30</v>
      </c>
      <c r="C61" s="156" t="s">
        <v>937</v>
      </c>
      <c r="D61" s="156" t="s">
        <v>419</v>
      </c>
      <c r="E61" s="164" t="s">
        <v>420</v>
      </c>
      <c r="F61" s="156" t="s">
        <v>676</v>
      </c>
      <c r="G61" s="169" t="str">
        <f xml:space="preserve"> IF([6]十五音音節表!F58&lt;&gt;"", _xlfn.CONCAT(G$4,$E61), "")</f>
        <v>ㄌㄧㄨ</v>
      </c>
      <c r="H61" s="169" t="str">
        <f xml:space="preserve"> IF([6]十五音音節表!G58&lt;&gt;"", _xlfn.CONCAT(H$4,$E61), "")</f>
        <v>ㄋㄧㄨ</v>
      </c>
      <c r="I61" s="169" t="str">
        <f xml:space="preserve"> IF([6]十五音音節表!H58&lt;&gt;"", _xlfn.CONCAT(I$4,$E61), "")</f>
        <v>ㄅㄧㄨ</v>
      </c>
      <c r="J61" s="169" t="str">
        <f xml:space="preserve"> IF([6]十五音音節表!I58&lt;&gt;"", _xlfn.CONCAT(J$4,$E61), "")</f>
        <v>ㄍㄧㄨ</v>
      </c>
      <c r="K61" s="169" t="str">
        <f xml:space="preserve"> IF([6]十五音音節表!J58&lt;&gt;"", _xlfn.CONCAT(K$4,$E61), "")</f>
        <v>ㄎㄧㄨ</v>
      </c>
      <c r="L61" s="169" t="str">
        <f xml:space="preserve"> IF([6]十五音音節表!K58&lt;&gt;"", _xlfn.CONCAT(L$4,$E61), "")</f>
        <v>ㄉㄧㄨ</v>
      </c>
      <c r="M61" s="169" t="str">
        <f xml:space="preserve"> IF([6]十五音音節表!L58&lt;&gt;"", _xlfn.CONCAT(M$4,$E61), "")</f>
        <v/>
      </c>
      <c r="N61" s="169" t="str">
        <f xml:space="preserve"> IF([6]十五音音節表!M58&lt;&gt;"", _xlfn.CONCAT(N$4,$E61), "")</f>
        <v>ㄊㄧㄨ</v>
      </c>
      <c r="O61" s="169" t="str">
        <f xml:space="preserve"> IF([6]十五音音節表!N58&lt;&gt;"", _xlfn.CONCAT(O$4,$E61), "")</f>
        <v>ㄗㄧㄨ</v>
      </c>
      <c r="P61" s="169" t="str">
        <f xml:space="preserve"> IF([6]十五音音節表!O58&lt;&gt;"", _xlfn.CONCAT(P$4,$E61), "")</f>
        <v>ㆡㄧㄨ</v>
      </c>
      <c r="Q61" s="169" t="str">
        <f xml:space="preserve"> IF([6]十五音音節表!P58&lt;&gt;"", _xlfn.CONCAT(Q$4,$E61), "")</f>
        <v>ㄙㄧㄨ</v>
      </c>
      <c r="R61" s="169" t="str">
        <f xml:space="preserve"> IF([6]十五音音節表!Q58&lt;&gt;"", _xlfn.CONCAT(R$4,$E61), "")</f>
        <v>ㄧㄨ</v>
      </c>
      <c r="S61" s="169" t="str">
        <f xml:space="preserve"> IF([6]十五音音節表!R58&lt;&gt;"", _xlfn.CONCAT(S$4,$E61), "")</f>
        <v>ㆠㄧㄨ</v>
      </c>
      <c r="T61" s="169" t="str">
        <f xml:space="preserve"> IF([6]十五音音節表!S58&lt;&gt;"", _xlfn.CONCAT(T$4,$E61), "")</f>
        <v/>
      </c>
      <c r="U61" s="169" t="str">
        <f xml:space="preserve"> IF([6]十五音音節表!T58&lt;&gt;"", _xlfn.CONCAT(U$4,$E61), "")</f>
        <v>ㆣㄧㄨ</v>
      </c>
      <c r="V61" s="169" t="str">
        <f xml:space="preserve"> IF([6]十五音音節表!U58&lt;&gt;"", _xlfn.CONCAT(V$4,$E61), "")</f>
        <v/>
      </c>
      <c r="W61" s="169" t="str">
        <f xml:space="preserve"> IF([6]十五音音節表!V58&lt;&gt;"", _xlfn.CONCAT(W$4,$E61), "")</f>
        <v>ㄘㄧㄨ</v>
      </c>
      <c r="X61" s="169" t="str">
        <f xml:space="preserve"> IF([6]十五音音節表!W58&lt;&gt;"", _xlfn.CONCAT(X$4,$E61), "")</f>
        <v>ㄏㄧㄨ</v>
      </c>
      <c r="Y61" s="164" t="s">
        <v>420</v>
      </c>
      <c r="Z61" s="156" t="s">
        <v>419</v>
      </c>
      <c r="AA61" s="156" t="s">
        <v>676</v>
      </c>
    </row>
    <row r="62" spans="2:27">
      <c r="B62" s="168">
        <v>31</v>
      </c>
      <c r="C62" s="170" t="s">
        <v>938</v>
      </c>
      <c r="D62" s="156" t="s">
        <v>303</v>
      </c>
      <c r="E62" s="164" t="s">
        <v>306</v>
      </c>
      <c r="F62" s="156" t="s">
        <v>650</v>
      </c>
      <c r="G62" s="169" t="str">
        <f xml:space="preserve"> IF([6]十五音音節表!F59&lt;&gt;"", _xlfn.CONCAT(G$4,$E62), "")</f>
        <v/>
      </c>
      <c r="H62" s="169" t="str">
        <f xml:space="preserve"> IF([6]十五音音節表!G59&lt;&gt;"", _xlfn.CONCAT(H$4,$E62), "")</f>
        <v/>
      </c>
      <c r="I62" s="169" t="str">
        <f xml:space="preserve"> IF([6]十五音音節表!H59&lt;&gt;"", _xlfn.CONCAT(I$4,$E62), "")</f>
        <v>ㄅㆥ</v>
      </c>
      <c r="J62" s="169" t="str">
        <f xml:space="preserve"> IF([6]十五音音節表!I59&lt;&gt;"", _xlfn.CONCAT(J$4,$E62), "")</f>
        <v>ㄍㆥ</v>
      </c>
      <c r="K62" s="169" t="str">
        <f xml:space="preserve"> IF([6]十五音音節表!J59&lt;&gt;"", _xlfn.CONCAT(K$4,$E62), "")</f>
        <v>ㄎㆥ</v>
      </c>
      <c r="L62" s="169" t="str">
        <f xml:space="preserve"> IF([6]十五音音節表!K59&lt;&gt;"", _xlfn.CONCAT(L$4,$E62), "")</f>
        <v>ㄉㆥ</v>
      </c>
      <c r="M62" s="169" t="str">
        <f xml:space="preserve"> IF([6]十五音音節表!L59&lt;&gt;"", _xlfn.CONCAT(M$4,$E62), "")</f>
        <v>ㄆㆥ</v>
      </c>
      <c r="N62" s="169" t="str">
        <f xml:space="preserve"> IF([6]十五音音節表!M59&lt;&gt;"", _xlfn.CONCAT(N$4,$E62), "")</f>
        <v>ㄊㆥ</v>
      </c>
      <c r="O62" s="169" t="str">
        <f xml:space="preserve"> IF([6]十五音音節表!N59&lt;&gt;"", _xlfn.CONCAT(O$4,$E62), "")</f>
        <v>ㄗㆥ</v>
      </c>
      <c r="P62" s="169" t="str">
        <f xml:space="preserve"> IF([6]十五音音節表!O59&lt;&gt;"", _xlfn.CONCAT(P$4,$E62), "")</f>
        <v/>
      </c>
      <c r="Q62" s="169" t="str">
        <f xml:space="preserve"> IF([6]十五音音節表!P59&lt;&gt;"", _xlfn.CONCAT(Q$4,$E62), "")</f>
        <v>ㄙㆥ</v>
      </c>
      <c r="R62" s="169" t="str">
        <f xml:space="preserve"> IF([6]十五音音節表!Q59&lt;&gt;"", _xlfn.CONCAT(R$4,$E62), "")</f>
        <v>ㆥ</v>
      </c>
      <c r="S62" s="169" t="str">
        <f xml:space="preserve"> IF([6]十五音音節表!R59&lt;&gt;"", _xlfn.CONCAT(S$4,$E62), "")</f>
        <v/>
      </c>
      <c r="T62" s="169" t="str">
        <f xml:space="preserve"> IF([6]十五音音節表!S59&lt;&gt;"", _xlfn.CONCAT(T$4,$E62), "")</f>
        <v/>
      </c>
      <c r="U62" s="169" t="str">
        <f xml:space="preserve"> IF([6]十五音音節表!T59&lt;&gt;"", _xlfn.CONCAT(U$4,$E62), "")</f>
        <v/>
      </c>
      <c r="V62" s="169" t="str">
        <f xml:space="preserve"> IF([6]十五音音節表!U59&lt;&gt;"", _xlfn.CONCAT(V$4,$E62), "")</f>
        <v/>
      </c>
      <c r="W62" s="169" t="str">
        <f xml:space="preserve"> IF([6]十五音音節表!V59&lt;&gt;"", _xlfn.CONCAT(W$4,$E62), "")</f>
        <v>ㄘㆥ</v>
      </c>
      <c r="X62" s="169" t="str">
        <f xml:space="preserve"> IF([6]十五音音節表!W59&lt;&gt;"", _xlfn.CONCAT(X$4,$E62), "")</f>
        <v>ㄏㆥ</v>
      </c>
      <c r="Y62" s="164" t="s">
        <v>306</v>
      </c>
      <c r="Z62" s="156" t="s">
        <v>303</v>
      </c>
      <c r="AA62" s="156" t="s">
        <v>650</v>
      </c>
    </row>
    <row r="63" spans="2:27" outlineLevel="1">
      <c r="B63" s="168">
        <v>31</v>
      </c>
      <c r="C63" s="170" t="s">
        <v>939</v>
      </c>
      <c r="D63" s="156" t="s">
        <v>309</v>
      </c>
      <c r="E63" s="164" t="s">
        <v>887</v>
      </c>
      <c r="F63" s="156" t="s">
        <v>651</v>
      </c>
      <c r="G63" s="169" t="str">
        <f xml:space="preserve"> IF([6]十五音音節表!F60&lt;&gt;"", _xlfn.CONCAT(G$4,$E63), "")</f>
        <v/>
      </c>
      <c r="H63" s="169" t="str">
        <f xml:space="preserve"> IF([6]十五音音節表!G60&lt;&gt;"", _xlfn.CONCAT(H$4,$E63), "")</f>
        <v/>
      </c>
      <c r="I63" s="169" t="str">
        <f xml:space="preserve"> IF([6]十五音音節表!H60&lt;&gt;"", _xlfn.CONCAT(I$4,$E63), "")</f>
        <v/>
      </c>
      <c r="J63" s="169" t="str">
        <f xml:space="preserve"> IF([6]十五音音節表!I60&lt;&gt;"", _xlfn.CONCAT(J$4,$E63), "")</f>
        <v/>
      </c>
      <c r="K63" s="169" t="str">
        <f xml:space="preserve"> IF([6]十五音音節表!J60&lt;&gt;"", _xlfn.CONCAT(K$4,$E63), "")</f>
        <v>ㄎㆥㆷ</v>
      </c>
      <c r="L63" s="169" t="str">
        <f xml:space="preserve"> IF([6]十五音音節表!K60&lt;&gt;"", _xlfn.CONCAT(L$4,$E63), "")</f>
        <v/>
      </c>
      <c r="M63" s="169" t="str">
        <f xml:space="preserve"> IF([6]十五音音節表!L60&lt;&gt;"", _xlfn.CONCAT(M$4,$E63), "")</f>
        <v/>
      </c>
      <c r="N63" s="169" t="str">
        <f xml:space="preserve"> IF([6]十五音音節表!M60&lt;&gt;"", _xlfn.CONCAT(N$4,$E63), "")</f>
        <v/>
      </c>
      <c r="O63" s="169" t="str">
        <f xml:space="preserve"> IF([6]十五音音節表!N60&lt;&gt;"", _xlfn.CONCAT(O$4,$E63), "")</f>
        <v/>
      </c>
      <c r="P63" s="169" t="str">
        <f xml:space="preserve"> IF([6]十五音音節表!O60&lt;&gt;"", _xlfn.CONCAT(P$4,$E63), "")</f>
        <v/>
      </c>
      <c r="Q63" s="169" t="str">
        <f xml:space="preserve"> IF([6]十五音音節表!P60&lt;&gt;"", _xlfn.CONCAT(Q$4,$E63), "")</f>
        <v/>
      </c>
      <c r="R63" s="169" t="str">
        <f xml:space="preserve"> IF([6]十五音音節表!Q60&lt;&gt;"", _xlfn.CONCAT(R$4,$E63), "")</f>
        <v/>
      </c>
      <c r="S63" s="169" t="str">
        <f xml:space="preserve"> IF([6]十五音音節表!R60&lt;&gt;"", _xlfn.CONCAT(S$4,$E63), "")</f>
        <v/>
      </c>
      <c r="T63" s="169" t="str">
        <f xml:space="preserve"> IF([6]十五音音節表!S60&lt;&gt;"", _xlfn.CONCAT(T$4,$E63), "")</f>
        <v/>
      </c>
      <c r="U63" s="169" t="str">
        <f xml:space="preserve"> IF([6]十五音音節表!T60&lt;&gt;"", _xlfn.CONCAT(U$4,$E63), "")</f>
        <v/>
      </c>
      <c r="V63" s="169" t="str">
        <f xml:space="preserve"> IF([6]十五音音節表!U60&lt;&gt;"", _xlfn.CONCAT(V$4,$E63), "")</f>
        <v/>
      </c>
      <c r="W63" s="169" t="str">
        <f xml:space="preserve"> IF([6]十五音音節表!V60&lt;&gt;"", _xlfn.CONCAT(W$4,$E63), "")</f>
        <v/>
      </c>
      <c r="X63" s="169" t="str">
        <f xml:space="preserve"> IF([6]十五音音節表!W60&lt;&gt;"", _xlfn.CONCAT(X$4,$E63), "")</f>
        <v>ㄏㆥㆷ</v>
      </c>
      <c r="Y63" s="164" t="s">
        <v>887</v>
      </c>
      <c r="Z63" s="156" t="s">
        <v>309</v>
      </c>
      <c r="AA63" s="156" t="s">
        <v>651</v>
      </c>
    </row>
    <row r="64" spans="2:27">
      <c r="B64" s="168">
        <v>33</v>
      </c>
      <c r="C64" s="156" t="s">
        <v>940</v>
      </c>
      <c r="D64" s="156" t="s">
        <v>390</v>
      </c>
      <c r="E64" s="164" t="s">
        <v>392</v>
      </c>
      <c r="F64" s="156" t="s">
        <v>669</v>
      </c>
      <c r="G64" s="169" t="str">
        <f xml:space="preserve"> IF([6]十五音音節表!F61&lt;&gt;"", _xlfn.CONCAT(G$4,$E64), "")</f>
        <v>ㄌㄧㄜ</v>
      </c>
      <c r="H64" s="169" t="str">
        <f xml:space="preserve"> IF([6]十五音音節表!G61&lt;&gt;"", _xlfn.CONCAT(H$4,$E64), "")</f>
        <v/>
      </c>
      <c r="I64" s="169" t="str">
        <f xml:space="preserve"> IF([6]十五音音節表!H61&lt;&gt;"", _xlfn.CONCAT(I$4,$E64), "")</f>
        <v>ㄅㄧㄜ</v>
      </c>
      <c r="J64" s="169" t="str">
        <f xml:space="preserve"> IF([6]十五音音節表!I61&lt;&gt;"", _xlfn.CONCAT(J$4,$E64), "")</f>
        <v>ㄍㄧㄜ</v>
      </c>
      <c r="K64" s="169" t="str">
        <f xml:space="preserve"> IF([6]十五音音節表!J61&lt;&gt;"", _xlfn.CONCAT(K$4,$E64), "")</f>
        <v>ㄎㄧㄜ</v>
      </c>
      <c r="L64" s="169" t="str">
        <f xml:space="preserve"> IF([6]十五音音節表!K61&lt;&gt;"", _xlfn.CONCAT(L$4,$E64), "")</f>
        <v>ㄉㄧㄜ</v>
      </c>
      <c r="M64" s="169" t="str">
        <f xml:space="preserve"> IF([6]十五音音節表!L61&lt;&gt;"", _xlfn.CONCAT(M$4,$E64), "")</f>
        <v>ㄆㄧㄜ</v>
      </c>
      <c r="N64" s="169" t="str">
        <f xml:space="preserve"> IF([6]十五音音節表!M61&lt;&gt;"", _xlfn.CONCAT(N$4,$E64), "")</f>
        <v>ㄊㄧㄜ</v>
      </c>
      <c r="O64" s="169" t="str">
        <f xml:space="preserve"> IF([6]十五音音節表!N61&lt;&gt;"", _xlfn.CONCAT(O$4,$E64), "")</f>
        <v>ㄗㄧㄜ</v>
      </c>
      <c r="P64" s="169" t="str">
        <f xml:space="preserve"> IF([6]十五音音節表!O61&lt;&gt;"", _xlfn.CONCAT(P$4,$E64), "")</f>
        <v>ㆡㄧㄜ</v>
      </c>
      <c r="Q64" s="169" t="str">
        <f xml:space="preserve"> IF([6]十五音音節表!P61&lt;&gt;"", _xlfn.CONCAT(Q$4,$E64), "")</f>
        <v>ㄙㄧㄜ</v>
      </c>
      <c r="R64" s="169" t="str">
        <f xml:space="preserve"> IF([6]十五音音節表!Q61&lt;&gt;"", _xlfn.CONCAT(R$4,$E64), "")</f>
        <v>ㄧㄜ</v>
      </c>
      <c r="S64" s="169" t="str">
        <f xml:space="preserve"> IF([6]十五音音節表!R61&lt;&gt;"", _xlfn.CONCAT(S$4,$E64), "")</f>
        <v>ㆠㄧㄜ</v>
      </c>
      <c r="T64" s="169" t="str">
        <f xml:space="preserve"> IF([6]十五音音節表!S61&lt;&gt;"", _xlfn.CONCAT(T$4,$E64), "")</f>
        <v/>
      </c>
      <c r="U64" s="169" t="str">
        <f xml:space="preserve"> IF([6]十五音音節表!T61&lt;&gt;"", _xlfn.CONCAT(U$4,$E64), "")</f>
        <v>ㆣㄧㄜ</v>
      </c>
      <c r="V64" s="169" t="str">
        <f xml:space="preserve"> IF([6]十五音音節表!U61&lt;&gt;"", _xlfn.CONCAT(V$4,$E64), "")</f>
        <v/>
      </c>
      <c r="W64" s="169" t="str">
        <f xml:space="preserve"> IF([6]十五音音節表!V61&lt;&gt;"", _xlfn.CONCAT(W$4,$E64), "")</f>
        <v>ㄘㄧㄜ</v>
      </c>
      <c r="X64" s="169" t="str">
        <f xml:space="preserve"> IF([6]十五音音節表!W61&lt;&gt;"", _xlfn.CONCAT(X$4,$E64), "")</f>
        <v>ㄏㄧㄜ</v>
      </c>
      <c r="Y64" s="164" t="s">
        <v>392</v>
      </c>
      <c r="Z64" s="156" t="s">
        <v>390</v>
      </c>
      <c r="AA64" s="156" t="s">
        <v>669</v>
      </c>
    </row>
    <row r="65" spans="2:27" outlineLevel="1">
      <c r="B65" s="168">
        <v>33</v>
      </c>
      <c r="C65" s="156" t="s">
        <v>941</v>
      </c>
      <c r="D65" s="156" t="s">
        <v>394</v>
      </c>
      <c r="E65" s="164" t="s">
        <v>396</v>
      </c>
      <c r="F65" s="156" t="s">
        <v>670</v>
      </c>
      <c r="G65" s="169" t="str">
        <f xml:space="preserve"> IF([6]十五音音節表!F62&lt;&gt;"", _xlfn.CONCAT(G$4,$E65), "")</f>
        <v>ㄌㄧㄜㆷ</v>
      </c>
      <c r="H65" s="169" t="str">
        <f xml:space="preserve"> IF([6]十五音音節表!G62&lt;&gt;"", _xlfn.CONCAT(H$4,$E65), "")</f>
        <v/>
      </c>
      <c r="I65" s="169" t="str">
        <f xml:space="preserve"> IF([6]十五音音節表!H62&lt;&gt;"", _xlfn.CONCAT(I$4,$E65), "")</f>
        <v/>
      </c>
      <c r="J65" s="169" t="str">
        <f xml:space="preserve"> IF([6]十五音音節表!I62&lt;&gt;"", _xlfn.CONCAT(J$4,$E65), "")</f>
        <v>ㄍㄧㄜㆷ</v>
      </c>
      <c r="K65" s="169" t="str">
        <f xml:space="preserve"> IF([6]十五音音節表!J62&lt;&gt;"", _xlfn.CONCAT(K$4,$E65), "")</f>
        <v>ㄎㄧㄜㆷ</v>
      </c>
      <c r="L65" s="169" t="str">
        <f xml:space="preserve"> IF([6]十五音音節表!K62&lt;&gt;"", _xlfn.CONCAT(L$4,$E65), "")</f>
        <v>ㄉㄧㄜㆷ</v>
      </c>
      <c r="M65" s="169" t="str">
        <f xml:space="preserve"> IF([6]十五音音節表!L62&lt;&gt;"", _xlfn.CONCAT(M$4,$E65), "")</f>
        <v/>
      </c>
      <c r="N65" s="169" t="str">
        <f xml:space="preserve"> IF([6]十五音音節表!M62&lt;&gt;"", _xlfn.CONCAT(N$4,$E65), "")</f>
        <v/>
      </c>
      <c r="O65" s="169" t="str">
        <f xml:space="preserve"> IF([6]十五音音節表!N62&lt;&gt;"", _xlfn.CONCAT(O$4,$E65), "")</f>
        <v>ㄗㄧㄜㆷ</v>
      </c>
      <c r="P65" s="169" t="str">
        <f xml:space="preserve"> IF([6]十五音音節表!O62&lt;&gt;"", _xlfn.CONCAT(P$4,$E65), "")</f>
        <v/>
      </c>
      <c r="Q65" s="169" t="str">
        <f xml:space="preserve"> IF([6]十五音音節表!P62&lt;&gt;"", _xlfn.CONCAT(Q$4,$E65), "")</f>
        <v>ㄙㄧㄜㆷ</v>
      </c>
      <c r="R65" s="169" t="str">
        <f xml:space="preserve"> IF([6]十五音音節表!Q62&lt;&gt;"", _xlfn.CONCAT(R$4,$E65), "")</f>
        <v>ㄧㄜㆷ</v>
      </c>
      <c r="S65" s="169" t="str">
        <f xml:space="preserve"> IF([6]十五音音節表!R62&lt;&gt;"", _xlfn.CONCAT(S$4,$E65), "")</f>
        <v/>
      </c>
      <c r="T65" s="169" t="str">
        <f xml:space="preserve"> IF([6]十五音音節表!S62&lt;&gt;"", _xlfn.CONCAT(T$4,$E65), "")</f>
        <v/>
      </c>
      <c r="U65" s="169" t="str">
        <f xml:space="preserve"> IF([6]十五音音節表!T62&lt;&gt;"", _xlfn.CONCAT(U$4,$E65), "")</f>
        <v>ㆣㄧㄜㆷ</v>
      </c>
      <c r="V65" s="169" t="str">
        <f xml:space="preserve"> IF([6]十五音音節表!U62&lt;&gt;"", _xlfn.CONCAT(V$4,$E65), "")</f>
        <v/>
      </c>
      <c r="W65" s="169" t="str">
        <f xml:space="preserve"> IF([6]十五音音節表!V62&lt;&gt;"", _xlfn.CONCAT(W$4,$E65), "")</f>
        <v>ㄘㄧㄜㆷ</v>
      </c>
      <c r="X65" s="169" t="str">
        <f xml:space="preserve"> IF([6]十五音音節表!W62&lt;&gt;"", _xlfn.CONCAT(X$4,$E65), "")</f>
        <v>ㄏㄧㄜㆷ</v>
      </c>
      <c r="Y65" s="164" t="s">
        <v>396</v>
      </c>
      <c r="Z65" s="156" t="s">
        <v>394</v>
      </c>
      <c r="AA65" s="156" t="s">
        <v>670</v>
      </c>
    </row>
    <row r="66" spans="2:27">
      <c r="B66" s="168">
        <v>34</v>
      </c>
      <c r="C66" s="156" t="s">
        <v>942</v>
      </c>
      <c r="D66" s="156" t="s">
        <v>385</v>
      </c>
      <c r="E66" s="164" t="s">
        <v>388</v>
      </c>
      <c r="F66" s="156" t="s">
        <v>668</v>
      </c>
      <c r="G66" s="169" t="str">
        <f xml:space="preserve"> IF([6]十五音音節表!F63&lt;&gt;"", _xlfn.CONCAT(G$4,$E66), "")</f>
        <v/>
      </c>
      <c r="H66" s="169" t="str">
        <f xml:space="preserve"> IF([6]十五音音節表!G63&lt;&gt;"", _xlfn.CONCAT(H$4,$E66), "")</f>
        <v/>
      </c>
      <c r="I66" s="169" t="str">
        <f xml:space="preserve"> IF([6]十五音音節表!H63&lt;&gt;"", _xlfn.CONCAT(I$4,$E66), "")</f>
        <v/>
      </c>
      <c r="J66" s="169" t="str">
        <f xml:space="preserve"> IF([6]十五音音節表!I63&lt;&gt;"", _xlfn.CONCAT(J$4,$E66), "")</f>
        <v>ㄍㆪ</v>
      </c>
      <c r="K66" s="169" t="str">
        <f xml:space="preserve"> IF([6]十五音音節表!J63&lt;&gt;"", _xlfn.CONCAT(K$4,$E66), "")</f>
        <v>ㄎㆪ</v>
      </c>
      <c r="L66" s="169" t="str">
        <f xml:space="preserve"> IF([6]十五音音節表!K63&lt;&gt;"", _xlfn.CONCAT(L$4,$E66), "")</f>
        <v>ㄉㆪ</v>
      </c>
      <c r="M66" s="169" t="str">
        <f xml:space="preserve"> IF([6]十五音音節表!L63&lt;&gt;"", _xlfn.CONCAT(M$4,$E66), "")</f>
        <v/>
      </c>
      <c r="N66" s="169" t="str">
        <f xml:space="preserve"> IF([6]十五音音節表!M63&lt;&gt;"", _xlfn.CONCAT(N$4,$E66), "")</f>
        <v>ㄊㆪ</v>
      </c>
      <c r="O66" s="169" t="str">
        <f xml:space="preserve"> IF([6]十五音音節表!N63&lt;&gt;"", _xlfn.CONCAT(O$4,$E66), "")</f>
        <v>ㄗㆪ</v>
      </c>
      <c r="P66" s="169" t="str">
        <f xml:space="preserve"> IF([6]十五音音節表!O63&lt;&gt;"", _xlfn.CONCAT(P$4,$E66), "")</f>
        <v/>
      </c>
      <c r="Q66" s="169" t="str">
        <f xml:space="preserve"> IF([6]十五音音節表!P63&lt;&gt;"", _xlfn.CONCAT(Q$4,$E66), "")</f>
        <v>ㄙㆪ</v>
      </c>
      <c r="R66" s="169" t="str">
        <f xml:space="preserve"> IF([6]十五音音節表!Q63&lt;&gt;"", _xlfn.CONCAT(R$4,$E66), "")</f>
        <v>ㆪ</v>
      </c>
      <c r="S66" s="169" t="str">
        <f xml:space="preserve"> IF([6]十五音音節表!R63&lt;&gt;"", _xlfn.CONCAT(S$4,$E66), "")</f>
        <v/>
      </c>
      <c r="T66" s="169" t="str">
        <f xml:space="preserve"> IF([6]十五音音節表!S63&lt;&gt;"", _xlfn.CONCAT(T$4,$E66), "")</f>
        <v/>
      </c>
      <c r="U66" s="169" t="str">
        <f xml:space="preserve"> IF([6]十五音音節表!T63&lt;&gt;"", _xlfn.CONCAT(U$4,$E66), "")</f>
        <v/>
      </c>
      <c r="V66" s="169" t="str">
        <f xml:space="preserve"> IF([6]十五音音節表!U63&lt;&gt;"", _xlfn.CONCAT(V$4,$E66), "")</f>
        <v/>
      </c>
      <c r="W66" s="169" t="str">
        <f xml:space="preserve"> IF([6]十五音音節表!V63&lt;&gt;"", _xlfn.CONCAT(W$4,$E66), "")</f>
        <v>ㄘㆪ</v>
      </c>
      <c r="X66" s="169" t="str">
        <f xml:space="preserve"> IF([6]十五音音節表!W63&lt;&gt;"", _xlfn.CONCAT(X$4,$E66), "")</f>
        <v>ㄏㆪ</v>
      </c>
      <c r="Y66" s="164" t="s">
        <v>388</v>
      </c>
      <c r="Z66" s="156" t="s">
        <v>385</v>
      </c>
      <c r="AA66" s="156" t="s">
        <v>668</v>
      </c>
    </row>
    <row r="67" spans="2:27">
      <c r="B67" s="168">
        <v>35</v>
      </c>
      <c r="C67" s="156" t="s">
        <v>943</v>
      </c>
      <c r="D67" s="156" t="s">
        <v>413</v>
      </c>
      <c r="E67" s="164" t="s">
        <v>417</v>
      </c>
      <c r="F67" s="171" t="s">
        <v>675</v>
      </c>
      <c r="G67" s="169" t="str">
        <f xml:space="preserve"> IF([6]十五音音節表!F62&lt;&gt;"", _xlfn.CONCAT(G$4,$E67), "")</f>
        <v>ㄌㄧㆧ</v>
      </c>
      <c r="H67" s="169" t="str">
        <f xml:space="preserve"> IF([6]十五音音節表!G62&lt;&gt;"", _xlfn.CONCAT(H$4,$E67), "")</f>
        <v/>
      </c>
      <c r="I67" s="169" t="str">
        <f xml:space="preserve"> IF([6]十五音音節表!H62&lt;&gt;"", _xlfn.CONCAT(I$4,$E67), "")</f>
        <v/>
      </c>
      <c r="J67" s="169" t="str">
        <f xml:space="preserve"> IF([6]十五音音節表!I62&lt;&gt;"", _xlfn.CONCAT(J$4,$E67), "")</f>
        <v>ㄍㄧㆧ</v>
      </c>
      <c r="K67" s="169" t="str">
        <f xml:space="preserve"> IF([6]十五音音節表!J62&lt;&gt;"", _xlfn.CONCAT(K$4,$E67), "")</f>
        <v>ㄎㄧㆧ</v>
      </c>
      <c r="L67" s="169" t="str">
        <f xml:space="preserve"> IF([6]十五音音節表!K62&lt;&gt;"", _xlfn.CONCAT(L$4,$E67), "")</f>
        <v>ㄉㄧㆧ</v>
      </c>
      <c r="M67" s="169" t="str">
        <f xml:space="preserve"> IF([6]十五音音節表!L62&lt;&gt;"", _xlfn.CONCAT(M$4,$E67), "")</f>
        <v/>
      </c>
      <c r="N67" s="169" t="str">
        <f xml:space="preserve"> IF([6]十五音音節表!M62&lt;&gt;"", _xlfn.CONCAT(N$4,$E67), "")</f>
        <v/>
      </c>
      <c r="O67" s="169" t="str">
        <f xml:space="preserve"> IF([6]十五音音節表!N62&lt;&gt;"", _xlfn.CONCAT(O$4,$E67), "")</f>
        <v>ㄗㄧㆧ</v>
      </c>
      <c r="P67" s="169" t="str">
        <f xml:space="preserve"> IF([6]十五音音節表!O62&lt;&gt;"", _xlfn.CONCAT(P$4,$E67), "")</f>
        <v/>
      </c>
      <c r="Q67" s="169" t="str">
        <f xml:space="preserve"> IF([6]十五音音節表!P62&lt;&gt;"", _xlfn.CONCAT(Q$4,$E67), "")</f>
        <v>ㄙㄧㆧ</v>
      </c>
      <c r="R67" s="169" t="str">
        <f xml:space="preserve"> IF([6]十五音音節表!Q62&lt;&gt;"", _xlfn.CONCAT(R$4,$E67), "")</f>
        <v>ㄧㆧ</v>
      </c>
      <c r="S67" s="169" t="str">
        <f xml:space="preserve"> IF([6]十五音音節表!R62&lt;&gt;"", _xlfn.CONCAT(S$4,$E67), "")</f>
        <v/>
      </c>
      <c r="T67" s="169" t="str">
        <f xml:space="preserve"> IF([6]十五音音節表!S62&lt;&gt;"", _xlfn.CONCAT(T$4,$E67), "")</f>
        <v/>
      </c>
      <c r="U67" s="169" t="str">
        <f xml:space="preserve"> IF([6]十五音音節表!T62&lt;&gt;"", _xlfn.CONCAT(U$4,$E67), "")</f>
        <v>ㆣㄧㆧ</v>
      </c>
      <c r="V67" s="169" t="str">
        <f xml:space="preserve"> IF([6]十五音音節表!U62&lt;&gt;"", _xlfn.CONCAT(V$4,$E67), "")</f>
        <v/>
      </c>
      <c r="W67" s="169" t="str">
        <f xml:space="preserve"> IF([6]十五音音節表!V62&lt;&gt;"", _xlfn.CONCAT(W$4,$E67), "")</f>
        <v>ㄘㄧㆧ</v>
      </c>
      <c r="X67" s="169" t="str">
        <f xml:space="preserve"> IF([6]十五音音節表!W62&lt;&gt;"", _xlfn.CONCAT(X$4,$E67), "")</f>
        <v>ㄏㄧㆧ</v>
      </c>
      <c r="Y67" s="164" t="s">
        <v>338</v>
      </c>
      <c r="Z67" s="156" t="s">
        <v>335</v>
      </c>
      <c r="AA67" s="156" t="s">
        <v>659</v>
      </c>
    </row>
    <row r="68" spans="2:27">
      <c r="B68" s="168">
        <v>36</v>
      </c>
      <c r="C68" s="156" t="s">
        <v>944</v>
      </c>
      <c r="D68" s="156" t="s">
        <v>335</v>
      </c>
      <c r="E68" s="164" t="s">
        <v>338</v>
      </c>
      <c r="F68" s="156" t="s">
        <v>659</v>
      </c>
      <c r="G68" s="169" t="str">
        <f xml:space="preserve"> IF([6]十五音音節表!F64&lt;&gt;"", _xlfn.CONCAT(G$4,$E68), "")</f>
        <v/>
      </c>
      <c r="H68" s="169" t="str">
        <f xml:space="preserve"> IF([6]十五音音節表!G64&lt;&gt;"", _xlfn.CONCAT(H$4,$E68), "")</f>
        <v/>
      </c>
      <c r="I68" s="169" t="str">
        <f xml:space="preserve"> IF([6]十五音音節表!H64&lt;&gt;"", _xlfn.CONCAT(I$4,$E68), "")</f>
        <v>ㄅㄧㆩ</v>
      </c>
      <c r="J68" s="169" t="str">
        <f xml:space="preserve"> IF([6]十五音音節表!I64&lt;&gt;"", _xlfn.CONCAT(J$4,$E68), "")</f>
        <v>ㄍㄧㆩ</v>
      </c>
      <c r="K68" s="169" t="str">
        <f xml:space="preserve"> IF([6]十五音音節表!J64&lt;&gt;"", _xlfn.CONCAT(K$4,$E68), "")</f>
        <v/>
      </c>
      <c r="L68" s="169" t="str">
        <f xml:space="preserve"> IF([6]十五音音節表!K64&lt;&gt;"", _xlfn.CONCAT(L$4,$E68), "")</f>
        <v>ㄉㄧㆩ</v>
      </c>
      <c r="M68" s="169" t="str">
        <f xml:space="preserve"> IF([6]十五音音節表!L64&lt;&gt;"", _xlfn.CONCAT(M$4,$E68), "")</f>
        <v/>
      </c>
      <c r="N68" s="169" t="str">
        <f xml:space="preserve"> IF([6]十五音音節表!M64&lt;&gt;"", _xlfn.CONCAT(N$4,$E68), "")</f>
        <v>ㄊㄧㆩ</v>
      </c>
      <c r="O68" s="169" t="str">
        <f xml:space="preserve"> IF([6]十五音音節表!N64&lt;&gt;"", _xlfn.CONCAT(O$4,$E68), "")</f>
        <v>ㄗㄧㆩ</v>
      </c>
      <c r="P68" s="169" t="str">
        <f xml:space="preserve"> IF([6]十五音音節表!O64&lt;&gt;"", _xlfn.CONCAT(P$4,$E68), "")</f>
        <v/>
      </c>
      <c r="Q68" s="169" t="str">
        <f xml:space="preserve"> IF([6]十五音音節表!P64&lt;&gt;"", _xlfn.CONCAT(Q$4,$E68), "")</f>
        <v>ㄙㄧㆩ</v>
      </c>
      <c r="R68" s="169" t="str">
        <f xml:space="preserve"> IF([6]十五音音節表!Q64&lt;&gt;"", _xlfn.CONCAT(R$4,$E68), "")</f>
        <v>ㄧㆩ</v>
      </c>
      <c r="S68" s="169" t="str">
        <f xml:space="preserve"> IF([6]十五音音節表!R64&lt;&gt;"", _xlfn.CONCAT(S$4,$E68), "")</f>
        <v/>
      </c>
      <c r="T68" s="169" t="str">
        <f xml:space="preserve"> IF([6]十五音音節表!S64&lt;&gt;"", _xlfn.CONCAT(T$4,$E68), "")</f>
        <v/>
      </c>
      <c r="U68" s="169" t="str">
        <f xml:space="preserve"> IF([6]十五音音節表!T64&lt;&gt;"", _xlfn.CONCAT(U$4,$E68), "")</f>
        <v/>
      </c>
      <c r="V68" s="169" t="str">
        <f xml:space="preserve"> IF([6]十五音音節表!U64&lt;&gt;"", _xlfn.CONCAT(V$4,$E68), "")</f>
        <v/>
      </c>
      <c r="W68" s="169" t="str">
        <f xml:space="preserve"> IF([6]十五音音節表!V64&lt;&gt;"", _xlfn.CONCAT(W$4,$E68), "")</f>
        <v>ㄘㄧㆩ</v>
      </c>
      <c r="X68" s="169" t="str">
        <f xml:space="preserve"> IF([6]十五音音節表!W64&lt;&gt;"", _xlfn.CONCAT(X$4,$E68), "")</f>
        <v>ㄏㄧㆩ</v>
      </c>
      <c r="Y68" s="164" t="s">
        <v>338</v>
      </c>
      <c r="Z68" s="156" t="s">
        <v>335</v>
      </c>
      <c r="AA68" s="156" t="s">
        <v>659</v>
      </c>
    </row>
    <row r="69" spans="2:27" outlineLevel="1">
      <c r="B69" s="168">
        <v>36</v>
      </c>
      <c r="C69" s="156" t="s">
        <v>945</v>
      </c>
      <c r="D69" s="156" t="s">
        <v>339</v>
      </c>
      <c r="E69" s="164" t="s">
        <v>889</v>
      </c>
      <c r="F69" s="156" t="s">
        <v>888</v>
      </c>
      <c r="G69" s="169" t="str">
        <f xml:space="preserve"> IF([6]十五音音節表!F65&lt;&gt;"", _xlfn.CONCAT(G$4,$E69), "")</f>
        <v/>
      </c>
      <c r="H69" s="169" t="str">
        <f xml:space="preserve"> IF([6]十五音音節表!G65&lt;&gt;"", _xlfn.CONCAT(H$4,$E69), "")</f>
        <v/>
      </c>
      <c r="I69" s="169" t="str">
        <f xml:space="preserve"> IF([6]十五音音節表!H65&lt;&gt;"", _xlfn.CONCAT(I$4,$E69), "")</f>
        <v/>
      </c>
      <c r="J69" s="169" t="str">
        <f xml:space="preserve"> IF([6]十五音音節表!I65&lt;&gt;"", _xlfn.CONCAT(J$4,$E69), "")</f>
        <v/>
      </c>
      <c r="K69" s="169" t="str">
        <f xml:space="preserve"> IF([6]十五音音節表!J65&lt;&gt;"", _xlfn.CONCAT(K$4,$E69), "")</f>
        <v/>
      </c>
      <c r="L69" s="169" t="str">
        <f xml:space="preserve"> IF([6]十五音音節表!K65&lt;&gt;"", _xlfn.CONCAT(L$4,$E69), "")</f>
        <v/>
      </c>
      <c r="M69" s="169" t="str">
        <f xml:space="preserve"> IF([6]十五音音節表!L65&lt;&gt;"", _xlfn.CONCAT(M$4,$E69), "")</f>
        <v/>
      </c>
      <c r="N69" s="169" t="str">
        <f xml:space="preserve"> IF([6]十五音音節表!M65&lt;&gt;"", _xlfn.CONCAT(N$4,$E69), "")</f>
        <v/>
      </c>
      <c r="O69" s="169" t="str">
        <f xml:space="preserve"> IF([6]十五音音節表!N65&lt;&gt;"", _xlfn.CONCAT(O$4,$E69), "")</f>
        <v/>
      </c>
      <c r="P69" s="169" t="str">
        <f xml:space="preserve"> IF([6]十五音音節表!O65&lt;&gt;"", _xlfn.CONCAT(P$4,$E69), "")</f>
        <v/>
      </c>
      <c r="Q69" s="169" t="str">
        <f xml:space="preserve"> IF([6]十五音音節表!P65&lt;&gt;"", _xlfn.CONCAT(Q$4,$E69), "")</f>
        <v/>
      </c>
      <c r="R69" s="169" t="str">
        <f xml:space="preserve"> IF([6]十五音音節表!Q65&lt;&gt;"", _xlfn.CONCAT(R$4,$E69), "")</f>
        <v/>
      </c>
      <c r="S69" s="169" t="str">
        <f xml:space="preserve"> IF([6]十五音音節表!R65&lt;&gt;"", _xlfn.CONCAT(S$4,$E69), "")</f>
        <v/>
      </c>
      <c r="T69" s="169" t="str">
        <f xml:space="preserve"> IF([6]十五音音節表!S65&lt;&gt;"", _xlfn.CONCAT(T$4,$E69), "")</f>
        <v/>
      </c>
      <c r="U69" s="169" t="str">
        <f xml:space="preserve"> IF([6]十五音音節表!T65&lt;&gt;"", _xlfn.CONCAT(U$4,$E69), "")</f>
        <v/>
      </c>
      <c r="V69" s="169" t="str">
        <f xml:space="preserve"> IF([6]十五音音節表!U65&lt;&gt;"", _xlfn.CONCAT(V$4,$E69), "")</f>
        <v/>
      </c>
      <c r="W69" s="169" t="str">
        <f xml:space="preserve"> IF([6]十五音音節表!V65&lt;&gt;"", _xlfn.CONCAT(W$4,$E69), "")</f>
        <v/>
      </c>
      <c r="X69" s="169" t="str">
        <f xml:space="preserve"> IF([6]十五音音節表!W65&lt;&gt;"", _xlfn.CONCAT(X$4,$E69), "")</f>
        <v>ㄏㄧㆩㆷ</v>
      </c>
      <c r="Y69" s="164" t="s">
        <v>889</v>
      </c>
      <c r="Z69" s="156" t="s">
        <v>339</v>
      </c>
      <c r="AA69" s="156" t="s">
        <v>888</v>
      </c>
    </row>
    <row r="70" spans="2:27">
      <c r="B70" s="168">
        <v>37</v>
      </c>
      <c r="C70" s="156" t="s">
        <v>946</v>
      </c>
      <c r="D70" s="156" t="s">
        <v>530</v>
      </c>
      <c r="E70" s="164" t="s">
        <v>533</v>
      </c>
      <c r="F70" s="156" t="s">
        <v>702</v>
      </c>
      <c r="G70" s="169" t="str">
        <f xml:space="preserve"> IF([6]十五音音節表!F66&lt;&gt;"", _xlfn.CONCAT(G$4,$E70), "")</f>
        <v/>
      </c>
      <c r="H70" s="169" t="str">
        <f xml:space="preserve"> IF([6]十五音音節表!G66&lt;&gt;"", _xlfn.CONCAT(H$4,$E70), "")</f>
        <v/>
      </c>
      <c r="I70" s="169" t="str">
        <f xml:space="preserve"> IF([6]十五音音節表!H66&lt;&gt;"", _xlfn.CONCAT(I$4,$E70), "")</f>
        <v>ㄅㄨㆩ</v>
      </c>
      <c r="J70" s="169" t="str">
        <f xml:space="preserve"> IF([6]十五音音節表!I66&lt;&gt;"", _xlfn.CONCAT(J$4,$E70), "")</f>
        <v>ㄍㄨㆩ</v>
      </c>
      <c r="K70" s="169" t="str">
        <f xml:space="preserve"> IF([6]十五音音節表!J66&lt;&gt;"", _xlfn.CONCAT(K$4,$E70), "")</f>
        <v>ㄎㄨㆩ</v>
      </c>
      <c r="L70" s="169" t="str">
        <f xml:space="preserve"> IF([6]十五音音節表!K66&lt;&gt;"", _xlfn.CONCAT(L$4,$E70), "")</f>
        <v>ㄉㄨㆩ</v>
      </c>
      <c r="M70" s="169" t="str">
        <f xml:space="preserve"> IF([6]十五音音節表!L66&lt;&gt;"", _xlfn.CONCAT(M$4,$E70), "")</f>
        <v>ㄆㄨㆩ</v>
      </c>
      <c r="N70" s="169" t="str">
        <f xml:space="preserve"> IF([6]十五音音節表!M66&lt;&gt;"", _xlfn.CONCAT(N$4,$E70), "")</f>
        <v>ㄊㄨㆩ</v>
      </c>
      <c r="O70" s="169" t="str">
        <f xml:space="preserve"> IF([6]十五音音節表!N66&lt;&gt;"", _xlfn.CONCAT(O$4,$E70), "")</f>
        <v/>
      </c>
      <c r="P70" s="169" t="str">
        <f xml:space="preserve"> IF([6]十五音音節表!O66&lt;&gt;"", _xlfn.CONCAT(P$4,$E70), "")</f>
        <v/>
      </c>
      <c r="Q70" s="169" t="str">
        <f xml:space="preserve"> IF([6]十五音音節表!P66&lt;&gt;"", _xlfn.CONCAT(Q$4,$E70), "")</f>
        <v>ㄙㄨㆩ</v>
      </c>
      <c r="R70" s="169" t="str">
        <f xml:space="preserve"> IF([6]十五音音節表!Q66&lt;&gt;"", _xlfn.CONCAT(R$4,$E70), "")</f>
        <v>ㄨㆩ</v>
      </c>
      <c r="S70" s="169" t="str">
        <f xml:space="preserve"> IF([6]十五音音節表!R66&lt;&gt;"", _xlfn.CONCAT(S$4,$E70), "")</f>
        <v/>
      </c>
      <c r="T70" s="169" t="str">
        <f xml:space="preserve"> IF([6]十五音音節表!S66&lt;&gt;"", _xlfn.CONCAT(T$4,$E70), "")</f>
        <v/>
      </c>
      <c r="U70" s="169" t="str">
        <f xml:space="preserve"> IF([6]十五音音節表!T66&lt;&gt;"", _xlfn.CONCAT(U$4,$E70), "")</f>
        <v/>
      </c>
      <c r="V70" s="169" t="str">
        <f xml:space="preserve"> IF([6]十五音音節表!U66&lt;&gt;"", _xlfn.CONCAT(V$4,$E70), "")</f>
        <v/>
      </c>
      <c r="W70" s="169" t="str">
        <f xml:space="preserve"> IF([6]十五音音節表!V66&lt;&gt;"", _xlfn.CONCAT(W$4,$E70), "")</f>
        <v>ㄘㄨㆩ</v>
      </c>
      <c r="X70" s="169" t="str">
        <f xml:space="preserve"> IF([6]十五音音節表!W66&lt;&gt;"", _xlfn.CONCAT(X$4,$E70), "")</f>
        <v>ㄏㄨㆩ</v>
      </c>
      <c r="Y70" s="164" t="s">
        <v>533</v>
      </c>
      <c r="Z70" s="156" t="s">
        <v>530</v>
      </c>
      <c r="AA70" s="156" t="s">
        <v>702</v>
      </c>
    </row>
    <row r="71" spans="2:27">
      <c r="B71" s="168">
        <v>38</v>
      </c>
      <c r="C71" s="156" t="s">
        <v>438</v>
      </c>
      <c r="D71" s="156" t="s">
        <v>18</v>
      </c>
      <c r="E71" s="164" t="s">
        <v>439</v>
      </c>
      <c r="F71" s="156" t="s">
        <v>681</v>
      </c>
      <c r="G71" s="169" t="str">
        <f xml:space="preserve"> IF([6]十五音音節表!F67&lt;&gt;"", _xlfn.CONCAT(G$4,$E71), "")</f>
        <v/>
      </c>
      <c r="H71" s="169" t="str">
        <f xml:space="preserve"> IF([6]十五音音節表!G67&lt;&gt;"", _xlfn.CONCAT(H$4,$E71), "")</f>
        <v>ㄋㆭ</v>
      </c>
      <c r="I71" s="169" t="str">
        <f xml:space="preserve"> IF([6]十五音音節表!H67&lt;&gt;"", _xlfn.CONCAT(I$4,$E71), "")</f>
        <v>ㄅㆭ</v>
      </c>
      <c r="J71" s="169" t="str">
        <f xml:space="preserve"> IF([6]十五音音節表!I67&lt;&gt;"", _xlfn.CONCAT(J$4,$E71), "")</f>
        <v>ㄍㆭ</v>
      </c>
      <c r="K71" s="169" t="str">
        <f xml:space="preserve"> IF([6]十五音音節表!J67&lt;&gt;"", _xlfn.CONCAT(K$4,$E71), "")</f>
        <v>ㄎㆭ</v>
      </c>
      <c r="L71" s="169" t="str">
        <f xml:space="preserve"> IF([6]十五音音節表!K67&lt;&gt;"", _xlfn.CONCAT(L$4,$E71), "")</f>
        <v>ㄉㆭ</v>
      </c>
      <c r="M71" s="169" t="str">
        <f xml:space="preserve"> IF([6]十五音音節表!L67&lt;&gt;"", _xlfn.CONCAT(M$4,$E71), "")</f>
        <v/>
      </c>
      <c r="N71" s="169" t="str">
        <f xml:space="preserve"> IF([6]十五音音節表!M67&lt;&gt;"", _xlfn.CONCAT(N$4,$E71), "")</f>
        <v>ㄊㆭ</v>
      </c>
      <c r="O71" s="169" t="str">
        <f xml:space="preserve"> IF([6]十五音音節表!N67&lt;&gt;"", _xlfn.CONCAT(O$4,$E71), "")</f>
        <v>ㄗㆭ</v>
      </c>
      <c r="P71" s="169" t="str">
        <f xml:space="preserve"> IF([6]十五音音節表!O67&lt;&gt;"", _xlfn.CONCAT(P$4,$E71), "")</f>
        <v/>
      </c>
      <c r="Q71" s="169" t="str">
        <f xml:space="preserve"> IF([6]十五音音節表!P67&lt;&gt;"", _xlfn.CONCAT(Q$4,$E71), "")</f>
        <v>ㄙㆭ</v>
      </c>
      <c r="R71" s="169" t="str">
        <f xml:space="preserve"> IF([6]十五音音節表!Q67&lt;&gt;"", _xlfn.CONCAT(R$4,$E71), "")</f>
        <v>ㆭ</v>
      </c>
      <c r="S71" s="169" t="str">
        <f xml:space="preserve"> IF([6]十五音音節表!R67&lt;&gt;"", _xlfn.CONCAT(S$4,$E71), "")</f>
        <v/>
      </c>
      <c r="T71" s="169" t="str">
        <f xml:space="preserve"> IF([6]十五音音節表!S67&lt;&gt;"", _xlfn.CONCAT(T$4,$E71), "")</f>
        <v>ㄇㆭ</v>
      </c>
      <c r="U71" s="169" t="str">
        <f xml:space="preserve"> IF([6]十五音音節表!T67&lt;&gt;"", _xlfn.CONCAT(U$4,$E71), "")</f>
        <v/>
      </c>
      <c r="V71" s="169" t="str">
        <f xml:space="preserve"> IF([6]十五音音節表!U67&lt;&gt;"", _xlfn.CONCAT(V$4,$E71), "")</f>
        <v/>
      </c>
      <c r="W71" s="169" t="str">
        <f xml:space="preserve"> IF([6]十五音音節表!V67&lt;&gt;"", _xlfn.CONCAT(W$4,$E71), "")</f>
        <v>ㄘㆭ</v>
      </c>
      <c r="X71" s="169" t="str">
        <f xml:space="preserve"> IF([6]十五音音節表!W67&lt;&gt;"", _xlfn.CONCAT(X$4,$E71), "")</f>
        <v>ㄏㆭ</v>
      </c>
      <c r="Y71" s="164" t="s">
        <v>439</v>
      </c>
      <c r="Z71" s="156" t="s">
        <v>18</v>
      </c>
      <c r="AA71" s="156" t="s">
        <v>681</v>
      </c>
    </row>
    <row r="72" spans="2:27" outlineLevel="1">
      <c r="B72" s="168">
        <v>38</v>
      </c>
      <c r="C72" s="156" t="s">
        <v>947</v>
      </c>
      <c r="D72" s="156" t="s">
        <v>441</v>
      </c>
      <c r="E72" s="164" t="s">
        <v>890</v>
      </c>
      <c r="F72" s="156" t="s">
        <v>682</v>
      </c>
      <c r="G72" s="169" t="str">
        <f xml:space="preserve"> IF([6]十五音音節表!F68&lt;&gt;"", _xlfn.CONCAT(G$4,$E72), "")</f>
        <v/>
      </c>
      <c r="H72" s="169" t="str">
        <f xml:space="preserve"> IF([6]十五音音節表!G68&lt;&gt;"", _xlfn.CONCAT(H$4,$E72), "")</f>
        <v/>
      </c>
      <c r="I72" s="169" t="str">
        <f xml:space="preserve"> IF([6]十五音音節表!H68&lt;&gt;"", _xlfn.CONCAT(I$4,$E72), "")</f>
        <v/>
      </c>
      <c r="J72" s="169" t="str">
        <f xml:space="preserve"> IF([6]十五音音節表!I68&lt;&gt;"", _xlfn.CONCAT(J$4,$E72), "")</f>
        <v/>
      </c>
      <c r="K72" s="169" t="str">
        <f xml:space="preserve"> IF([6]十五音音節表!J68&lt;&gt;"", _xlfn.CONCAT(K$4,$E72), "")</f>
        <v/>
      </c>
      <c r="L72" s="169" t="str">
        <f xml:space="preserve"> IF([6]十五音音節表!K68&lt;&gt;"", _xlfn.CONCAT(L$4,$E72), "")</f>
        <v/>
      </c>
      <c r="M72" s="169" t="str">
        <f xml:space="preserve"> IF([6]十五音音節表!L68&lt;&gt;"", _xlfn.CONCAT(M$4,$E72), "")</f>
        <v>ㄆㆭㆷ</v>
      </c>
      <c r="N72" s="169" t="str">
        <f xml:space="preserve"> IF([6]十五音音節表!M68&lt;&gt;"", _xlfn.CONCAT(N$4,$E72), "")</f>
        <v/>
      </c>
      <c r="O72" s="169" t="str">
        <f xml:space="preserve"> IF([6]十五音音節表!N68&lt;&gt;"", _xlfn.CONCAT(O$4,$E72), "")</f>
        <v/>
      </c>
      <c r="P72" s="169" t="str">
        <f xml:space="preserve"> IF([6]十五音音節表!O68&lt;&gt;"", _xlfn.CONCAT(P$4,$E72), "")</f>
        <v/>
      </c>
      <c r="Q72" s="169" t="str">
        <f xml:space="preserve"> IF([6]十五音音節表!P68&lt;&gt;"", _xlfn.CONCAT(Q$4,$E72), "")</f>
        <v>ㄙㆭㆷ</v>
      </c>
      <c r="R72" s="169" t="str">
        <f xml:space="preserve"> IF([6]十五音音節表!Q68&lt;&gt;"", _xlfn.CONCAT(R$4,$E72), "")</f>
        <v/>
      </c>
      <c r="S72" s="169" t="str">
        <f xml:space="preserve"> IF([6]十五音音節表!R68&lt;&gt;"", _xlfn.CONCAT(S$4,$E72), "")</f>
        <v/>
      </c>
      <c r="T72" s="169" t="str">
        <f xml:space="preserve"> IF([6]十五音音節表!S68&lt;&gt;"", _xlfn.CONCAT(T$4,$E72), "")</f>
        <v/>
      </c>
      <c r="U72" s="169" t="str">
        <f xml:space="preserve"> IF([6]十五音音節表!T68&lt;&gt;"", _xlfn.CONCAT(U$4,$E72), "")</f>
        <v/>
      </c>
      <c r="V72" s="169" t="str">
        <f xml:space="preserve"> IF([6]十五音音節表!U68&lt;&gt;"", _xlfn.CONCAT(V$4,$E72), "")</f>
        <v/>
      </c>
      <c r="W72" s="169" t="str">
        <f xml:space="preserve"> IF([6]十五音音節表!V68&lt;&gt;"", _xlfn.CONCAT(W$4,$E72), "")</f>
        <v>ㄘㆭㆷ</v>
      </c>
      <c r="X72" s="169" t="str">
        <f xml:space="preserve"> IF([6]十五音音節表!W68&lt;&gt;"", _xlfn.CONCAT(X$4,$E72), "")</f>
        <v>ㄏㆭㆷ</v>
      </c>
      <c r="Y72" s="164" t="s">
        <v>890</v>
      </c>
      <c r="Z72" s="156" t="s">
        <v>441</v>
      </c>
      <c r="AA72" s="156" t="s">
        <v>682</v>
      </c>
    </row>
    <row r="73" spans="2:27">
      <c r="B73" s="168">
        <v>39</v>
      </c>
      <c r="C73" s="156" t="s">
        <v>948</v>
      </c>
      <c r="D73" s="156" t="s">
        <v>297</v>
      </c>
      <c r="E73" s="164" t="s">
        <v>298</v>
      </c>
      <c r="F73" s="156" t="s">
        <v>647</v>
      </c>
      <c r="G73" s="169" t="str">
        <f xml:space="preserve"> IF([6]十五音音節表!F69&lt;&gt;"", _xlfn.CONCAT(G$4,$E73), "")</f>
        <v>ㄌㆤㆷ</v>
      </c>
      <c r="H73" s="169" t="str">
        <f xml:space="preserve"> IF([6]十五音音節表!G69&lt;&gt;"", _xlfn.CONCAT(H$4,$E73), "")</f>
        <v>ㄋㆤㆷ</v>
      </c>
      <c r="I73" s="169" t="str">
        <f xml:space="preserve"> IF([6]十五音音節表!H69&lt;&gt;"", _xlfn.CONCAT(I$4,$E73), "")</f>
        <v>ㄅㆤㆷ</v>
      </c>
      <c r="J73" s="169" t="str">
        <f xml:space="preserve"> IF([6]十五音音節表!I69&lt;&gt;"", _xlfn.CONCAT(J$4,$E73), "")</f>
        <v>ㄍㆤㆷ</v>
      </c>
      <c r="K73" s="169" t="str">
        <f xml:space="preserve"> IF([6]十五音音節表!J69&lt;&gt;"", _xlfn.CONCAT(K$4,$E73), "")</f>
        <v>ㄎㆤㆷ</v>
      </c>
      <c r="L73" s="169" t="str">
        <f xml:space="preserve"> IF([6]十五音音節表!K69&lt;&gt;"", _xlfn.CONCAT(L$4,$E73), "")</f>
        <v>ㄉㆤㆷ</v>
      </c>
      <c r="M73" s="169" t="str">
        <f xml:space="preserve"> IF([6]十五音音節表!L69&lt;&gt;"", _xlfn.CONCAT(M$4,$E73), "")</f>
        <v/>
      </c>
      <c r="N73" s="169" t="str">
        <f xml:space="preserve"> IF([6]十五音音節表!M69&lt;&gt;"", _xlfn.CONCAT(N$4,$E73), "")</f>
        <v>ㄊㆤㆷ</v>
      </c>
      <c r="O73" s="169" t="str">
        <f xml:space="preserve"> IF([6]十五音音節表!N69&lt;&gt;"", _xlfn.CONCAT(O$4,$E73), "")</f>
        <v>ㄗㆤㆷ</v>
      </c>
      <c r="P73" s="169" t="str">
        <f xml:space="preserve"> IF([6]十五音音節表!O69&lt;&gt;"", _xlfn.CONCAT(P$4,$E73), "")</f>
        <v/>
      </c>
      <c r="Q73" s="169" t="str">
        <f xml:space="preserve"> IF([6]十五音音節表!P69&lt;&gt;"", _xlfn.CONCAT(Q$4,$E73), "")</f>
        <v>ㄙㆤㆷ</v>
      </c>
      <c r="R73" s="169" t="str">
        <f xml:space="preserve"> IF([6]十五音音節表!Q69&lt;&gt;"", _xlfn.CONCAT(R$4,$E73), "")</f>
        <v>ㆤㆷ</v>
      </c>
      <c r="S73" s="169" t="str">
        <f xml:space="preserve"> IF([6]十五音音節表!R69&lt;&gt;"", _xlfn.CONCAT(S$4,$E73), "")</f>
        <v>ㆠㆤㆷ</v>
      </c>
      <c r="T73" s="169" t="str">
        <f xml:space="preserve"> IF([6]十五音音節表!S69&lt;&gt;"", _xlfn.CONCAT(T$4,$E73), "")</f>
        <v>ㄇㆤㆷ</v>
      </c>
      <c r="U73" s="169" t="str">
        <f xml:space="preserve"> IF([6]十五音音節表!T69&lt;&gt;"", _xlfn.CONCAT(U$4,$E73), "")</f>
        <v/>
      </c>
      <c r="V73" s="169" t="str">
        <f xml:space="preserve"> IF([6]十五音音節表!U69&lt;&gt;"", _xlfn.CONCAT(V$4,$E73), "")</f>
        <v>ㄫㆤㆷ</v>
      </c>
      <c r="W73" s="169" t="str">
        <f xml:space="preserve"> IF([6]十五音音節表!V69&lt;&gt;"", _xlfn.CONCAT(W$4,$E73), "")</f>
        <v>ㄘㆤㆷ</v>
      </c>
      <c r="X73" s="169" t="str">
        <f xml:space="preserve"> IF([6]十五音音節表!W69&lt;&gt;"", _xlfn.CONCAT(X$4,$E73), "")</f>
        <v>ㄏㆤㆷ</v>
      </c>
      <c r="Y73" s="164" t="s">
        <v>298</v>
      </c>
      <c r="Z73" s="156" t="s">
        <v>297</v>
      </c>
      <c r="AA73" s="156" t="s">
        <v>647</v>
      </c>
    </row>
    <row r="74" spans="2:27">
      <c r="B74" s="168">
        <v>40</v>
      </c>
      <c r="C74" s="156" t="s">
        <v>949</v>
      </c>
      <c r="D74" s="156" t="s">
        <v>240</v>
      </c>
      <c r="E74" s="164" t="s">
        <v>243</v>
      </c>
      <c r="F74" s="156" t="s">
        <v>633</v>
      </c>
      <c r="G74" s="169" t="str">
        <f xml:space="preserve"> IF([6]十五音音節表!F70&lt;&gt;"", _xlfn.CONCAT(G$4,$E74), "")</f>
        <v/>
      </c>
      <c r="H74" s="169" t="str">
        <f xml:space="preserve"> IF([6]十五音音節表!G70&lt;&gt;"", _xlfn.CONCAT(H$4,$E74), "")</f>
        <v/>
      </c>
      <c r="I74" s="169" t="str">
        <f xml:space="preserve"> IF([6]十五音音節表!H70&lt;&gt;"", _xlfn.CONCAT(I$4,$E74), "")</f>
        <v/>
      </c>
      <c r="J74" s="169" t="str">
        <f xml:space="preserve"> IF([6]十五音音節表!I70&lt;&gt;"", _xlfn.CONCAT(J$4,$E74), "")</f>
        <v>ㄍㆮ</v>
      </c>
      <c r="K74" s="169" t="str">
        <f xml:space="preserve"> IF([6]十五音音節表!J70&lt;&gt;"", _xlfn.CONCAT(K$4,$E74), "")</f>
        <v>ㄎㆮ</v>
      </c>
      <c r="L74" s="169" t="str">
        <f xml:space="preserve"> IF([6]十五音音節表!K70&lt;&gt;"", _xlfn.CONCAT(L$4,$E74), "")</f>
        <v>ㄉㆮ</v>
      </c>
      <c r="M74" s="169" t="str">
        <f xml:space="preserve"> IF([6]十五音音節表!L70&lt;&gt;"", _xlfn.CONCAT(M$4,$E74), "")</f>
        <v>ㄆㆮ</v>
      </c>
      <c r="N74" s="169" t="str">
        <f xml:space="preserve"> IF([6]十五音音節表!M70&lt;&gt;"", _xlfn.CONCAT(N$4,$E74), "")</f>
        <v/>
      </c>
      <c r="O74" s="169" t="str">
        <f xml:space="preserve"> IF([6]十五音音節表!N70&lt;&gt;"", _xlfn.CONCAT(O$4,$E74), "")</f>
        <v>ㄗㆮ</v>
      </c>
      <c r="P74" s="169" t="str">
        <f xml:space="preserve"> IF([6]十五音音節表!O70&lt;&gt;"", _xlfn.CONCAT(P$4,$E74), "")</f>
        <v/>
      </c>
      <c r="Q74" s="169" t="str">
        <f xml:space="preserve"> IF([6]十五音音節表!P70&lt;&gt;"", _xlfn.CONCAT(Q$4,$E74), "")</f>
        <v/>
      </c>
      <c r="R74" s="169" t="str">
        <f xml:space="preserve"> IF([6]十五音音節表!Q70&lt;&gt;"", _xlfn.CONCAT(R$4,$E74), "")</f>
        <v>ㆮ</v>
      </c>
      <c r="S74" s="169" t="str">
        <f xml:space="preserve"> IF([6]十五音音節表!R70&lt;&gt;"", _xlfn.CONCAT(S$4,$E74), "")</f>
        <v/>
      </c>
      <c r="T74" s="169" t="str">
        <f xml:space="preserve"> IF([6]十五音音節表!S70&lt;&gt;"", _xlfn.CONCAT(T$4,$E74), "")</f>
        <v/>
      </c>
      <c r="U74" s="169" t="str">
        <f xml:space="preserve"> IF([6]十五音音節表!T70&lt;&gt;"", _xlfn.CONCAT(U$4,$E74), "")</f>
        <v/>
      </c>
      <c r="V74" s="169" t="str">
        <f xml:space="preserve"> IF([6]十五音音節表!U70&lt;&gt;"", _xlfn.CONCAT(V$4,$E74), "")</f>
        <v/>
      </c>
      <c r="W74" s="169" t="str">
        <f xml:space="preserve"> IF([6]十五音音節表!V70&lt;&gt;"", _xlfn.CONCAT(W$4,$E74), "")</f>
        <v/>
      </c>
      <c r="X74" s="169" t="str">
        <f xml:space="preserve"> IF([6]十五音音節表!W70&lt;&gt;"", _xlfn.CONCAT(X$4,$E74), "")</f>
        <v>ㄏㆮ</v>
      </c>
      <c r="Y74" s="164" t="s">
        <v>243</v>
      </c>
      <c r="Z74" s="156" t="s">
        <v>240</v>
      </c>
      <c r="AA74" s="156" t="s">
        <v>633</v>
      </c>
    </row>
    <row r="75" spans="2:27">
      <c r="B75" s="168">
        <v>41</v>
      </c>
      <c r="C75" s="170" t="s">
        <v>950</v>
      </c>
      <c r="D75" s="156" t="s">
        <v>464</v>
      </c>
      <c r="E75" s="164" t="s">
        <v>468</v>
      </c>
      <c r="F75" s="156" t="s">
        <v>688</v>
      </c>
      <c r="G75" s="169" t="str">
        <f xml:space="preserve"> IF([6]十五音音節表!F71&lt;&gt;"", _xlfn.CONCAT(G$4,$E75), "")</f>
        <v/>
      </c>
      <c r="H75" s="169" t="str">
        <f xml:space="preserve"> IF([6]十五音音節表!G71&lt;&gt;"", _xlfn.CONCAT(H$4,$E75), "")</f>
        <v/>
      </c>
      <c r="I75" s="169" t="str">
        <f xml:space="preserve"> IF([6]十五音音節表!H71&lt;&gt;"", _xlfn.CONCAT(I$4,$E75), "")</f>
        <v/>
      </c>
      <c r="J75" s="169" t="str">
        <f xml:space="preserve"> IF([6]十五音音節表!I71&lt;&gt;"", _xlfn.CONCAT(J$4,$E75), "")</f>
        <v>ㄍㆧ</v>
      </c>
      <c r="K75" s="169" t="str">
        <f xml:space="preserve"> IF([6]十五音音節表!J71&lt;&gt;"", _xlfn.CONCAT(K$4,$E75), "")</f>
        <v/>
      </c>
      <c r="L75" s="169" t="str">
        <f xml:space="preserve"> IF([6]十五音音節表!K71&lt;&gt;"", _xlfn.CONCAT(L$4,$E75), "")</f>
        <v/>
      </c>
      <c r="M75" s="169" t="str">
        <f xml:space="preserve"> IF([6]十五音音節表!L71&lt;&gt;"", _xlfn.CONCAT(M$4,$E75), "")</f>
        <v/>
      </c>
      <c r="N75" s="169" t="str">
        <f xml:space="preserve"> IF([6]十五音音節表!M71&lt;&gt;"", _xlfn.CONCAT(N$4,$E75), "")</f>
        <v/>
      </c>
      <c r="O75" s="169" t="str">
        <f xml:space="preserve"> IF([6]十五音音節表!N71&lt;&gt;"", _xlfn.CONCAT(O$4,$E75), "")</f>
        <v/>
      </c>
      <c r="P75" s="169" t="str">
        <f xml:space="preserve"> IF([6]十五音音節表!O71&lt;&gt;"", _xlfn.CONCAT(P$4,$E75), "")</f>
        <v/>
      </c>
      <c r="Q75" s="169" t="str">
        <f xml:space="preserve"> IF([6]十五音音節表!P71&lt;&gt;"", _xlfn.CONCAT(Q$4,$E75), "")</f>
        <v/>
      </c>
      <c r="R75" s="169" t="str">
        <f xml:space="preserve"> IF([6]十五音音節表!Q71&lt;&gt;"", _xlfn.CONCAT(R$4,$E75), "")</f>
        <v>ㆧ</v>
      </c>
      <c r="S75" s="169" t="str">
        <f xml:space="preserve"> IF([6]十五音音節表!R71&lt;&gt;"", _xlfn.CONCAT(S$4,$E75), "")</f>
        <v/>
      </c>
      <c r="T75" s="169" t="str">
        <f xml:space="preserve"> IF([6]十五音音節表!S71&lt;&gt;"", _xlfn.CONCAT(T$4,$E75), "")</f>
        <v/>
      </c>
      <c r="U75" s="169" t="str">
        <f xml:space="preserve"> IF([6]十五音音節表!T71&lt;&gt;"", _xlfn.CONCAT(U$4,$E75), "")</f>
        <v/>
      </c>
      <c r="V75" s="169" t="str">
        <f xml:space="preserve"> IF([6]十五音音節表!U71&lt;&gt;"", _xlfn.CONCAT(V$4,$E75), "")</f>
        <v/>
      </c>
      <c r="W75" s="169" t="str">
        <f xml:space="preserve"> IF([6]十五音音節表!V71&lt;&gt;"", _xlfn.CONCAT(W$4,$E75), "")</f>
        <v/>
      </c>
      <c r="X75" s="169" t="str">
        <f xml:space="preserve"> IF([6]十五音音節表!W71&lt;&gt;"", _xlfn.CONCAT(X$4,$E75), "")</f>
        <v>ㄏㆧ</v>
      </c>
      <c r="Y75" s="164" t="s">
        <v>468</v>
      </c>
      <c r="Z75" s="156" t="s">
        <v>464</v>
      </c>
      <c r="AA75" s="156" t="s">
        <v>688</v>
      </c>
    </row>
    <row r="76" spans="2:27">
      <c r="B76" s="168">
        <v>42</v>
      </c>
      <c r="C76" s="156" t="s">
        <v>951</v>
      </c>
      <c r="D76" s="156" t="s">
        <v>14</v>
      </c>
      <c r="E76" s="164" t="s">
        <v>432</v>
      </c>
      <c r="F76" s="156" t="s">
        <v>679</v>
      </c>
      <c r="G76" s="169" t="str">
        <f xml:space="preserve"> IF([6]十五音音節表!F72&lt;&gt;"", _xlfn.CONCAT(G$4,$E76), "")</f>
        <v/>
      </c>
      <c r="H76" s="169" t="str">
        <f xml:space="preserve"> IF([6]十五音音節表!G72&lt;&gt;"", _xlfn.CONCAT(H$4,$E76), "")</f>
        <v/>
      </c>
      <c r="I76" s="169" t="str">
        <f xml:space="preserve"> IF([6]十五音音節表!H72&lt;&gt;"", _xlfn.CONCAT(I$4,$E76), "")</f>
        <v/>
      </c>
      <c r="J76" s="169" t="str">
        <f xml:space="preserve"> IF([6]十五音音節表!I72&lt;&gt;"", _xlfn.CONCAT(J$4,$E76), "")</f>
        <v/>
      </c>
      <c r="K76" s="169" t="str">
        <f xml:space="preserve"> IF([6]十五音音節表!J72&lt;&gt;"", _xlfn.CONCAT(K$4,$E76), "")</f>
        <v/>
      </c>
      <c r="L76" s="169" t="str">
        <f xml:space="preserve"> IF([6]十五音音節表!K72&lt;&gt;"", _xlfn.CONCAT(L$4,$E76), "")</f>
        <v/>
      </c>
      <c r="M76" s="169" t="str">
        <f xml:space="preserve"> IF([6]十五音音節表!L72&lt;&gt;"", _xlfn.CONCAT(M$4,$E76), "")</f>
        <v/>
      </c>
      <c r="N76" s="169" t="str">
        <f xml:space="preserve"> IF([6]十五音音節表!M72&lt;&gt;"", _xlfn.CONCAT(N$4,$E76), "")</f>
        <v/>
      </c>
      <c r="O76" s="169" t="str">
        <f xml:space="preserve"> IF([6]十五音音節表!N72&lt;&gt;"", _xlfn.CONCAT(O$4,$E76), "")</f>
        <v/>
      </c>
      <c r="P76" s="169" t="str">
        <f xml:space="preserve"> IF([6]十五音音節表!O72&lt;&gt;"", _xlfn.CONCAT(P$4,$E76), "")</f>
        <v/>
      </c>
      <c r="Q76" s="169" t="str">
        <f xml:space="preserve"> IF([6]十五音音節表!P72&lt;&gt;"", _xlfn.CONCAT(Q$4,$E76), "")</f>
        <v/>
      </c>
      <c r="R76" s="169" t="str">
        <f xml:space="preserve"> IF([6]十五音音節表!Q72&lt;&gt;"", _xlfn.CONCAT(R$4,$E76), "")</f>
        <v>ㆬ</v>
      </c>
      <c r="S76" s="169" t="str">
        <f xml:space="preserve"> IF([6]十五音音節表!R72&lt;&gt;"", _xlfn.CONCAT(S$4,$E76), "")</f>
        <v/>
      </c>
      <c r="T76" s="169" t="str">
        <f xml:space="preserve"> IF([6]十五音音節表!S72&lt;&gt;"", _xlfn.CONCAT(T$4,$E76), "")</f>
        <v/>
      </c>
      <c r="U76" s="169" t="str">
        <f xml:space="preserve"> IF([6]十五音音節表!T72&lt;&gt;"", _xlfn.CONCAT(U$4,$E76), "")</f>
        <v/>
      </c>
      <c r="V76" s="169" t="str">
        <f xml:space="preserve"> IF([6]十五音音節表!U72&lt;&gt;"", _xlfn.CONCAT(V$4,$E76), "")</f>
        <v/>
      </c>
      <c r="W76" s="169" t="str">
        <f xml:space="preserve"> IF([6]十五音音節表!V72&lt;&gt;"", _xlfn.CONCAT(W$4,$E76), "")</f>
        <v/>
      </c>
      <c r="X76" s="169" t="str">
        <f xml:space="preserve"> IF([6]十五音音節表!W72&lt;&gt;"", _xlfn.CONCAT(X$4,$E76), "")</f>
        <v>ㄏㆬ</v>
      </c>
      <c r="Y76" s="164" t="s">
        <v>432</v>
      </c>
      <c r="Z76" s="156" t="s">
        <v>14</v>
      </c>
      <c r="AA76" s="156" t="s">
        <v>679</v>
      </c>
    </row>
    <row r="77" spans="2:27" outlineLevel="1">
      <c r="B77" s="168">
        <v>42</v>
      </c>
      <c r="C77" s="156" t="s">
        <v>952</v>
      </c>
      <c r="D77" s="156" t="s">
        <v>435</v>
      </c>
      <c r="E77" s="164" t="s">
        <v>891</v>
      </c>
      <c r="F77" s="156" t="s">
        <v>680</v>
      </c>
      <c r="G77" s="169" t="str">
        <f xml:space="preserve"> IF([6]十五音音節表!F73&lt;&gt;"", _xlfn.CONCAT(G$4,$E77), "")</f>
        <v/>
      </c>
      <c r="H77" s="169" t="str">
        <f xml:space="preserve"> IF([6]十五音音節表!G73&lt;&gt;"", _xlfn.CONCAT(H$4,$E77), "")</f>
        <v/>
      </c>
      <c r="I77" s="169" t="str">
        <f xml:space="preserve"> IF([6]十五音音節表!H73&lt;&gt;"", _xlfn.CONCAT(I$4,$E77), "")</f>
        <v/>
      </c>
      <c r="J77" s="169" t="str">
        <f xml:space="preserve"> IF([6]十五音音節表!I73&lt;&gt;"", _xlfn.CONCAT(J$4,$E77), "")</f>
        <v/>
      </c>
      <c r="K77" s="169" t="str">
        <f xml:space="preserve"> IF([6]十五音音節表!J73&lt;&gt;"", _xlfn.CONCAT(K$4,$E77), "")</f>
        <v/>
      </c>
      <c r="L77" s="169" t="str">
        <f xml:space="preserve"> IF([6]十五音音節表!K73&lt;&gt;"", _xlfn.CONCAT(L$4,$E77), "")</f>
        <v/>
      </c>
      <c r="M77" s="169" t="str">
        <f xml:space="preserve"> IF([6]十五音音節表!L73&lt;&gt;"", _xlfn.CONCAT(M$4,$E77), "")</f>
        <v/>
      </c>
      <c r="N77" s="169" t="str">
        <f xml:space="preserve"> IF([6]十五音音節表!M73&lt;&gt;"", _xlfn.CONCAT(N$4,$E77), "")</f>
        <v/>
      </c>
      <c r="O77" s="169" t="str">
        <f xml:space="preserve"> IF([6]十五音音節表!N73&lt;&gt;"", _xlfn.CONCAT(O$4,$E77), "")</f>
        <v/>
      </c>
      <c r="P77" s="169" t="str">
        <f xml:space="preserve"> IF([6]十五音音節表!O73&lt;&gt;"", _xlfn.CONCAT(P$4,$E77), "")</f>
        <v/>
      </c>
      <c r="Q77" s="169" t="str">
        <f xml:space="preserve"> IF([6]十五音音節表!P73&lt;&gt;"", _xlfn.CONCAT(Q$4,$E77), "")</f>
        <v/>
      </c>
      <c r="R77" s="169" t="str">
        <f xml:space="preserve"> IF([6]十五音音節表!Q73&lt;&gt;"", _xlfn.CONCAT(R$4,$E77), "")</f>
        <v/>
      </c>
      <c r="S77" s="169" t="str">
        <f xml:space="preserve"> IF([6]十五音音節表!R73&lt;&gt;"", _xlfn.CONCAT(S$4,$E77), "")</f>
        <v/>
      </c>
      <c r="T77" s="169" t="str">
        <f xml:space="preserve"> IF([6]十五音音節表!S73&lt;&gt;"", _xlfn.CONCAT(T$4,$E77), "")</f>
        <v/>
      </c>
      <c r="U77" s="169" t="str">
        <f xml:space="preserve"> IF([6]十五音音節表!T73&lt;&gt;"", _xlfn.CONCAT(U$4,$E77), "")</f>
        <v/>
      </c>
      <c r="V77" s="169" t="str">
        <f xml:space="preserve"> IF([6]十五音音節表!U73&lt;&gt;"", _xlfn.CONCAT(V$4,$E77), "")</f>
        <v/>
      </c>
      <c r="W77" s="169" t="str">
        <f xml:space="preserve"> IF([6]十五音音節表!V73&lt;&gt;"", _xlfn.CONCAT(W$4,$E77), "")</f>
        <v/>
      </c>
      <c r="X77" s="169" t="str">
        <f xml:space="preserve"> IF([6]十五音音節表!W73&lt;&gt;"", _xlfn.CONCAT(X$4,$E77), "")</f>
        <v>ㄏㆬㆷ</v>
      </c>
      <c r="Y77" s="164" t="s">
        <v>891</v>
      </c>
      <c r="Z77" s="156" t="s">
        <v>435</v>
      </c>
      <c r="AA77" s="156" t="s">
        <v>680</v>
      </c>
    </row>
    <row r="78" spans="2:27">
      <c r="B78" s="168">
        <v>43</v>
      </c>
      <c r="C78" s="156" t="s">
        <v>953</v>
      </c>
      <c r="D78" s="156" t="s">
        <v>525</v>
      </c>
      <c r="E78" s="164" t="s">
        <v>527</v>
      </c>
      <c r="F78" s="156" t="s">
        <v>701</v>
      </c>
      <c r="G78" s="169" t="str">
        <f xml:space="preserve"> IF([6]十五音音節表!F74&lt;&gt;"", _xlfn.CONCAT(G$4,$E78), "")</f>
        <v/>
      </c>
      <c r="H78" s="169" t="str">
        <f xml:space="preserve"> IF([6]十五音音節表!G74&lt;&gt;"", _xlfn.CONCAT(H$4,$E78), "")</f>
        <v/>
      </c>
      <c r="I78" s="169" t="str">
        <f xml:space="preserve"> IF([6]十五音音節表!H74&lt;&gt;"", _xlfn.CONCAT(I$4,$E78), "")</f>
        <v/>
      </c>
      <c r="J78" s="169" t="str">
        <f xml:space="preserve"> IF([6]十五音音節表!I74&lt;&gt;"", _xlfn.CONCAT(J$4,$E78), "")</f>
        <v/>
      </c>
      <c r="K78" s="169" t="str">
        <f xml:space="preserve"> IF([6]十五音音節表!J74&lt;&gt;"", _xlfn.CONCAT(K$4,$E78), "")</f>
        <v/>
      </c>
      <c r="L78" s="169" t="str">
        <f xml:space="preserve"> IF([6]十五音音節表!K74&lt;&gt;"", _xlfn.CONCAT(L$4,$E78), "")</f>
        <v/>
      </c>
      <c r="M78" s="169" t="str">
        <f xml:space="preserve"> IF([6]十五音音節表!L74&lt;&gt;"", _xlfn.CONCAT(M$4,$E78), "")</f>
        <v/>
      </c>
      <c r="N78" s="169" t="str">
        <f xml:space="preserve"> IF([6]十五音音節表!M74&lt;&gt;"", _xlfn.CONCAT(N$4,$E78), "")</f>
        <v/>
      </c>
      <c r="O78" s="169" t="str">
        <f xml:space="preserve"> IF([6]十五音音節表!N74&lt;&gt;"", _xlfn.CONCAT(O$4,$E78), "")</f>
        <v/>
      </c>
      <c r="P78" s="169" t="str">
        <f xml:space="preserve"> IF([6]十五音音節表!O74&lt;&gt;"", _xlfn.CONCAT(P$4,$E78), "")</f>
        <v/>
      </c>
      <c r="Q78" s="169" t="str">
        <f xml:space="preserve"> IF([6]十五音音節表!P74&lt;&gt;"", _xlfn.CONCAT(Q$4,$E78), "")</f>
        <v/>
      </c>
      <c r="R78" s="169" t="str">
        <f xml:space="preserve"> IF([6]十五音音節表!Q74&lt;&gt;"", _xlfn.CONCAT(R$4,$E78), "")</f>
        <v>ㄨㄤ</v>
      </c>
      <c r="S78" s="169" t="str">
        <f xml:space="preserve"> IF([6]十五音音節表!R74&lt;&gt;"", _xlfn.CONCAT(S$4,$E78), "")</f>
        <v/>
      </c>
      <c r="T78" s="169" t="str">
        <f xml:space="preserve"> IF([6]十五音音節表!S74&lt;&gt;"", _xlfn.CONCAT(T$4,$E78), "")</f>
        <v/>
      </c>
      <c r="U78" s="169" t="str">
        <f xml:space="preserve"> IF([6]十五音音節表!T74&lt;&gt;"", _xlfn.CONCAT(U$4,$E78), "")</f>
        <v/>
      </c>
      <c r="V78" s="169" t="str">
        <f xml:space="preserve"> IF([6]十五音音節表!U74&lt;&gt;"", _xlfn.CONCAT(V$4,$E78), "")</f>
        <v/>
      </c>
      <c r="W78" s="169" t="str">
        <f xml:space="preserve"> IF([6]十五音音節表!V74&lt;&gt;"", _xlfn.CONCAT(W$4,$E78), "")</f>
        <v>ㄘㄨㄤ</v>
      </c>
      <c r="X78" s="169" t="str">
        <f xml:space="preserve"> IF([6]十五音音節表!W74&lt;&gt;"", _xlfn.CONCAT(X$4,$E78), "")</f>
        <v/>
      </c>
      <c r="Y78" s="164" t="s">
        <v>527</v>
      </c>
      <c r="Z78" s="156" t="s">
        <v>525</v>
      </c>
      <c r="AA78" s="156" t="s">
        <v>701</v>
      </c>
    </row>
    <row r="79" spans="2:27">
      <c r="B79" s="168">
        <v>44</v>
      </c>
      <c r="C79" s="156" t="s">
        <v>954</v>
      </c>
      <c r="D79" s="156" t="s">
        <v>506</v>
      </c>
      <c r="E79" s="164" t="s">
        <v>509</v>
      </c>
      <c r="F79" s="156" t="s">
        <v>697</v>
      </c>
      <c r="G79" s="169" t="str">
        <f xml:space="preserve"> IF([6]十五音音節表!F75&lt;&gt;"", _xlfn.CONCAT(G$4,$E79), "")</f>
        <v/>
      </c>
      <c r="H79" s="169" t="str">
        <f xml:space="preserve"> IF([6]十五音音節表!G75&lt;&gt;"", _xlfn.CONCAT(H$4,$E79), "")</f>
        <v/>
      </c>
      <c r="I79" s="169" t="str">
        <f xml:space="preserve"> IF([6]十五音音節表!H75&lt;&gt;"", _xlfn.CONCAT(I$4,$E79), "")</f>
        <v/>
      </c>
      <c r="J79" s="169" t="str">
        <f xml:space="preserve"> IF([6]十五音音節表!I75&lt;&gt;"", _xlfn.CONCAT(J$4,$E79), "")</f>
        <v>ㄍㄨㆮ</v>
      </c>
      <c r="K79" s="169" t="str">
        <f xml:space="preserve"> IF([6]十五音音節表!J75&lt;&gt;"", _xlfn.CONCAT(K$4,$E79), "")</f>
        <v/>
      </c>
      <c r="L79" s="169" t="str">
        <f xml:space="preserve"> IF([6]十五音音節表!K75&lt;&gt;"", _xlfn.CONCAT(L$4,$E79), "")</f>
        <v/>
      </c>
      <c r="M79" s="169" t="str">
        <f xml:space="preserve"> IF([6]十五音音節表!L75&lt;&gt;"", _xlfn.CONCAT(M$4,$E79), "")</f>
        <v/>
      </c>
      <c r="N79" s="169" t="str">
        <f xml:space="preserve"> IF([6]十五音音節表!M75&lt;&gt;"", _xlfn.CONCAT(N$4,$E79), "")</f>
        <v/>
      </c>
      <c r="O79" s="169" t="str">
        <f xml:space="preserve"> IF([6]十五音音節表!N75&lt;&gt;"", _xlfn.CONCAT(O$4,$E79), "")</f>
        <v>ㄗㄨㆮ</v>
      </c>
      <c r="P79" s="169" t="str">
        <f xml:space="preserve"> IF([6]十五音音節表!O75&lt;&gt;"", _xlfn.CONCAT(P$4,$E79), "")</f>
        <v/>
      </c>
      <c r="Q79" s="169" t="str">
        <f xml:space="preserve"> IF([6]十五音音節表!P75&lt;&gt;"", _xlfn.CONCAT(Q$4,$E79), "")</f>
        <v>ㄙㄨㆮ</v>
      </c>
      <c r="R79" s="169" t="str">
        <f xml:space="preserve"> IF([6]十五音音節表!Q75&lt;&gt;"", _xlfn.CONCAT(R$4,$E79), "")</f>
        <v>ㄨㆮ</v>
      </c>
      <c r="S79" s="169" t="str">
        <f xml:space="preserve"> IF([6]十五音音節表!R75&lt;&gt;"", _xlfn.CONCAT(S$4,$E79), "")</f>
        <v/>
      </c>
      <c r="T79" s="169" t="str">
        <f xml:space="preserve"> IF([6]十五音音節表!S75&lt;&gt;"", _xlfn.CONCAT(T$4,$E79), "")</f>
        <v/>
      </c>
      <c r="U79" s="169" t="str">
        <f xml:space="preserve"> IF([6]十五音音節表!T75&lt;&gt;"", _xlfn.CONCAT(U$4,$E79), "")</f>
        <v/>
      </c>
      <c r="V79" s="169" t="str">
        <f xml:space="preserve"> IF([6]十五音音節表!U75&lt;&gt;"", _xlfn.CONCAT(V$4,$E79), "")</f>
        <v/>
      </c>
      <c r="W79" s="169" t="str">
        <f xml:space="preserve"> IF([6]十五音音節表!V75&lt;&gt;"", _xlfn.CONCAT(W$4,$E79), "")</f>
        <v/>
      </c>
      <c r="X79" s="169" t="str">
        <f xml:space="preserve"> IF([6]十五音音節表!W75&lt;&gt;"", _xlfn.CONCAT(X$4,$E79), "")</f>
        <v>ㄏㄨㆮ</v>
      </c>
      <c r="Y79" s="164" t="s">
        <v>509</v>
      </c>
      <c r="Z79" s="156" t="s">
        <v>506</v>
      </c>
      <c r="AA79" s="156" t="s">
        <v>697</v>
      </c>
    </row>
    <row r="80" spans="2:27">
      <c r="B80" s="168">
        <v>46</v>
      </c>
      <c r="C80" s="156" t="s">
        <v>955</v>
      </c>
      <c r="D80" s="156" t="s">
        <v>357</v>
      </c>
      <c r="E80" s="164" t="s">
        <v>360</v>
      </c>
      <c r="F80" s="156" t="s">
        <v>664</v>
      </c>
      <c r="G80" s="169" t="str">
        <f xml:space="preserve"> IF([6]十五音音節表!F76&lt;&gt;"", _xlfn.CONCAT(G$4,$E80), "")</f>
        <v/>
      </c>
      <c r="H80" s="169" t="str">
        <f xml:space="preserve"> IF([6]十五音音節表!G76&lt;&gt;"", _xlfn.CONCAT(H$4,$E80), "")</f>
        <v/>
      </c>
      <c r="I80" s="169" t="str">
        <f xml:space="preserve"> IF([6]十五音音節表!H76&lt;&gt;"", _xlfn.CONCAT(I$4,$E80), "")</f>
        <v/>
      </c>
      <c r="J80" s="169" t="str">
        <f xml:space="preserve"> IF([6]十五音音節表!I76&lt;&gt;"", _xlfn.CONCAT(J$4,$E80), "")</f>
        <v/>
      </c>
      <c r="K80" s="169" t="str">
        <f xml:space="preserve"> IF([6]十五音音節表!J76&lt;&gt;"", _xlfn.CONCAT(K$4,$E80), "")</f>
        <v/>
      </c>
      <c r="L80" s="169" t="str">
        <f xml:space="preserve"> IF([6]十五音音節表!K76&lt;&gt;"", _xlfn.CONCAT(L$4,$E80), "")</f>
        <v/>
      </c>
      <c r="M80" s="169" t="str">
        <f xml:space="preserve"> IF([6]十五音音節表!L76&lt;&gt;"", _xlfn.CONCAT(M$4,$E80), "")</f>
        <v/>
      </c>
      <c r="N80" s="169" t="str">
        <f xml:space="preserve"> IF([6]十五音音節表!M76&lt;&gt;"", _xlfn.CONCAT(N$4,$E80), "")</f>
        <v/>
      </c>
      <c r="O80" s="169" t="str">
        <f xml:space="preserve"> IF([6]十五音音節表!N76&lt;&gt;"", _xlfn.CONCAT(O$4,$E80), "")</f>
        <v/>
      </c>
      <c r="P80" s="169" t="str">
        <f xml:space="preserve"> IF([6]十五音音節表!O76&lt;&gt;"", _xlfn.CONCAT(P$4,$E80), "")</f>
        <v/>
      </c>
      <c r="Q80" s="169" t="str">
        <f xml:space="preserve"> IF([6]十五音音節表!P76&lt;&gt;"", _xlfn.CONCAT(Q$4,$E80), "")</f>
        <v/>
      </c>
      <c r="R80" s="169" t="str">
        <f xml:space="preserve"> IF([6]十五音音節表!Q76&lt;&gt;"", _xlfn.CONCAT(R$4,$E80), "")</f>
        <v>ㄧㆯ</v>
      </c>
      <c r="S80" s="169" t="str">
        <f xml:space="preserve"> IF([6]十五音音節表!R76&lt;&gt;"", _xlfn.CONCAT(S$4,$E80), "")</f>
        <v/>
      </c>
      <c r="T80" s="169" t="str">
        <f xml:space="preserve"> IF([6]十五音音節表!S76&lt;&gt;"", _xlfn.CONCAT(T$4,$E80), "")</f>
        <v/>
      </c>
      <c r="U80" s="169" t="str">
        <f xml:space="preserve"> IF([6]十五音音節表!T76&lt;&gt;"", _xlfn.CONCAT(U$4,$E80), "")</f>
        <v/>
      </c>
      <c r="V80" s="169" t="str">
        <f xml:space="preserve"> IF([6]十五音音節表!U76&lt;&gt;"", _xlfn.CONCAT(V$4,$E80), "")</f>
        <v/>
      </c>
      <c r="W80" s="169" t="str">
        <f xml:space="preserve"> IF([6]十五音音節表!V76&lt;&gt;"", _xlfn.CONCAT(W$4,$E80), "")</f>
        <v/>
      </c>
      <c r="X80" s="169" t="str">
        <f xml:space="preserve"> IF([6]十五音音節表!W76&lt;&gt;"", _xlfn.CONCAT(X$4,$E80), "")</f>
        <v/>
      </c>
      <c r="Y80" s="164" t="s">
        <v>360</v>
      </c>
      <c r="Z80" s="156" t="s">
        <v>357</v>
      </c>
      <c r="AA80" s="156" t="s">
        <v>664</v>
      </c>
    </row>
    <row r="81" spans="1:27">
      <c r="B81" s="168">
        <v>47</v>
      </c>
      <c r="C81" s="156" t="s">
        <v>956</v>
      </c>
      <c r="D81" s="156" t="s">
        <v>457</v>
      </c>
      <c r="E81" s="164" t="s">
        <v>459</v>
      </c>
      <c r="F81" s="156" t="s">
        <v>686</v>
      </c>
      <c r="G81" s="169" t="str">
        <f xml:space="preserve"> IF([6]十五音音節表!F77&lt;&gt;"", _xlfn.CONCAT(G$4,$E81), "")</f>
        <v/>
      </c>
      <c r="H81" s="169" t="str">
        <f xml:space="preserve"> IF([6]十五音音節表!G77&lt;&gt;"", _xlfn.CONCAT(H$4,$E81), "")</f>
        <v/>
      </c>
      <c r="I81" s="169" t="str">
        <f xml:space="preserve"> IF([6]十五音音節表!H77&lt;&gt;"", _xlfn.CONCAT(I$4,$E81), "")</f>
        <v/>
      </c>
      <c r="J81" s="169" t="str">
        <f xml:space="preserve"> IF([6]十五音音節表!I77&lt;&gt;"", _xlfn.CONCAT(J$4,$E81), "")</f>
        <v/>
      </c>
      <c r="K81" s="169" t="str">
        <f xml:space="preserve"> IF([6]十五音音節表!J77&lt;&gt;"", _xlfn.CONCAT(K$4,$E81), "")</f>
        <v/>
      </c>
      <c r="L81" s="169" t="str">
        <f xml:space="preserve"> IF([6]十五音音節表!K77&lt;&gt;"", _xlfn.CONCAT(L$4,$E81), "")</f>
        <v>ㄉㆱ</v>
      </c>
      <c r="M81" s="169" t="str">
        <f xml:space="preserve"> IF([6]十五音音節表!L77&lt;&gt;"", _xlfn.CONCAT(M$4,$E81), "")</f>
        <v/>
      </c>
      <c r="N81" s="169" t="str">
        <f xml:space="preserve"> IF([6]十五音音節表!M77&lt;&gt;"", _xlfn.CONCAT(N$4,$E81), "")</f>
        <v/>
      </c>
      <c r="O81" s="169" t="str">
        <f xml:space="preserve"> IF([6]十五音音節表!N77&lt;&gt;"", _xlfn.CONCAT(O$4,$E81), "")</f>
        <v/>
      </c>
      <c r="P81" s="169" t="str">
        <f xml:space="preserve"> IF([6]十五音音節表!O77&lt;&gt;"", _xlfn.CONCAT(P$4,$E81), "")</f>
        <v/>
      </c>
      <c r="Q81" s="169" t="str">
        <f xml:space="preserve"> IF([6]十五音音節表!P77&lt;&gt;"", _xlfn.CONCAT(Q$4,$E81), "")</f>
        <v>ㄙㆱ</v>
      </c>
      <c r="R81" s="169" t="str">
        <f xml:space="preserve"> IF([6]十五音音節表!Q77&lt;&gt;"", _xlfn.CONCAT(R$4,$E81), "")</f>
        <v>ㆱ</v>
      </c>
      <c r="S81" s="169" t="str">
        <f xml:space="preserve"> IF([6]十五音音節表!R77&lt;&gt;"", _xlfn.CONCAT(S$4,$E81), "")</f>
        <v/>
      </c>
      <c r="T81" s="169" t="str">
        <f xml:space="preserve"> IF([6]十五音音節表!S77&lt;&gt;"", _xlfn.CONCAT(T$4,$E81), "")</f>
        <v/>
      </c>
      <c r="U81" s="169" t="str">
        <f xml:space="preserve"> IF([6]十五音音節表!T77&lt;&gt;"", _xlfn.CONCAT(U$4,$E81), "")</f>
        <v/>
      </c>
      <c r="V81" s="169" t="str">
        <f xml:space="preserve"> IF([6]十五音音節表!U77&lt;&gt;"", _xlfn.CONCAT(V$4,$E81), "")</f>
        <v/>
      </c>
      <c r="W81" s="169" t="str">
        <f xml:space="preserve"> IF([6]十五音音節表!V77&lt;&gt;"", _xlfn.CONCAT(W$4,$E81), "")</f>
        <v/>
      </c>
      <c r="X81" s="169" t="str">
        <f xml:space="preserve"> IF([6]十五音音節表!W77&lt;&gt;"", _xlfn.CONCAT(X$4,$E81), "")</f>
        <v/>
      </c>
      <c r="Y81" s="164" t="s">
        <v>459</v>
      </c>
      <c r="Z81" s="156" t="s">
        <v>457</v>
      </c>
      <c r="AA81" s="156" t="s">
        <v>686</v>
      </c>
    </row>
    <row r="82" spans="1:27">
      <c r="B82" s="168">
        <v>49</v>
      </c>
      <c r="C82" s="170" t="s">
        <v>957</v>
      </c>
      <c r="D82" s="156" t="s">
        <v>464</v>
      </c>
      <c r="E82" s="164" t="s">
        <v>894</v>
      </c>
      <c r="F82" s="171" t="s">
        <v>958</v>
      </c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4"/>
      <c r="Z82" s="156"/>
      <c r="AA82" s="156"/>
    </row>
    <row r="83" spans="1:27" outlineLevel="1">
      <c r="B83" s="168">
        <v>49</v>
      </c>
      <c r="C83" s="170" t="s">
        <v>959</v>
      </c>
      <c r="D83" s="156" t="s">
        <v>470</v>
      </c>
      <c r="E83" s="164" t="s">
        <v>474</v>
      </c>
      <c r="F83" s="156" t="s">
        <v>689</v>
      </c>
      <c r="G83" s="169" t="str">
        <f xml:space="preserve"> IF([6]十五音音節表!F78&lt;&gt;"", _xlfn.CONCAT(G$4,$E83), "")</f>
        <v/>
      </c>
      <c r="H83" s="169" t="str">
        <f xml:space="preserve"> IF([6]十五音音節表!G78&lt;&gt;"", _xlfn.CONCAT(H$4,$E83), "")</f>
        <v/>
      </c>
      <c r="I83" s="169" t="str">
        <f xml:space="preserve"> IF([6]十五音音節表!H78&lt;&gt;"", _xlfn.CONCAT(I$4,$E83), "")</f>
        <v/>
      </c>
      <c r="J83" s="169" t="str">
        <f xml:space="preserve"> IF([6]十五音音節表!I78&lt;&gt;"", _xlfn.CONCAT(J$4,$E83), "")</f>
        <v/>
      </c>
      <c r="K83" s="169" t="str">
        <f xml:space="preserve"> IF([6]十五音音節表!J78&lt;&gt;"", _xlfn.CONCAT(K$4,$E83), "")</f>
        <v/>
      </c>
      <c r="L83" s="169" t="str">
        <f xml:space="preserve"> IF([6]十五音音節表!K78&lt;&gt;"", _xlfn.CONCAT(L$4,$E83), "")</f>
        <v/>
      </c>
      <c r="M83" s="169" t="str">
        <f xml:space="preserve"> IF([6]十五音音節表!L78&lt;&gt;"", _xlfn.CONCAT(M$4,$E83), "")</f>
        <v/>
      </c>
      <c r="N83" s="169" t="str">
        <f xml:space="preserve"> IF([6]十五音音節表!M78&lt;&gt;"", _xlfn.CONCAT(N$4,$E83), "")</f>
        <v/>
      </c>
      <c r="O83" s="169" t="str">
        <f xml:space="preserve"> IF([6]十五音音節表!N78&lt;&gt;"", _xlfn.CONCAT(O$4,$E83), "")</f>
        <v/>
      </c>
      <c r="P83" s="169" t="str">
        <f xml:space="preserve"> IF([6]十五音音節表!O78&lt;&gt;"", _xlfn.CONCAT(P$4,$E83), "")</f>
        <v/>
      </c>
      <c r="Q83" s="169" t="str">
        <f xml:space="preserve"> IF([6]十五音音節表!P78&lt;&gt;"", _xlfn.CONCAT(Q$4,$E83), "")</f>
        <v/>
      </c>
      <c r="R83" s="169" t="str">
        <f xml:space="preserve"> IF([6]十五音音節表!Q78&lt;&gt;"", _xlfn.CONCAT(R$4,$E83), "")</f>
        <v>ㆧㆷ</v>
      </c>
      <c r="S83" s="169" t="str">
        <f xml:space="preserve"> IF([6]十五音音節表!R78&lt;&gt;"", _xlfn.CONCAT(S$4,$E83), "")</f>
        <v/>
      </c>
      <c r="T83" s="169" t="str">
        <f xml:space="preserve"> IF([6]十五音音節表!S78&lt;&gt;"", _xlfn.CONCAT(T$4,$E83), "")</f>
        <v/>
      </c>
      <c r="U83" s="169" t="str">
        <f xml:space="preserve"> IF([6]十五音音節表!T78&lt;&gt;"", _xlfn.CONCAT(U$4,$E83), "")</f>
        <v/>
      </c>
      <c r="V83" s="169" t="str">
        <f xml:space="preserve"> IF([6]十五音音節表!U78&lt;&gt;"", _xlfn.CONCAT(V$4,$E83), "")</f>
        <v/>
      </c>
      <c r="W83" s="169" t="str">
        <f xml:space="preserve"> IF([6]十五音音節表!V78&lt;&gt;"", _xlfn.CONCAT(W$4,$E83), "")</f>
        <v/>
      </c>
      <c r="X83" s="169" t="str">
        <f xml:space="preserve"> IF([6]十五音音節表!W78&lt;&gt;"", _xlfn.CONCAT(X$4,$E83), "")</f>
        <v>ㄏㆧㆷ</v>
      </c>
      <c r="Y83" s="164" t="s">
        <v>474</v>
      </c>
      <c r="Z83" s="156" t="s">
        <v>470</v>
      </c>
      <c r="AA83" s="156" t="s">
        <v>689</v>
      </c>
    </row>
    <row r="84" spans="1:27">
      <c r="B84" s="168">
        <v>50</v>
      </c>
      <c r="C84" s="156" t="s">
        <v>960</v>
      </c>
      <c r="D84" s="156" t="s">
        <v>422</v>
      </c>
      <c r="E84" s="164" t="s">
        <v>425</v>
      </c>
      <c r="F84" s="156" t="s">
        <v>677</v>
      </c>
      <c r="G84" s="169" t="str">
        <f xml:space="preserve"> IF([6]十五音音節表!F79&lt;&gt;"", _xlfn.CONCAT(G$4,$E84), "")</f>
        <v/>
      </c>
      <c r="H84" s="169" t="str">
        <f xml:space="preserve"> IF([6]十五音音節表!G79&lt;&gt;"", _xlfn.CONCAT(H$4,$E84), "")</f>
        <v/>
      </c>
      <c r="I84" s="169" t="str">
        <f xml:space="preserve"> IF([6]十五音音節表!H79&lt;&gt;"", _xlfn.CONCAT(I$4,$E84), "")</f>
        <v/>
      </c>
      <c r="J84" s="169" t="str">
        <f xml:space="preserve"> IF([6]十五音音節表!I79&lt;&gt;"", _xlfn.CONCAT(J$4,$E84), "")</f>
        <v>ㄍㄧㆫ</v>
      </c>
      <c r="K84" s="169" t="str">
        <f xml:space="preserve"> IF([6]十五音音節表!J79&lt;&gt;"", _xlfn.CONCAT(K$4,$E84), "")</f>
        <v>ㄎㄧㆫ</v>
      </c>
      <c r="L84" s="169" t="str">
        <f xml:space="preserve"> IF([6]十五音音節表!K79&lt;&gt;"", _xlfn.CONCAT(L$4,$E84), "")</f>
        <v>ㄉㄧㆫ</v>
      </c>
      <c r="M84" s="169" t="str">
        <f xml:space="preserve"> IF([6]十五音音節表!L79&lt;&gt;"", _xlfn.CONCAT(M$4,$E84), "")</f>
        <v/>
      </c>
      <c r="N84" s="169" t="str">
        <f xml:space="preserve"> IF([6]十五音音節表!M79&lt;&gt;"", _xlfn.CONCAT(N$4,$E84), "")</f>
        <v/>
      </c>
      <c r="O84" s="169" t="str">
        <f xml:space="preserve"> IF([6]十五音音節表!N79&lt;&gt;"", _xlfn.CONCAT(O$4,$E84), "")</f>
        <v>ㄗㄧㆫ</v>
      </c>
      <c r="P84" s="169" t="str">
        <f xml:space="preserve"> IF([6]十五音音節表!O79&lt;&gt;"", _xlfn.CONCAT(P$4,$E84), "")</f>
        <v/>
      </c>
      <c r="Q84" s="169" t="str">
        <f xml:space="preserve"> IF([6]十五音音節表!P79&lt;&gt;"", _xlfn.CONCAT(Q$4,$E84), "")</f>
        <v>ㄙㄧㆫ</v>
      </c>
      <c r="R84" s="169" t="str">
        <f xml:space="preserve"> IF([6]十五音音節表!Q79&lt;&gt;"", _xlfn.CONCAT(R$4,$E84), "")</f>
        <v>ㄧㆫ</v>
      </c>
      <c r="S84" s="169" t="str">
        <f xml:space="preserve"> IF([6]十五音音節表!R79&lt;&gt;"", _xlfn.CONCAT(S$4,$E84), "")</f>
        <v/>
      </c>
      <c r="T84" s="169" t="str">
        <f xml:space="preserve"> IF([6]十五音音節表!S79&lt;&gt;"", _xlfn.CONCAT(T$4,$E84), "")</f>
        <v/>
      </c>
      <c r="U84" s="169" t="str">
        <f xml:space="preserve"> IF([6]十五音音節表!T79&lt;&gt;"", _xlfn.CONCAT(U$4,$E84), "")</f>
        <v/>
      </c>
      <c r="V84" s="169" t="str">
        <f xml:space="preserve"> IF([6]十五音音節表!U79&lt;&gt;"", _xlfn.CONCAT(V$4,$E84), "")</f>
        <v/>
      </c>
      <c r="W84" s="169" t="str">
        <f xml:space="preserve"> IF([6]十五音音節表!V79&lt;&gt;"", _xlfn.CONCAT(W$4,$E84), "")</f>
        <v>ㄘㄧㆫ</v>
      </c>
      <c r="X84" s="169" t="str">
        <f xml:space="preserve"> IF([6]十五音音節表!W79&lt;&gt;"", _xlfn.CONCAT(X$4,$E84), "")</f>
        <v>ㄏㄧㆫ</v>
      </c>
      <c r="Y84" s="164" t="s">
        <v>425</v>
      </c>
      <c r="Z84" s="156" t="s">
        <v>422</v>
      </c>
      <c r="AA84" s="156" t="s">
        <v>677</v>
      </c>
    </row>
    <row r="85" spans="1:27" outlineLevel="1">
      <c r="B85" s="168">
        <v>50</v>
      </c>
      <c r="C85" s="156" t="s">
        <v>961</v>
      </c>
      <c r="D85" s="156" t="s">
        <v>427</v>
      </c>
      <c r="E85" s="164" t="s">
        <v>892</v>
      </c>
      <c r="F85" s="156" t="s">
        <v>678</v>
      </c>
      <c r="G85" s="169" t="str">
        <f xml:space="preserve"> IF([6]十五音音節表!F80&lt;&gt;"", _xlfn.CONCAT(G$4,$E85), "")</f>
        <v/>
      </c>
      <c r="H85" s="169" t="str">
        <f xml:space="preserve"> IF([6]十五音音節表!G80&lt;&gt;"", _xlfn.CONCAT(H$4,$E85), "")</f>
        <v/>
      </c>
      <c r="I85" s="169" t="str">
        <f xml:space="preserve"> IF([6]十五音音節表!H80&lt;&gt;"", _xlfn.CONCAT(I$4,$E85), "")</f>
        <v/>
      </c>
      <c r="J85" s="169" t="str">
        <f xml:space="preserve"> IF([6]十五音音節表!I80&lt;&gt;"", _xlfn.CONCAT(J$4,$E85), "")</f>
        <v/>
      </c>
      <c r="K85" s="169" t="str">
        <f xml:space="preserve"> IF([6]十五音音節表!J80&lt;&gt;"", _xlfn.CONCAT(K$4,$E85), "")</f>
        <v/>
      </c>
      <c r="L85" s="169" t="str">
        <f xml:space="preserve"> IF([6]十五音音節表!K80&lt;&gt;"", _xlfn.CONCAT(L$4,$E85), "")</f>
        <v/>
      </c>
      <c r="M85" s="169" t="str">
        <f xml:space="preserve"> IF([6]十五音音節表!L80&lt;&gt;"", _xlfn.CONCAT(M$4,$E85), "")</f>
        <v/>
      </c>
      <c r="N85" s="169" t="str">
        <f xml:space="preserve"> IF([6]十五音音節表!M80&lt;&gt;"", _xlfn.CONCAT(N$4,$E85), "")</f>
        <v/>
      </c>
      <c r="O85" s="169" t="str">
        <f xml:space="preserve"> IF([6]十五音音節表!N80&lt;&gt;"", _xlfn.CONCAT(O$4,$E85), "")</f>
        <v/>
      </c>
      <c r="P85" s="169" t="str">
        <f xml:space="preserve"> IF([6]十五音音節表!O80&lt;&gt;"", _xlfn.CONCAT(P$4,$E85), "")</f>
        <v/>
      </c>
      <c r="Q85" s="169" t="str">
        <f xml:space="preserve"> IF([6]十五音音節表!P80&lt;&gt;"", _xlfn.CONCAT(Q$4,$E85), "")</f>
        <v/>
      </c>
      <c r="R85" s="169" t="str">
        <f xml:space="preserve"> IF([6]十五音音節表!Q80&lt;&gt;"", _xlfn.CONCAT(R$4,$E85), "")</f>
        <v>ㄧㆫㆷ</v>
      </c>
      <c r="S85" s="169" t="str">
        <f xml:space="preserve"> IF([6]十五音音節表!R80&lt;&gt;"", _xlfn.CONCAT(S$4,$E85), "")</f>
        <v/>
      </c>
      <c r="T85" s="169" t="str">
        <f xml:space="preserve"> IF([6]十五音音節表!S80&lt;&gt;"", _xlfn.CONCAT(T$4,$E85), "")</f>
        <v/>
      </c>
      <c r="U85" s="169" t="str">
        <f xml:space="preserve"> IF([6]十五音音節表!T80&lt;&gt;"", _xlfn.CONCAT(U$4,$E85), "")</f>
        <v/>
      </c>
      <c r="V85" s="169" t="str">
        <f xml:space="preserve"> IF([6]十五音音節表!U80&lt;&gt;"", _xlfn.CONCAT(V$4,$E85), "")</f>
        <v/>
      </c>
      <c r="W85" s="169" t="str">
        <f xml:space="preserve"> IF([6]十五音音節表!V80&lt;&gt;"", _xlfn.CONCAT(W$4,$E85), "")</f>
        <v/>
      </c>
      <c r="X85" s="169" t="str">
        <f xml:space="preserve"> IF([6]十五音音節表!W80&lt;&gt;"", _xlfn.CONCAT(X$4,$E85), "")</f>
        <v>ㄏㄧㆫㆷ</v>
      </c>
      <c r="Y85" s="164" t="s">
        <v>892</v>
      </c>
      <c r="Z85" s="156" t="s">
        <v>427</v>
      </c>
      <c r="AA85" s="156" t="s">
        <v>678</v>
      </c>
    </row>
    <row r="86" spans="1:27" ht="7.5" customHeight="1">
      <c r="B86" s="156"/>
      <c r="C86" s="156"/>
      <c r="D86" s="156"/>
      <c r="E86" s="156"/>
      <c r="F86" s="156"/>
      <c r="Y86" s="156"/>
      <c r="Z86" s="156"/>
      <c r="AA86" s="156"/>
    </row>
    <row r="87" spans="1:27">
      <c r="A87" s="159"/>
      <c r="B87" s="160"/>
      <c r="C87" s="160"/>
      <c r="D87" s="160"/>
      <c r="E87" s="160"/>
      <c r="F87" s="160"/>
      <c r="G87" s="161" t="s">
        <v>60</v>
      </c>
      <c r="H87" s="161" t="s">
        <v>22</v>
      </c>
      <c r="I87" s="161" t="s">
        <v>19</v>
      </c>
      <c r="J87" s="161" t="s">
        <v>45</v>
      </c>
      <c r="K87" s="161" t="s">
        <v>59</v>
      </c>
      <c r="L87" s="161" t="s">
        <v>43</v>
      </c>
      <c r="M87" s="161" t="s">
        <v>50</v>
      </c>
      <c r="N87" s="161" t="s">
        <v>58</v>
      </c>
      <c r="O87" s="161" t="s">
        <v>73</v>
      </c>
      <c r="P87" s="161" t="s">
        <v>75</v>
      </c>
      <c r="Q87" s="161" t="s">
        <v>94</v>
      </c>
      <c r="R87" s="161"/>
      <c r="S87" s="161" t="s">
        <v>41</v>
      </c>
      <c r="T87" s="161" t="s">
        <v>20</v>
      </c>
      <c r="U87" s="161" t="s">
        <v>47</v>
      </c>
      <c r="V87" s="161" t="s">
        <v>24</v>
      </c>
      <c r="W87" s="161" t="s">
        <v>84</v>
      </c>
      <c r="X87" s="161" t="s">
        <v>86</v>
      </c>
      <c r="Y87" s="156"/>
      <c r="Z87" s="160"/>
      <c r="AA87" s="156"/>
    </row>
    <row r="88" spans="1:27">
      <c r="B88" s="156"/>
      <c r="C88" s="173"/>
      <c r="D88" s="173"/>
      <c r="E88" s="173"/>
      <c r="F88" s="173"/>
      <c r="G88" s="166" t="s">
        <v>96</v>
      </c>
      <c r="H88" s="167" t="s">
        <v>16</v>
      </c>
      <c r="I88" s="166" t="s">
        <v>29</v>
      </c>
      <c r="J88" s="166" t="s">
        <v>118</v>
      </c>
      <c r="K88" s="166" t="s">
        <v>135</v>
      </c>
      <c r="L88" s="166" t="s">
        <v>122</v>
      </c>
      <c r="M88" s="166" t="s">
        <v>39</v>
      </c>
      <c r="N88" s="166" t="s">
        <v>125</v>
      </c>
      <c r="O88" s="166" t="s">
        <v>143</v>
      </c>
      <c r="P88" s="166" t="s">
        <v>67</v>
      </c>
      <c r="Q88" s="166" t="s">
        <v>137</v>
      </c>
      <c r="R88" s="166" t="s">
        <v>163</v>
      </c>
      <c r="S88" s="166" t="s">
        <v>30</v>
      </c>
      <c r="T88" s="167" t="s">
        <v>14</v>
      </c>
      <c r="U88" s="166" t="s">
        <v>35</v>
      </c>
      <c r="V88" s="167" t="s">
        <v>18</v>
      </c>
      <c r="W88" s="166" t="s">
        <v>149</v>
      </c>
      <c r="X88" s="166" t="s">
        <v>162</v>
      </c>
      <c r="Y88" s="173"/>
      <c r="Z88" s="173"/>
      <c r="AA88" s="173"/>
    </row>
    <row r="89" spans="1:27">
      <c r="B89" s="156"/>
      <c r="C89" s="173"/>
      <c r="D89" s="173"/>
      <c r="E89" s="173"/>
      <c r="F89" s="173"/>
      <c r="G89" s="166" t="s">
        <v>15</v>
      </c>
      <c r="H89" s="167" t="s">
        <v>15</v>
      </c>
      <c r="I89" s="166" t="s">
        <v>28</v>
      </c>
      <c r="J89" s="166" t="s">
        <v>33</v>
      </c>
      <c r="K89" s="166" t="s">
        <v>54</v>
      </c>
      <c r="L89" s="166" t="s">
        <v>31</v>
      </c>
      <c r="M89" s="166" t="s">
        <v>38</v>
      </c>
      <c r="N89" s="166" t="s">
        <v>52</v>
      </c>
      <c r="O89" s="166" t="s">
        <v>62</v>
      </c>
      <c r="P89" s="166" t="s">
        <v>64</v>
      </c>
      <c r="Q89" s="166" t="s">
        <v>89</v>
      </c>
      <c r="R89" s="166" t="s">
        <v>36</v>
      </c>
      <c r="S89" s="166" t="s">
        <v>13</v>
      </c>
      <c r="T89" s="167" t="s">
        <v>13</v>
      </c>
      <c r="U89" s="166" t="s">
        <v>17</v>
      </c>
      <c r="V89" s="167" t="s">
        <v>17</v>
      </c>
      <c r="W89" s="166" t="s">
        <v>77</v>
      </c>
      <c r="X89" s="166" t="s">
        <v>80</v>
      </c>
      <c r="Y89" s="173"/>
      <c r="Z89" s="173"/>
      <c r="AA89" s="173"/>
    </row>
  </sheetData>
  <autoFilter ref="B6:AA85" xr:uid="{1668C3BC-CB36-424E-93B2-C730D7C0984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宋人三十六字母表</vt:lpstr>
      <vt:lpstr>聲母</vt:lpstr>
      <vt:lpstr>韻母</vt:lpstr>
      <vt:lpstr>朱兆祥方音符號聲母表</vt:lpstr>
      <vt:lpstr>【聲】聲母排序表</vt:lpstr>
      <vt:lpstr>【聲】聲母對照表</vt:lpstr>
      <vt:lpstr>【韻】韻母對照表</vt:lpstr>
      <vt:lpstr>【調】韻母標調</vt:lpstr>
      <vt:lpstr>符號工具</vt:lpstr>
      <vt:lpstr>十五音音節表 (BPM)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2026-09-16T05:48:30Z</dcterms:created>
  <dcterms:modified xsi:type="dcterms:W3CDTF">2026-09-16T15:31:42Z</dcterms:modified>
</cp:coreProperties>
</file>