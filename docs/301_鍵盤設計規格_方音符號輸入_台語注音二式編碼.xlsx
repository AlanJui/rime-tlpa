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920D432F-6BEA-4F1E-89C5-D2B1E39234F4}" xr6:coauthVersionLast="47" xr6:coauthVersionMax="47" xr10:uidLastSave="{00000000-0000-0000-0000-000000000000}"/>
  <bookViews>
    <workbookView xWindow="-120" yWindow="-120" windowWidth="38640" windowHeight="15720" xr2:uid="{6D6F034E-466E-416C-B3CC-1F7937B8DE3D}"/>
  </bookViews>
  <sheets>
    <sheet name="台語注音二式【xlit驗證】" sheetId="9" r:id="rId1"/>
    <sheet name="台語注音二式【xlit解析】" sheetId="7" r:id="rId2"/>
    <sheet name="台語注音二式【RIME設置】 " sheetId="8" r:id="rId3"/>
    <sheet name=" 台語音標【xlit解析】" sheetId="1" r:id="rId4"/>
    <sheet name="方音符號【RIME設置】" sheetId="2" r:id="rId5"/>
    <sheet name="韻母列表" sheetId="4" r:id="rId6"/>
    <sheet name="韻母列表 (陽聲韻轉換)" sheetId="5" r:id="rId7"/>
    <sheet name="韻母列表 (3)" sheetId="6" r:id="rId8"/>
    <sheet name="聲調符號" sheetId="3" r:id="rId9"/>
  </sheets>
  <definedNames>
    <definedName name="_xlnm._FilterDatabase" localSheetId="4" hidden="1">方音符號【RIME設置】!$BR$4:$BT$59</definedName>
    <definedName name="_xlnm._FilterDatabase" localSheetId="2" hidden="1">'台語注音二式【RIME設置】 '!$BR$4:$BT$59</definedName>
    <definedName name="_xlnm.Criteria" localSheetId="4">方音符號【RIME設置】!$CQ$1:$CQ$2</definedName>
    <definedName name="_xlnm.Criteria" localSheetId="2">'台語注音二式【RIME設置】 '!$CQ$1:$CQ$2</definedName>
    <definedName name="_xlnm.Extract" localSheetId="4">方音符號【RIME設置】!$CR$4:$CV$4</definedName>
    <definedName name="_xlnm.Extract" localSheetId="2">'台語注音二式【RIME設置】 '!$CR$4:$CV$4</definedName>
    <definedName name="十五音韻母">#REF!</definedName>
    <definedName name="十五音韻母對照表">#REF!</definedName>
    <definedName name="方音符號" localSheetId="4">#REF!</definedName>
    <definedName name="方音符號" localSheetId="2">#REF!</definedName>
    <definedName name="方音符號">#REF!</definedName>
    <definedName name="台羅韻母八音反切">#REF!</definedName>
    <definedName name="白話字韻母八音反切">#REF!</definedName>
    <definedName name="字典編碼" localSheetId="4">#REF!</definedName>
    <definedName name="字典編碼" localSheetId="2">#REF!</definedName>
    <definedName name="字典編碼">#REF!</definedName>
    <definedName name="注音符號">#REF!</definedName>
    <definedName name="注音編碼">#REF!</definedName>
    <definedName name="拼音字母" localSheetId="4">#REF!</definedName>
    <definedName name="拼音字母" localSheetId="2">#REF!</definedName>
    <definedName name="拼音字母">#REF!</definedName>
    <definedName name="閩拼韻母八音反切">#REF!</definedName>
    <definedName name="聲母碼">#REF!</definedName>
    <definedName name="聲母碼表">#REF!</definedName>
    <definedName name="鍵盤位置" localSheetId="4">#REF!</definedName>
    <definedName name="鍵盤位置" localSheetId="2">#REF!</definedName>
    <definedName name="鍵盤位置">#REF!</definedName>
    <definedName name="鍵盤按鍵">#REF!</definedName>
    <definedName name="韻母對照表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0" i="9" l="1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C39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C33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C26" i="9"/>
  <c r="BM3" i="9" a="1"/>
  <c r="BM3" i="9" s="1"/>
  <c r="E42" i="8"/>
  <c r="E41" i="8"/>
  <c r="B36" i="8"/>
  <c r="B35" i="2"/>
  <c r="B34" i="2"/>
  <c r="B35" i="8"/>
  <c r="B34" i="8"/>
  <c r="B29" i="1"/>
  <c r="B14" i="1"/>
  <c r="C11" i="1"/>
  <c r="C10" i="1"/>
  <c r="C9" i="1"/>
  <c r="AZ3" i="1"/>
  <c r="B94" i="8"/>
  <c r="B93" i="8"/>
  <c r="B95" i="8" s="1"/>
  <c r="B89" i="8"/>
  <c r="B88" i="8"/>
  <c r="B90" i="8" s="1"/>
  <c r="B84" i="8"/>
  <c r="B83" i="8"/>
  <c r="B85" i="8" s="1"/>
  <c r="A81" i="8"/>
  <c r="B80" i="8"/>
  <c r="A80" i="8"/>
  <c r="B79" i="8"/>
  <c r="B78" i="8"/>
  <c r="A75" i="8"/>
  <c r="A74" i="8"/>
  <c r="CY64" i="8"/>
  <c r="CP64" i="8"/>
  <c r="CG64" i="8"/>
  <c r="BX64" i="8"/>
  <c r="BT64" i="8"/>
  <c r="BN64" i="8"/>
  <c r="CY63" i="8"/>
  <c r="CP63" i="8"/>
  <c r="CG63" i="8"/>
  <c r="BX63" i="8"/>
  <c r="BN63" i="8"/>
  <c r="CY62" i="8"/>
  <c r="CP62" i="8"/>
  <c r="CG62" i="8"/>
  <c r="BX62" i="8"/>
  <c r="BN62" i="8"/>
  <c r="CY61" i="8"/>
  <c r="CP61" i="8"/>
  <c r="CG61" i="8"/>
  <c r="BX61" i="8"/>
  <c r="BN61" i="8"/>
  <c r="CY60" i="8"/>
  <c r="CP60" i="8"/>
  <c r="CG60" i="8"/>
  <c r="BX60" i="8"/>
  <c r="BN60" i="8"/>
  <c r="CY59" i="8"/>
  <c r="CP59" i="8"/>
  <c r="CG59" i="8"/>
  <c r="BX59" i="8"/>
  <c r="BN59" i="8"/>
  <c r="CY58" i="8"/>
  <c r="CP58" i="8"/>
  <c r="CG58" i="8"/>
  <c r="BX58" i="8"/>
  <c r="BN58" i="8"/>
  <c r="CY57" i="8"/>
  <c r="CP57" i="8"/>
  <c r="CG57" i="8"/>
  <c r="BX57" i="8"/>
  <c r="BN57" i="8"/>
  <c r="CY56" i="8"/>
  <c r="CX56" i="8"/>
  <c r="CP56" i="8"/>
  <c r="CG56" i="8"/>
  <c r="BX56" i="8"/>
  <c r="BN56" i="8"/>
  <c r="CY55" i="8"/>
  <c r="CX55" i="8"/>
  <c r="CP55" i="8"/>
  <c r="CG55" i="8"/>
  <c r="BX55" i="8"/>
  <c r="BN55" i="8"/>
  <c r="CY54" i="8"/>
  <c r="CX54" i="8"/>
  <c r="CP54" i="8"/>
  <c r="CG54" i="8"/>
  <c r="BX54" i="8"/>
  <c r="BN54" i="8"/>
  <c r="CY53" i="8"/>
  <c r="CX53" i="8"/>
  <c r="CP53" i="8"/>
  <c r="CG53" i="8"/>
  <c r="BX53" i="8"/>
  <c r="BN53" i="8"/>
  <c r="CY52" i="8"/>
  <c r="CX52" i="8"/>
  <c r="CP52" i="8"/>
  <c r="CG52" i="8"/>
  <c r="BX52" i="8"/>
  <c r="BN52" i="8"/>
  <c r="CY51" i="8"/>
  <c r="CX51" i="8"/>
  <c r="CP51" i="8"/>
  <c r="CG51" i="8"/>
  <c r="BX51" i="8"/>
  <c r="BN51" i="8"/>
  <c r="CY50" i="8"/>
  <c r="CX50" i="8"/>
  <c r="CP50" i="8"/>
  <c r="CG50" i="8"/>
  <c r="BX50" i="8"/>
  <c r="BN50" i="8"/>
  <c r="CY49" i="8"/>
  <c r="CX49" i="8"/>
  <c r="CP49" i="8"/>
  <c r="CG49" i="8"/>
  <c r="BX49" i="8"/>
  <c r="BN49" i="8"/>
  <c r="CY48" i="8"/>
  <c r="CX48" i="8"/>
  <c r="CP48" i="8"/>
  <c r="CG48" i="8"/>
  <c r="BX48" i="8"/>
  <c r="BN48" i="8"/>
  <c r="CY47" i="8"/>
  <c r="CX47" i="8"/>
  <c r="CP47" i="8"/>
  <c r="CG47" i="8"/>
  <c r="BX47" i="8"/>
  <c r="BN47" i="8"/>
  <c r="CY46" i="8"/>
  <c r="CX46" i="8"/>
  <c r="CP46" i="8"/>
  <c r="CG46" i="8"/>
  <c r="BX46" i="8"/>
  <c r="BN46" i="8"/>
  <c r="CY45" i="8"/>
  <c r="CX45" i="8"/>
  <c r="CP45" i="8"/>
  <c r="CG45" i="8"/>
  <c r="BX45" i="8"/>
  <c r="BN45" i="8"/>
  <c r="CY44" i="8"/>
  <c r="CX44" i="8"/>
  <c r="CP44" i="8"/>
  <c r="CG44" i="8"/>
  <c r="BX44" i="8"/>
  <c r="BN44" i="8"/>
  <c r="CY43" i="8"/>
  <c r="CX43" i="8"/>
  <c r="CP43" i="8"/>
  <c r="CG43" i="8"/>
  <c r="BX43" i="8"/>
  <c r="BN43" i="8"/>
  <c r="CY42" i="8"/>
  <c r="CX42" i="8"/>
  <c r="CP42" i="8"/>
  <c r="CG42" i="8"/>
  <c r="BX42" i="8"/>
  <c r="BN42" i="8"/>
  <c r="CY41" i="8"/>
  <c r="CX41" i="8"/>
  <c r="CP41" i="8"/>
  <c r="CG41" i="8"/>
  <c r="BX41" i="8"/>
  <c r="BN41" i="8"/>
  <c r="CY40" i="8"/>
  <c r="CX40" i="8"/>
  <c r="CP40" i="8"/>
  <c r="CG40" i="8"/>
  <c r="BX40" i="8"/>
  <c r="BN40" i="8"/>
  <c r="CY39" i="8"/>
  <c r="CX39" i="8"/>
  <c r="CP39" i="8"/>
  <c r="CG39" i="8"/>
  <c r="BX39" i="8"/>
  <c r="BN39" i="8"/>
  <c r="CY38" i="8"/>
  <c r="CX38" i="8"/>
  <c r="CP38" i="8"/>
  <c r="CG38" i="8"/>
  <c r="BX38" i="8"/>
  <c r="BN38" i="8"/>
  <c r="CY37" i="8"/>
  <c r="CX37" i="8"/>
  <c r="CP37" i="8"/>
  <c r="CG37" i="8"/>
  <c r="BX37" i="8"/>
  <c r="BN37" i="8"/>
  <c r="CY36" i="8"/>
  <c r="CX36" i="8"/>
  <c r="CP36" i="8"/>
  <c r="CG36" i="8"/>
  <c r="BX36" i="8"/>
  <c r="BN36" i="8"/>
  <c r="CY35" i="8"/>
  <c r="CX35" i="8"/>
  <c r="CP35" i="8"/>
  <c r="CG35" i="8"/>
  <c r="BX35" i="8"/>
  <c r="BN35" i="8"/>
  <c r="CY34" i="8"/>
  <c r="CX34" i="8"/>
  <c r="CP34" i="8"/>
  <c r="CG34" i="8"/>
  <c r="BX34" i="8"/>
  <c r="BN34" i="8"/>
  <c r="CY33" i="8"/>
  <c r="CX33" i="8"/>
  <c r="CP33" i="8"/>
  <c r="CG33" i="8"/>
  <c r="BX33" i="8"/>
  <c r="BN33" i="8"/>
  <c r="CY32" i="8"/>
  <c r="CP32" i="8"/>
  <c r="CG32" i="8"/>
  <c r="BX32" i="8"/>
  <c r="BN32" i="8"/>
  <c r="CY31" i="8"/>
  <c r="CX31" i="8"/>
  <c r="CP31" i="8"/>
  <c r="CG31" i="8"/>
  <c r="BX31" i="8"/>
  <c r="BN31" i="8"/>
  <c r="CY30" i="8"/>
  <c r="CX30" i="8"/>
  <c r="CP30" i="8"/>
  <c r="CG30" i="8"/>
  <c r="BX30" i="8"/>
  <c r="BN30" i="8"/>
  <c r="CY29" i="8"/>
  <c r="CX29" i="8"/>
  <c r="CP29" i="8"/>
  <c r="CG29" i="8"/>
  <c r="BX29" i="8"/>
  <c r="BN29" i="8"/>
  <c r="CY28" i="8"/>
  <c r="CX28" i="8"/>
  <c r="CP28" i="8"/>
  <c r="CG28" i="8"/>
  <c r="BX28" i="8"/>
  <c r="BN28" i="8"/>
  <c r="CY27" i="8"/>
  <c r="CX27" i="8"/>
  <c r="CP27" i="8"/>
  <c r="CO27" i="8"/>
  <c r="CG27" i="8"/>
  <c r="CF27" i="8"/>
  <c r="BX27" i="8"/>
  <c r="BN27" i="8"/>
  <c r="CY26" i="8"/>
  <c r="CX26" i="8"/>
  <c r="CP26" i="8"/>
  <c r="CO26" i="8"/>
  <c r="CG26" i="8"/>
  <c r="CF26" i="8"/>
  <c r="BX26" i="8"/>
  <c r="BN26" i="8"/>
  <c r="CY25" i="8"/>
  <c r="CP25" i="8"/>
  <c r="CO25" i="8"/>
  <c r="CG25" i="8"/>
  <c r="CF25" i="8"/>
  <c r="BX25" i="8"/>
  <c r="BN25" i="8"/>
  <c r="CY24" i="8"/>
  <c r="CP24" i="8"/>
  <c r="CO24" i="8"/>
  <c r="CG24" i="8"/>
  <c r="CF24" i="8"/>
  <c r="BX24" i="8"/>
  <c r="BN24" i="8"/>
  <c r="CY23" i="8"/>
  <c r="CP23" i="8"/>
  <c r="CO23" i="8"/>
  <c r="CG23" i="8"/>
  <c r="CF23" i="8"/>
  <c r="BX23" i="8"/>
  <c r="BN23" i="8"/>
  <c r="CY22" i="8"/>
  <c r="CP22" i="8"/>
  <c r="CO22" i="8"/>
  <c r="CG22" i="8"/>
  <c r="CF22" i="8"/>
  <c r="BX22" i="8"/>
  <c r="BN22" i="8"/>
  <c r="CY21" i="8"/>
  <c r="CP21" i="8"/>
  <c r="CO21" i="8"/>
  <c r="CG21" i="8"/>
  <c r="CF21" i="8"/>
  <c r="BX21" i="8"/>
  <c r="BN21" i="8"/>
  <c r="CY20" i="8"/>
  <c r="CP20" i="8"/>
  <c r="CO20" i="8"/>
  <c r="CG20" i="8"/>
  <c r="CF20" i="8"/>
  <c r="BX20" i="8"/>
  <c r="BN20" i="8"/>
  <c r="CY19" i="8"/>
  <c r="CP19" i="8"/>
  <c r="CG19" i="8"/>
  <c r="CF19" i="8"/>
  <c r="BX19" i="8"/>
  <c r="BN19" i="8"/>
  <c r="CY18" i="8"/>
  <c r="CP18" i="8"/>
  <c r="CG18" i="8"/>
  <c r="CF18" i="8"/>
  <c r="BX18" i="8"/>
  <c r="BN18" i="8"/>
  <c r="BE41" i="8"/>
  <c r="CY17" i="8"/>
  <c r="CP17" i="8"/>
  <c r="CG17" i="8"/>
  <c r="CF17" i="8"/>
  <c r="BX17" i="8"/>
  <c r="BN17" i="8"/>
  <c r="CY16" i="8"/>
  <c r="CP16" i="8"/>
  <c r="CG16" i="8"/>
  <c r="CF16" i="8"/>
  <c r="BX16" i="8"/>
  <c r="BN16" i="8"/>
  <c r="BK16" i="8" a="1"/>
  <c r="BK16" i="8" s="1"/>
  <c r="BJ16" i="8" a="1"/>
  <c r="BJ16" i="8" s="1"/>
  <c r="BI16" i="8" a="1"/>
  <c r="BI16" i="8" s="1"/>
  <c r="BH16" i="8" a="1"/>
  <c r="BH16" i="8" s="1"/>
  <c r="BG16" i="8" a="1"/>
  <c r="BG16" i="8" s="1"/>
  <c r="BF16" i="8" a="1"/>
  <c r="BF16" i="8" s="1"/>
  <c r="BE16" i="8" a="1"/>
  <c r="BE16" i="8" s="1"/>
  <c r="BD16" i="8" a="1"/>
  <c r="BD16" i="8" s="1"/>
  <c r="BC16" i="8" a="1"/>
  <c r="BC16" i="8" s="1"/>
  <c r="BB16" i="8" a="1"/>
  <c r="BB16" i="8" s="1"/>
  <c r="BA16" i="8" a="1"/>
  <c r="BA16" i="8" s="1"/>
  <c r="AZ16" i="8" a="1"/>
  <c r="AZ16" i="8" s="1"/>
  <c r="AY16" i="8" a="1"/>
  <c r="AY16" i="8" s="1"/>
  <c r="AX16" i="8" a="1"/>
  <c r="AX16" i="8" s="1"/>
  <c r="AW16" i="8" a="1"/>
  <c r="AW16" i="8" s="1"/>
  <c r="AV16" i="8" a="1"/>
  <c r="AV16" i="8" s="1"/>
  <c r="AU16" i="8" a="1"/>
  <c r="AU16" i="8" s="1"/>
  <c r="AT16" i="8" a="1"/>
  <c r="AT16" i="8" s="1"/>
  <c r="AS16" i="8" a="1"/>
  <c r="AS16" i="8" s="1"/>
  <c r="AR16" i="8" a="1"/>
  <c r="AR16" i="8" s="1"/>
  <c r="AQ16" i="8" a="1"/>
  <c r="AQ16" i="8" s="1"/>
  <c r="AP16" i="8" a="1"/>
  <c r="AP16" i="8" s="1"/>
  <c r="AO16" i="8" a="1"/>
  <c r="AO16" i="8" s="1"/>
  <c r="AN16" i="8" a="1"/>
  <c r="AN16" i="8" s="1"/>
  <c r="AM16" i="8" a="1"/>
  <c r="AM16" i="8" s="1"/>
  <c r="AL16" i="8" a="1"/>
  <c r="AL16" i="8" s="1"/>
  <c r="AK16" i="8" a="1"/>
  <c r="AK16" i="8" s="1"/>
  <c r="AJ16" i="8" a="1"/>
  <c r="AJ16" i="8" s="1"/>
  <c r="AI16" i="8" a="1"/>
  <c r="AI16" i="8" s="1"/>
  <c r="AH16" i="8" a="1"/>
  <c r="AH16" i="8" s="1"/>
  <c r="AG16" i="8" a="1"/>
  <c r="AG16" i="8" s="1"/>
  <c r="AF16" i="8" a="1"/>
  <c r="AF16" i="8" s="1"/>
  <c r="AE16" i="8" a="1"/>
  <c r="AE16" i="8" s="1"/>
  <c r="AD16" i="8" a="1"/>
  <c r="AD16" i="8" s="1"/>
  <c r="AC16" i="8" a="1"/>
  <c r="AC16" i="8" s="1"/>
  <c r="AB16" i="8" a="1"/>
  <c r="AB16" i="8" s="1"/>
  <c r="AA16" i="8" a="1"/>
  <c r="AA16" i="8" s="1"/>
  <c r="Z16" i="8" a="1"/>
  <c r="Z16" i="8" s="1"/>
  <c r="Y16" i="8" a="1"/>
  <c r="Y16" i="8" s="1"/>
  <c r="X16" i="8" a="1"/>
  <c r="X16" i="8" s="1"/>
  <c r="W16" i="8" a="1"/>
  <c r="W16" i="8" s="1"/>
  <c r="V16" i="8" a="1"/>
  <c r="V16" i="8" s="1"/>
  <c r="U16" i="8" a="1"/>
  <c r="U16" i="8" s="1"/>
  <c r="T16" i="8" a="1"/>
  <c r="T16" i="8" s="1"/>
  <c r="S16" i="8" a="1"/>
  <c r="S16" i="8" s="1"/>
  <c r="R16" i="8" a="1"/>
  <c r="R16" i="8" s="1"/>
  <c r="Q16" i="8" a="1"/>
  <c r="Q16" i="8" s="1"/>
  <c r="P16" i="8" a="1"/>
  <c r="P16" i="8" s="1"/>
  <c r="O16" i="8" a="1"/>
  <c r="O16" i="8" s="1"/>
  <c r="N16" i="8" a="1"/>
  <c r="N16" i="8" s="1"/>
  <c r="M16" i="8" a="1"/>
  <c r="M16" i="8" s="1"/>
  <c r="L16" i="8" a="1"/>
  <c r="L16" i="8" s="1"/>
  <c r="K16" i="8" a="1"/>
  <c r="K16" i="8" s="1"/>
  <c r="J16" i="8" a="1"/>
  <c r="J16" i="8" s="1"/>
  <c r="I16" i="8" a="1"/>
  <c r="I16" i="8" s="1"/>
  <c r="H16" i="8" a="1"/>
  <c r="H16" i="8" s="1"/>
  <c r="G16" i="8" a="1"/>
  <c r="G16" i="8" s="1"/>
  <c r="F16" i="8" a="1"/>
  <c r="F16" i="8" s="1"/>
  <c r="E16" i="8" a="1"/>
  <c r="E16" i="8" s="1"/>
  <c r="D16" i="8" a="1"/>
  <c r="D16" i="8" s="1"/>
  <c r="CY15" i="8"/>
  <c r="CP15" i="8"/>
  <c r="CG15" i="8"/>
  <c r="CF15" i="8"/>
  <c r="BX15" i="8"/>
  <c r="BN15" i="8"/>
  <c r="CY14" i="8"/>
  <c r="CP14" i="8"/>
  <c r="CG14" i="8"/>
  <c r="CF14" i="8"/>
  <c r="BX14" i="8"/>
  <c r="BN14" i="8"/>
  <c r="CY13" i="8"/>
  <c r="CP13" i="8"/>
  <c r="CG13" i="8"/>
  <c r="CF13" i="8"/>
  <c r="BX13" i="8"/>
  <c r="BN13" i="8"/>
  <c r="CY12" i="8"/>
  <c r="CP12" i="8"/>
  <c r="CG12" i="8"/>
  <c r="CF12" i="8"/>
  <c r="BX12" i="8"/>
  <c r="BN12" i="8"/>
  <c r="CY11" i="8"/>
  <c r="CP11" i="8"/>
  <c r="CG11" i="8"/>
  <c r="CF11" i="8"/>
  <c r="BX11" i="8"/>
  <c r="BN11" i="8"/>
  <c r="CY10" i="8"/>
  <c r="CP10" i="8"/>
  <c r="CG10" i="8"/>
  <c r="CF10" i="8"/>
  <c r="BX10" i="8"/>
  <c r="BN10" i="8"/>
  <c r="CY9" i="8"/>
  <c r="CP9" i="8"/>
  <c r="CG9" i="8"/>
  <c r="CF9" i="8"/>
  <c r="BX9" i="8"/>
  <c r="BN9" i="8"/>
  <c r="CY8" i="8"/>
  <c r="CP8" i="8"/>
  <c r="CG8" i="8"/>
  <c r="CF8" i="8"/>
  <c r="BX8" i="8"/>
  <c r="BN8" i="8"/>
  <c r="CY7" i="8"/>
  <c r="CP7" i="8"/>
  <c r="CG7" i="8"/>
  <c r="CF7" i="8"/>
  <c r="BX7" i="8"/>
  <c r="BN7" i="8"/>
  <c r="CY6" i="8"/>
  <c r="CP6" i="8"/>
  <c r="CG6" i="8"/>
  <c r="CF6" i="8"/>
  <c r="BX6" i="8"/>
  <c r="BN6" i="8"/>
  <c r="CY5" i="8"/>
  <c r="CP5" i="8"/>
  <c r="CG5" i="8"/>
  <c r="CF5" i="8"/>
  <c r="BY5" i="8" a="1"/>
  <c r="BY5" i="8" s="1"/>
  <c r="BX5" i="8"/>
  <c r="BN5" i="8"/>
  <c r="C24" i="7"/>
  <c r="C9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25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C3" i="7"/>
  <c r="BM2" i="7" a="1"/>
  <c r="R5" i="5"/>
  <c r="T5" i="5" s="1"/>
  <c r="S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S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 s="1"/>
  <c r="R17" i="5"/>
  <c r="S17" i="5"/>
  <c r="T17" i="5"/>
  <c r="R18" i="5"/>
  <c r="S18" i="5"/>
  <c r="T18" i="5"/>
  <c r="R19" i="5"/>
  <c r="S19" i="5"/>
  <c r="T19" i="5"/>
  <c r="R20" i="5"/>
  <c r="S20" i="5"/>
  <c r="T20" i="5" s="1"/>
  <c r="T4" i="5"/>
  <c r="S4" i="5"/>
  <c r="R4" i="5"/>
  <c r="S3" i="5"/>
  <c r="O8" i="5"/>
  <c r="O4" i="5"/>
  <c r="O5" i="5"/>
  <c r="O9" i="5"/>
  <c r="O6" i="5"/>
  <c r="O13" i="5"/>
  <c r="O14" i="5"/>
  <c r="O10" i="5"/>
  <c r="O11" i="5"/>
  <c r="O15" i="5"/>
  <c r="O12" i="5"/>
  <c r="O18" i="5"/>
  <c r="O19" i="5"/>
  <c r="O16" i="5"/>
  <c r="O20" i="5"/>
  <c r="O17" i="5"/>
  <c r="O7" i="5"/>
  <c r="Q23" i="6"/>
  <c r="Q22" i="6"/>
  <c r="Q19" i="6"/>
  <c r="Q18" i="6"/>
  <c r="P18" i="6"/>
  <c r="R18" i="6" s="1"/>
  <c r="Q17" i="6"/>
  <c r="Q16" i="6"/>
  <c r="Q15" i="6"/>
  <c r="Q14" i="6"/>
  <c r="P14" i="6"/>
  <c r="R14" i="6" s="1"/>
  <c r="Q13" i="6"/>
  <c r="Q12" i="6"/>
  <c r="Q11" i="6"/>
  <c r="Q10" i="6"/>
  <c r="P10" i="6"/>
  <c r="R10" i="6" s="1"/>
  <c r="Q9" i="6"/>
  <c r="Q8" i="6"/>
  <c r="Q7" i="6"/>
  <c r="Q6" i="6"/>
  <c r="P6" i="6"/>
  <c r="R6" i="6" s="1"/>
  <c r="Q5" i="6"/>
  <c r="Q4" i="6"/>
  <c r="Q3" i="6"/>
  <c r="P2" i="6"/>
  <c r="P7" i="6" s="1"/>
  <c r="R7" i="6" s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3" i="4"/>
  <c r="Q4" i="4"/>
  <c r="R19" i="4"/>
  <c r="U105" i="8" a="1"/>
  <c r="BF105" i="8" a="1"/>
  <c r="BI104" i="8" a="1"/>
  <c r="Z105" i="8" a="1"/>
  <c r="O105" i="8" a="1"/>
  <c r="N105" i="8" a="1"/>
  <c r="C105" i="8" a="1"/>
  <c r="BA104" i="8" a="1"/>
  <c r="T104" i="8" a="1"/>
  <c r="AC105" i="8" a="1"/>
  <c r="BG104" i="8" a="1"/>
  <c r="Y69" i="8" a="1"/>
  <c r="E105" i="8" a="1"/>
  <c r="AZ104" i="8" a="1"/>
  <c r="AR104" i="8" a="1"/>
  <c r="AJ105" i="8" a="1"/>
  <c r="L105" i="8" a="1"/>
  <c r="BD105" i="8" a="1"/>
  <c r="R104" i="8" a="1"/>
  <c r="AS105" i="8" a="1"/>
  <c r="T105" i="8" a="1"/>
  <c r="R105" i="8" a="1"/>
  <c r="AX108" i="8" a="1"/>
  <c r="O104" i="8" a="1"/>
  <c r="J105" i="8" a="1"/>
  <c r="AM104" i="8" a="1"/>
  <c r="AQ105" i="8" a="1"/>
  <c r="AL104" i="8" a="1"/>
  <c r="AN104" i="8" a="1"/>
  <c r="AP104" i="8" a="1"/>
  <c r="AW108" i="8" a="1"/>
  <c r="M105" i="8" a="1"/>
  <c r="W104" i="8" a="1"/>
  <c r="AI105" i="8" a="1"/>
  <c r="AA104" i="8" a="1"/>
  <c r="BE105" i="8" a="1"/>
  <c r="BI105" i="8" a="1"/>
  <c r="C104" i="8" a="1"/>
  <c r="BB104" i="8" a="1"/>
  <c r="AT105" i="8" a="1"/>
  <c r="AC104" i="8" a="1"/>
  <c r="K105" i="8" a="1"/>
  <c r="AG105" i="8" a="1"/>
  <c r="BD104" i="8" a="1"/>
  <c r="AL105" i="8" a="1"/>
  <c r="BE104" i="8" a="1"/>
  <c r="U104" i="8" a="1"/>
  <c r="AT104" i="8" a="1"/>
  <c r="Y104" i="8" a="1"/>
  <c r="AY105" i="8" a="1"/>
  <c r="P104" i="8" a="1"/>
  <c r="Q105" i="8" a="1"/>
  <c r="AF104" i="8" a="1"/>
  <c r="AZ105" i="8" a="1"/>
  <c r="AS104" i="8" a="1"/>
  <c r="L104" i="8" a="1"/>
  <c r="S105" i="8" a="1"/>
  <c r="AP105" i="8" a="1"/>
  <c r="X105" i="8" a="1"/>
  <c r="AK104" i="8" a="1"/>
  <c r="E104" i="8" a="1"/>
  <c r="AH105" i="8" a="1"/>
  <c r="BC104" i="8" a="1"/>
  <c r="AB105" i="8" a="1"/>
  <c r="AG104" i="8" a="1"/>
  <c r="AH104" i="8" a="1"/>
  <c r="AK105" i="8" a="1"/>
  <c r="F104" i="8" a="1"/>
  <c r="V104" i="8" a="1"/>
  <c r="B104" i="8" a="1"/>
  <c r="B105" i="8" a="1"/>
  <c r="M108" i="8" a="1"/>
  <c r="AV108" i="8" a="1"/>
  <c r="AD105" i="8" a="1"/>
  <c r="N104" i="8" a="1"/>
  <c r="AF105" i="8" a="1"/>
  <c r="AW105" i="8" a="1"/>
  <c r="I105" i="8" a="1"/>
  <c r="BG105" i="8" a="1"/>
  <c r="BH104" i="8" a="1"/>
  <c r="P105" i="8" a="1"/>
  <c r="AU108" i="8" a="1"/>
  <c r="F105" i="8" a="1"/>
  <c r="AD104" i="8" a="1"/>
  <c r="Q104" i="8" a="1"/>
  <c r="AU105" i="8" a="1"/>
  <c r="AE104" i="8" a="1"/>
  <c r="H104" i="8" a="1"/>
  <c r="I104" i="8" a="1"/>
  <c r="AE105" i="8" a="1"/>
  <c r="G104" i="8" a="1"/>
  <c r="K104" i="8" a="1"/>
  <c r="AI104" i="8" a="1"/>
  <c r="AO105" i="8" a="1"/>
  <c r="G105" i="8" a="1"/>
  <c r="AY104" i="8" a="1"/>
  <c r="AM105" i="8" a="1"/>
  <c r="BA105" i="8" a="1"/>
  <c r="V105" i="8" a="1"/>
  <c r="AR105" i="8" a="1"/>
  <c r="S104" i="8" a="1"/>
  <c r="AO104" i="8" a="1"/>
  <c r="Y105" i="8" a="1"/>
  <c r="D104" i="8" a="1"/>
  <c r="AV105" i="8" a="1"/>
  <c r="AN105" i="8" a="1"/>
  <c r="Z104" i="8" a="1"/>
  <c r="BB105" i="8" a="1"/>
  <c r="AQ104" i="8" a="1"/>
  <c r="AJ104" i="8" a="1"/>
  <c r="BH105" i="8" a="1"/>
  <c r="BF104" i="8" a="1"/>
  <c r="BC105" i="8" a="1"/>
  <c r="W105" i="8" a="1"/>
  <c r="D105" i="8" a="1"/>
  <c r="AA105" i="8" a="1"/>
  <c r="AX105" i="8" a="1"/>
  <c r="J104" i="8" a="1"/>
  <c r="AB104" i="8" a="1"/>
  <c r="H105" i="8" a="1"/>
  <c r="X104" i="8" a="1"/>
  <c r="BD29" i="9" l="1"/>
  <c r="C29" i="9"/>
  <c r="AQ29" i="9"/>
  <c r="J29" i="9"/>
  <c r="AT29" i="9"/>
  <c r="K29" i="9"/>
  <c r="AU29" i="9"/>
  <c r="AY29" i="9"/>
  <c r="B40" i="9"/>
  <c r="B41" i="9" s="1"/>
  <c r="B42" i="9" s="1"/>
  <c r="Z29" i="9"/>
  <c r="AF29" i="9"/>
  <c r="N29" i="9"/>
  <c r="AV29" i="9"/>
  <c r="O29" i="9"/>
  <c r="AW29" i="9"/>
  <c r="P29" i="9"/>
  <c r="R29" i="9"/>
  <c r="BJ29" i="9"/>
  <c r="AD29" i="9"/>
  <c r="I29" i="9"/>
  <c r="Y29" i="9"/>
  <c r="AO29" i="9"/>
  <c r="BE29" i="9"/>
  <c r="AE29" i="9"/>
  <c r="BF29" i="9"/>
  <c r="AA29" i="9"/>
  <c r="BG29" i="9"/>
  <c r="AG29" i="9"/>
  <c r="L29" i="9"/>
  <c r="AB29" i="9"/>
  <c r="AR29" i="9"/>
  <c r="BH29" i="9"/>
  <c r="AH29" i="9"/>
  <c r="AX29" i="9"/>
  <c r="Q29" i="9"/>
  <c r="S29" i="9"/>
  <c r="M29" i="9"/>
  <c r="AC29" i="9"/>
  <c r="AS29" i="9"/>
  <c r="BI29" i="9"/>
  <c r="AI29" i="9"/>
  <c r="AP29" i="9"/>
  <c r="B34" i="9"/>
  <c r="D29" i="9"/>
  <c r="T29" i="9"/>
  <c r="AJ29" i="9"/>
  <c r="AZ29" i="9"/>
  <c r="E29" i="9"/>
  <c r="U29" i="9"/>
  <c r="AK29" i="9"/>
  <c r="BA29" i="9"/>
  <c r="F29" i="9"/>
  <c r="V29" i="9"/>
  <c r="AL29" i="9"/>
  <c r="BB29" i="9"/>
  <c r="G29" i="9"/>
  <c r="W29" i="9"/>
  <c r="AM29" i="9"/>
  <c r="BC29" i="9"/>
  <c r="H29" i="9"/>
  <c r="X29" i="9"/>
  <c r="AN29" i="9"/>
  <c r="AS104" i="8"/>
  <c r="G104" i="8"/>
  <c r="AN104" i="8"/>
  <c r="AV108" i="8"/>
  <c r="H104" i="8"/>
  <c r="Q105" i="8"/>
  <c r="AW108" i="8"/>
  <c r="I104" i="8"/>
  <c r="B105" i="8"/>
  <c r="AX108" i="8"/>
  <c r="AQ104" i="8"/>
  <c r="AB104" i="8"/>
  <c r="D105" i="8"/>
  <c r="AJ105" i="8"/>
  <c r="L104" i="8"/>
  <c r="E105" i="8"/>
  <c r="AT104" i="8"/>
  <c r="AE104" i="8"/>
  <c r="AY104" i="8"/>
  <c r="G105" i="8"/>
  <c r="AF104" i="8"/>
  <c r="AZ104" i="8"/>
  <c r="H105" i="8"/>
  <c r="Q104" i="8"/>
  <c r="AG104" i="8"/>
  <c r="BA104" i="8"/>
  <c r="I105" i="8"/>
  <c r="Y105" i="8"/>
  <c r="AO105" i="8"/>
  <c r="BE105" i="8"/>
  <c r="Y104" i="8"/>
  <c r="C105" i="8"/>
  <c r="AC104" i="8"/>
  <c r="W105" i="8"/>
  <c r="AN105" i="8"/>
  <c r="R104" i="8"/>
  <c r="AH104" i="8"/>
  <c r="BB104" i="8"/>
  <c r="J105" i="8"/>
  <c r="Z105" i="8"/>
  <c r="AP105" i="8"/>
  <c r="BF105" i="8"/>
  <c r="AF105" i="8"/>
  <c r="AO104" i="8"/>
  <c r="AG105" i="8"/>
  <c r="Z104" i="8"/>
  <c r="AH105" i="8"/>
  <c r="J104" i="8"/>
  <c r="AI105" i="8"/>
  <c r="AR104" i="8"/>
  <c r="AZ105" i="8"/>
  <c r="AK105" i="8"/>
  <c r="AD104" i="8"/>
  <c r="AL105" i="8"/>
  <c r="O104" i="8"/>
  <c r="BC105" i="8"/>
  <c r="P104" i="8"/>
  <c r="BD105" i="8"/>
  <c r="B104" i="8"/>
  <c r="S104" i="8"/>
  <c r="AI104" i="8"/>
  <c r="BC104" i="8"/>
  <c r="K105" i="8"/>
  <c r="AA105" i="8"/>
  <c r="AQ105" i="8"/>
  <c r="BG105" i="8"/>
  <c r="R105" i="8"/>
  <c r="U105" i="8"/>
  <c r="X105" i="8"/>
  <c r="C104" i="8"/>
  <c r="T104" i="8"/>
  <c r="AJ104" i="8"/>
  <c r="BD104" i="8"/>
  <c r="L105" i="8"/>
  <c r="AB105" i="8"/>
  <c r="AR105" i="8"/>
  <c r="BH105" i="8"/>
  <c r="BH104" i="8"/>
  <c r="AA104" i="8"/>
  <c r="F105" i="8"/>
  <c r="Y69" i="8"/>
  <c r="D104" i="8"/>
  <c r="U104" i="8"/>
  <c r="AK104" i="8"/>
  <c r="BE104" i="8"/>
  <c r="M105" i="8"/>
  <c r="AC105" i="8"/>
  <c r="AS105" i="8"/>
  <c r="BI105" i="8"/>
  <c r="P105" i="8"/>
  <c r="S105" i="8"/>
  <c r="V105" i="8"/>
  <c r="E104" i="8"/>
  <c r="V104" i="8"/>
  <c r="AL104" i="8"/>
  <c r="BF104" i="8"/>
  <c r="N105" i="8"/>
  <c r="AD105" i="8"/>
  <c r="AT105" i="8"/>
  <c r="M108" i="8"/>
  <c r="X104" i="8"/>
  <c r="AV105" i="8"/>
  <c r="BI104" i="8"/>
  <c r="AW105" i="8"/>
  <c r="AP104" i="8"/>
  <c r="AX105" i="8"/>
  <c r="AY105" i="8"/>
  <c r="K104" i="8"/>
  <c r="T105" i="8"/>
  <c r="BA105" i="8"/>
  <c r="N104" i="8"/>
  <c r="BB105" i="8"/>
  <c r="AM105" i="8"/>
  <c r="F104" i="8"/>
  <c r="W104" i="8"/>
  <c r="AM104" i="8"/>
  <c r="BG104" i="8"/>
  <c r="O105" i="8"/>
  <c r="AE105" i="8"/>
  <c r="AU105" i="8"/>
  <c r="AU108" i="8"/>
  <c r="BE42" i="8"/>
  <c r="E53" i="8"/>
  <c r="AF42" i="8"/>
  <c r="AE42" i="8" s="1"/>
  <c r="BD41" i="8"/>
  <c r="BE24" i="8"/>
  <c r="BC24" i="8"/>
  <c r="BA24" i="8"/>
  <c r="AY24" i="8"/>
  <c r="AW24" i="8"/>
  <c r="AT24" i="8"/>
  <c r="AR24" i="8"/>
  <c r="AP24" i="8"/>
  <c r="AM24" i="8"/>
  <c r="Z24" i="8"/>
  <c r="X24" i="8"/>
  <c r="U24" i="8"/>
  <c r="R24" i="8"/>
  <c r="P24" i="8"/>
  <c r="L24" i="8"/>
  <c r="I24" i="8"/>
  <c r="F24" i="8"/>
  <c r="C24" i="8"/>
  <c r="BK23" i="8"/>
  <c r="BH23" i="8"/>
  <c r="BE23" i="8"/>
  <c r="BB23" i="8"/>
  <c r="AZ23" i="8"/>
  <c r="AX23" i="8"/>
  <c r="AU23" i="8"/>
  <c r="AR23" i="8"/>
  <c r="AO23" i="8"/>
  <c r="AL23" i="8"/>
  <c r="Z23" i="8"/>
  <c r="W23" i="8"/>
  <c r="U23" i="8"/>
  <c r="R23" i="8"/>
  <c r="P23" i="8"/>
  <c r="M23" i="8"/>
  <c r="I23" i="8"/>
  <c r="F23" i="8"/>
  <c r="C23" i="8"/>
  <c r="X23" i="8"/>
  <c r="AF41" i="8"/>
  <c r="AF38" i="8"/>
  <c r="BJ24" i="8"/>
  <c r="BF24" i="8"/>
  <c r="BB24" i="8"/>
  <c r="AX24" i="8"/>
  <c r="AU24" i="8"/>
  <c r="AQ24" i="8"/>
  <c r="AN24" i="8"/>
  <c r="AA24" i="8"/>
  <c r="Y24" i="8"/>
  <c r="V24" i="8"/>
  <c r="S24" i="8"/>
  <c r="O24" i="8"/>
  <c r="M24" i="8"/>
  <c r="J24" i="8"/>
  <c r="G24" i="8"/>
  <c r="D24" i="8"/>
  <c r="BJ23" i="8"/>
  <c r="BG23" i="8"/>
  <c r="BD23" i="8"/>
  <c r="AY23" i="8"/>
  <c r="AV23" i="8"/>
  <c r="AS23" i="8"/>
  <c r="AP23" i="8"/>
  <c r="AM23" i="8"/>
  <c r="Y23" i="8"/>
  <c r="T23" i="8"/>
  <c r="Q23" i="8"/>
  <c r="N23" i="8"/>
  <c r="K23" i="8"/>
  <c r="H23" i="8"/>
  <c r="E23" i="8"/>
  <c r="B23" i="8"/>
  <c r="E65" i="8"/>
  <c r="D65" i="8" s="1"/>
  <c r="BI24" i="8"/>
  <c r="BG24" i="8"/>
  <c r="BK24" i="8"/>
  <c r="BH24" i="8"/>
  <c r="BD24" i="8"/>
  <c r="AZ24" i="8"/>
  <c r="AV24" i="8"/>
  <c r="AS24" i="8"/>
  <c r="AO24" i="8"/>
  <c r="AL24" i="8"/>
  <c r="W24" i="8"/>
  <c r="T24" i="8"/>
  <c r="Q24" i="8"/>
  <c r="N24" i="8"/>
  <c r="K24" i="8"/>
  <c r="H24" i="8"/>
  <c r="E24" i="8"/>
  <c r="B24" i="8"/>
  <c r="BI23" i="8"/>
  <c r="BF23" i="8"/>
  <c r="BC23" i="8"/>
  <c r="BA23" i="8"/>
  <c r="AW23" i="8"/>
  <c r="AT23" i="8"/>
  <c r="AQ23" i="8"/>
  <c r="AN23" i="8"/>
  <c r="AA23" i="8"/>
  <c r="V23" i="8"/>
  <c r="S23" i="8"/>
  <c r="O23" i="8"/>
  <c r="L23" i="8"/>
  <c r="J23" i="8"/>
  <c r="G23" i="8"/>
  <c r="D23" i="8"/>
  <c r="E54" i="8"/>
  <c r="E66" i="8"/>
  <c r="BM2" i="7"/>
  <c r="B26" i="7"/>
  <c r="B10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D6" i="7"/>
  <c r="BE6" i="7"/>
  <c r="BF6" i="7"/>
  <c r="BG6" i="7"/>
  <c r="BI6" i="7"/>
  <c r="C6" i="7"/>
  <c r="AA6" i="7"/>
  <c r="BH6" i="7"/>
  <c r="BJ6" i="7"/>
  <c r="BC6" i="7"/>
  <c r="P19" i="6"/>
  <c r="R19" i="6" s="1"/>
  <c r="P3" i="6"/>
  <c r="R3" i="6" s="1"/>
  <c r="P11" i="6"/>
  <c r="R11" i="6" s="1"/>
  <c r="P4" i="6"/>
  <c r="R4" i="6" s="1"/>
  <c r="P8" i="6"/>
  <c r="R8" i="6" s="1"/>
  <c r="P12" i="6"/>
  <c r="R12" i="6" s="1"/>
  <c r="P16" i="6"/>
  <c r="R16" i="6" s="1"/>
  <c r="P22" i="6"/>
  <c r="R22" i="6" s="1"/>
  <c r="P15" i="6"/>
  <c r="R15" i="6" s="1"/>
  <c r="P5" i="6"/>
  <c r="R5" i="6" s="1"/>
  <c r="P9" i="6"/>
  <c r="R9" i="6" s="1"/>
  <c r="P13" i="6"/>
  <c r="R13" i="6" s="1"/>
  <c r="P17" i="6"/>
  <c r="R17" i="6" s="1"/>
  <c r="P23" i="6"/>
  <c r="R23" i="6" s="1"/>
  <c r="S22" i="5"/>
  <c r="R22" i="5"/>
  <c r="S23" i="5"/>
  <c r="R23" i="5"/>
  <c r="R4" i="4"/>
  <c r="R16" i="4"/>
  <c r="R14" i="4"/>
  <c r="R12" i="4"/>
  <c r="R8" i="4"/>
  <c r="R7" i="4"/>
  <c r="Q8" i="4"/>
  <c r="Q16" i="4"/>
  <c r="Q11" i="4"/>
  <c r="Q23" i="4"/>
  <c r="R15" i="4"/>
  <c r="R11" i="4"/>
  <c r="Q14" i="4"/>
  <c r="Q10" i="4"/>
  <c r="R6" i="4"/>
  <c r="R10" i="4"/>
  <c r="Q18" i="4"/>
  <c r="Q3" i="4"/>
  <c r="R18" i="4"/>
  <c r="Q22" i="4"/>
  <c r="Q6" i="4"/>
  <c r="Q5" i="4"/>
  <c r="Q13" i="4"/>
  <c r="Q9" i="4"/>
  <c r="R22" i="4"/>
  <c r="Q12" i="4"/>
  <c r="R5" i="4"/>
  <c r="Q17" i="4"/>
  <c r="R13" i="4"/>
  <c r="R9" i="4"/>
  <c r="Q19" i="4"/>
  <c r="Q7" i="4"/>
  <c r="Q15" i="4"/>
  <c r="R23" i="4"/>
  <c r="S23" i="4" s="1"/>
  <c r="R3" i="4"/>
  <c r="R17" i="4"/>
  <c r="AJ108" i="8" a="1"/>
  <c r="O108" i="8" a="1"/>
  <c r="Q108" i="8" a="1"/>
  <c r="I108" i="8" a="1"/>
  <c r="AF108" i="8" a="1"/>
  <c r="AT108" i="8" a="1"/>
  <c r="BI108" i="8" a="1"/>
  <c r="AY108" i="8" a="1"/>
  <c r="AS108" i="8" a="1"/>
  <c r="AZ108" i="8" a="1"/>
  <c r="BC108" i="8" a="1"/>
  <c r="BB108" i="8" a="1"/>
  <c r="AM108" i="8" a="1"/>
  <c r="N108" i="8" a="1"/>
  <c r="BA108" i="8" a="1"/>
  <c r="T108" i="8" a="1"/>
  <c r="BH108" i="8" a="1"/>
  <c r="AR108" i="8" a="1"/>
  <c r="Y108" i="8" a="1"/>
  <c r="AB108" i="8" a="1"/>
  <c r="AL108" i="8" a="1"/>
  <c r="AP108" i="8" a="1"/>
  <c r="J108" i="8" a="1"/>
  <c r="AD108" i="8" a="1"/>
  <c r="AI108" i="8" a="1"/>
  <c r="AQ108" i="8" a="1"/>
  <c r="AN108" i="8" a="1"/>
  <c r="AH108" i="8" a="1"/>
  <c r="D108" i="8" a="1"/>
  <c r="S108" i="8" a="1"/>
  <c r="H108" i="8" a="1"/>
  <c r="B108" i="8" a="1"/>
  <c r="R108" i="8" a="1"/>
  <c r="AE108" i="8" a="1"/>
  <c r="AO108" i="8" a="1"/>
  <c r="AC108" i="8" a="1"/>
  <c r="P108" i="8" a="1"/>
  <c r="X108" i="8" a="1"/>
  <c r="C108" i="8" a="1"/>
  <c r="U108" i="8" a="1"/>
  <c r="AA108" i="8" a="1"/>
  <c r="E108" i="8" a="1"/>
  <c r="V108" i="8" a="1"/>
  <c r="BE108" i="8" a="1"/>
  <c r="F108" i="8" a="1"/>
  <c r="BD108" i="8" a="1"/>
  <c r="AG108" i="8" a="1"/>
  <c r="K108" i="8" a="1"/>
  <c r="AK108" i="8" a="1"/>
  <c r="G108" i="8" a="1"/>
  <c r="W108" i="8" a="1"/>
  <c r="BF108" i="8" a="1"/>
  <c r="BG108" i="8" a="1"/>
  <c r="L108" i="8" a="1"/>
  <c r="Z108" i="8" a="1"/>
  <c r="AW16" i="9" l="1"/>
  <c r="AG16" i="9"/>
  <c r="Q16" i="9"/>
  <c r="BE16" i="9"/>
  <c r="AV16" i="9"/>
  <c r="AF16" i="9"/>
  <c r="P16" i="9"/>
  <c r="AU16" i="9"/>
  <c r="AE16" i="9"/>
  <c r="O16" i="9"/>
  <c r="BJ16" i="9"/>
  <c r="AT16" i="9"/>
  <c r="AD16" i="9"/>
  <c r="N16" i="9"/>
  <c r="BG16" i="9"/>
  <c r="AA16" i="9"/>
  <c r="K16" i="9"/>
  <c r="BF16" i="9"/>
  <c r="AP16" i="9"/>
  <c r="Z16" i="9"/>
  <c r="J16" i="9"/>
  <c r="AO16" i="9"/>
  <c r="BI16" i="9"/>
  <c r="AS16" i="9"/>
  <c r="AC16" i="9"/>
  <c r="M16" i="9"/>
  <c r="BH16" i="9"/>
  <c r="AR16" i="9"/>
  <c r="AB16" i="9"/>
  <c r="L16" i="9"/>
  <c r="AQ16" i="9"/>
  <c r="Y16" i="9"/>
  <c r="I16" i="9"/>
  <c r="BA16" i="9"/>
  <c r="AK16" i="9"/>
  <c r="U16" i="9"/>
  <c r="E16" i="9"/>
  <c r="AZ16" i="9"/>
  <c r="AJ16" i="9"/>
  <c r="T16" i="9"/>
  <c r="D16" i="9"/>
  <c r="BC16" i="9"/>
  <c r="F16" i="9"/>
  <c r="R16" i="9"/>
  <c r="BB16" i="9"/>
  <c r="C16" i="9"/>
  <c r="AX16" i="9"/>
  <c r="AY16" i="9"/>
  <c r="AN16" i="9"/>
  <c r="W16" i="9"/>
  <c r="V16" i="9"/>
  <c r="BD16" i="9"/>
  <c r="AM16" i="9"/>
  <c r="AL16" i="9"/>
  <c r="AI16" i="9"/>
  <c r="AH16" i="9"/>
  <c r="X16" i="9"/>
  <c r="S16" i="9"/>
  <c r="H16" i="9"/>
  <c r="G16" i="9"/>
  <c r="B35" i="9"/>
  <c r="BA17" i="9"/>
  <c r="BD24" i="9" s="1"/>
  <c r="AK17" i="9"/>
  <c r="AK24" i="9" s="1"/>
  <c r="U17" i="9"/>
  <c r="U24" i="9" s="1"/>
  <c r="E17" i="9"/>
  <c r="E24" i="9" s="1"/>
  <c r="AZ17" i="9"/>
  <c r="BC24" i="9" s="1"/>
  <c r="AJ17" i="9"/>
  <c r="AJ24" i="9" s="1"/>
  <c r="T17" i="9"/>
  <c r="T24" i="9" s="1"/>
  <c r="D17" i="9"/>
  <c r="D24" i="9" s="1"/>
  <c r="AE17" i="9"/>
  <c r="AE24" i="9" s="1"/>
  <c r="AY17" i="9"/>
  <c r="AY24" i="9" s="1"/>
  <c r="AI17" i="9"/>
  <c r="AI24" i="9" s="1"/>
  <c r="S17" i="9"/>
  <c r="S24" i="9" s="1"/>
  <c r="C17" i="9"/>
  <c r="C24" i="9" s="1"/>
  <c r="AX17" i="9"/>
  <c r="AX24" i="9" s="1"/>
  <c r="AH17" i="9"/>
  <c r="AH24" i="9" s="1"/>
  <c r="R17" i="9"/>
  <c r="R24" i="9" s="1"/>
  <c r="O17" i="9"/>
  <c r="O24" i="9" s="1"/>
  <c r="BJ17" i="9"/>
  <c r="BJ24" i="9" s="1"/>
  <c r="AT17" i="9"/>
  <c r="AT24" i="9" s="1"/>
  <c r="AD17" i="9"/>
  <c r="AD24" i="9" s="1"/>
  <c r="N17" i="9"/>
  <c r="N24" i="9" s="1"/>
  <c r="AW17" i="9"/>
  <c r="AW24" i="9" s="1"/>
  <c r="AG17" i="9"/>
  <c r="AG24" i="9" s="1"/>
  <c r="Q17" i="9"/>
  <c r="Q24" i="9" s="1"/>
  <c r="AV17" i="9"/>
  <c r="AV24" i="9" s="1"/>
  <c r="AF17" i="9"/>
  <c r="AF24" i="9" s="1"/>
  <c r="P17" i="9"/>
  <c r="P24" i="9" s="1"/>
  <c r="AU17" i="9"/>
  <c r="AU24" i="9" s="1"/>
  <c r="BI17" i="9"/>
  <c r="AS17" i="9"/>
  <c r="AS24" i="9" s="1"/>
  <c r="AC17" i="9"/>
  <c r="AC24" i="9" s="1"/>
  <c r="M17" i="9"/>
  <c r="M24" i="9" s="1"/>
  <c r="BE17" i="9"/>
  <c r="BH24" i="9" s="1"/>
  <c r="AO17" i="9"/>
  <c r="AO24" i="9" s="1"/>
  <c r="Y17" i="9"/>
  <c r="Y24" i="9" s="1"/>
  <c r="I17" i="9"/>
  <c r="I24" i="9" s="1"/>
  <c r="BD17" i="9"/>
  <c r="BG24" i="9" s="1"/>
  <c r="AN17" i="9"/>
  <c r="AN24" i="9" s="1"/>
  <c r="X17" i="9"/>
  <c r="X24" i="9" s="1"/>
  <c r="H17" i="9"/>
  <c r="H24" i="9" s="1"/>
  <c r="AR17" i="9"/>
  <c r="AR24" i="9" s="1"/>
  <c r="AM17" i="9"/>
  <c r="AM24" i="9" s="1"/>
  <c r="AQ17" i="9"/>
  <c r="AQ24" i="9" s="1"/>
  <c r="AP17" i="9"/>
  <c r="AP24" i="9" s="1"/>
  <c r="AL17" i="9"/>
  <c r="AL24" i="9" s="1"/>
  <c r="J17" i="9"/>
  <c r="J24" i="9" s="1"/>
  <c r="G17" i="9"/>
  <c r="G24" i="9" s="1"/>
  <c r="F17" i="9"/>
  <c r="F24" i="9" s="1"/>
  <c r="AB17" i="9"/>
  <c r="AB24" i="9" s="1"/>
  <c r="AA17" i="9"/>
  <c r="AA24" i="9" s="1"/>
  <c r="Z17" i="9"/>
  <c r="Z24" i="9" s="1"/>
  <c r="W17" i="9"/>
  <c r="W24" i="9" s="1"/>
  <c r="V17" i="9"/>
  <c r="V24" i="9" s="1"/>
  <c r="L17" i="9"/>
  <c r="L24" i="9" s="1"/>
  <c r="BH17" i="9"/>
  <c r="BA24" i="9" s="1"/>
  <c r="K17" i="9"/>
  <c r="K24" i="9" s="1"/>
  <c r="BG17" i="9"/>
  <c r="AZ24" i="9" s="1"/>
  <c r="BF17" i="9"/>
  <c r="BB24" i="9" s="1"/>
  <c r="BC17" i="9"/>
  <c r="BF24" i="9" s="1"/>
  <c r="BB17" i="9"/>
  <c r="BE24" i="9" s="1"/>
  <c r="B111" i="8"/>
  <c r="A93" i="8" s="1"/>
  <c r="BF108" i="8"/>
  <c r="AA108" i="8"/>
  <c r="Y108" i="8"/>
  <c r="BH108" i="8"/>
  <c r="K108" i="8"/>
  <c r="B108" i="8"/>
  <c r="AG108" i="8"/>
  <c r="J108" i="8"/>
  <c r="N108" i="8"/>
  <c r="L108" i="8"/>
  <c r="V108" i="8"/>
  <c r="BC108" i="8"/>
  <c r="E108" i="8"/>
  <c r="S108" i="8"/>
  <c r="AB108" i="8"/>
  <c r="AQ108" i="8"/>
  <c r="BA108" i="8"/>
  <c r="P108" i="8"/>
  <c r="I108" i="8"/>
  <c r="BG108" i="8"/>
  <c r="BE108" i="8"/>
  <c r="AH108" i="8"/>
  <c r="H108" i="8"/>
  <c r="AP108" i="8"/>
  <c r="Q108" i="8"/>
  <c r="T108" i="8"/>
  <c r="C108" i="8"/>
  <c r="AZ108" i="8"/>
  <c r="X108" i="8"/>
  <c r="AD108" i="8"/>
  <c r="AF108" i="8"/>
  <c r="AM108" i="8"/>
  <c r="AK108" i="8"/>
  <c r="R108" i="8"/>
  <c r="AJ108" i="8"/>
  <c r="W108" i="8"/>
  <c r="U108" i="8"/>
  <c r="AY108" i="8"/>
  <c r="AN108" i="8"/>
  <c r="AL108" i="8"/>
  <c r="Z108" i="8"/>
  <c r="AI108" i="8"/>
  <c r="AO108" i="8"/>
  <c r="BD108" i="8"/>
  <c r="AE108" i="8"/>
  <c r="BI108" i="8"/>
  <c r="O108" i="8"/>
  <c r="BB108" i="8"/>
  <c r="F108" i="8"/>
  <c r="D108" i="8"/>
  <c r="AR108" i="8"/>
  <c r="G108" i="8"/>
  <c r="AC108" i="8"/>
  <c r="AT108" i="8"/>
  <c r="AS108" i="8"/>
  <c r="B110" i="8"/>
  <c r="A92" i="8" s="1"/>
  <c r="B55" i="8"/>
  <c r="BD42" i="8"/>
  <c r="BE43" i="8"/>
  <c r="Q59" i="8"/>
  <c r="V59" i="8"/>
  <c r="Z59" i="8"/>
  <c r="AA59" i="8"/>
  <c r="AB59" i="8"/>
  <c r="AC59" i="8"/>
  <c r="AD59" i="8"/>
  <c r="AE59" i="8"/>
  <c r="AF59" i="8"/>
  <c r="AG59" i="8"/>
  <c r="AH59" i="8"/>
  <c r="AI59" i="8"/>
  <c r="AJ59" i="8"/>
  <c r="AK59" i="8"/>
  <c r="AL59" i="8"/>
  <c r="AM59" i="8"/>
  <c r="AN59" i="8"/>
  <c r="AO59" i="8"/>
  <c r="AP59" i="8"/>
  <c r="AQ59" i="8"/>
  <c r="AR59" i="8"/>
  <c r="AS59" i="8"/>
  <c r="AT59" i="8"/>
  <c r="AU59" i="8"/>
  <c r="AV59" i="8"/>
  <c r="AW59" i="8"/>
  <c r="AX59" i="8"/>
  <c r="AY59" i="8"/>
  <c r="AZ59" i="8"/>
  <c r="BA59" i="8"/>
  <c r="BB59" i="8"/>
  <c r="BC59" i="8"/>
  <c r="BD59" i="8"/>
  <c r="BE59" i="8"/>
  <c r="BF59" i="8"/>
  <c r="BG59" i="8"/>
  <c r="BH59" i="8"/>
  <c r="BI59" i="8"/>
  <c r="D53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R59" i="8"/>
  <c r="S59" i="8"/>
  <c r="T59" i="8"/>
  <c r="X59" i="8"/>
  <c r="B59" i="8"/>
  <c r="U59" i="8"/>
  <c r="Y59" i="8"/>
  <c r="W59" i="8"/>
  <c r="AE41" i="8"/>
  <c r="AF43" i="8"/>
  <c r="D42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BI48" i="8"/>
  <c r="BH48" i="8"/>
  <c r="BG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D41" i="8"/>
  <c r="AL47" i="8"/>
  <c r="C47" i="8"/>
  <c r="B47" i="8"/>
  <c r="H47" i="8"/>
  <c r="I47" i="8"/>
  <c r="J47" i="8"/>
  <c r="K47" i="8"/>
  <c r="L47" i="8"/>
  <c r="M47" i="8"/>
  <c r="N47" i="8"/>
  <c r="O47" i="8"/>
  <c r="P47" i="8"/>
  <c r="Q47" i="8"/>
  <c r="R47" i="8"/>
  <c r="AM47" i="8"/>
  <c r="S47" i="8"/>
  <c r="T47" i="8"/>
  <c r="U47" i="8"/>
  <c r="V47" i="8"/>
  <c r="W47" i="8"/>
  <c r="X47" i="8"/>
  <c r="B43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AK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G47" i="8"/>
  <c r="F47" i="8"/>
  <c r="E47" i="8"/>
  <c r="D47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AK60" i="8"/>
  <c r="AL60" i="8"/>
  <c r="AM60" i="8"/>
  <c r="AN60" i="8"/>
  <c r="AO60" i="8"/>
  <c r="AP60" i="8"/>
  <c r="AQ60" i="8"/>
  <c r="AR60" i="8"/>
  <c r="AS60" i="8"/>
  <c r="AT60" i="8"/>
  <c r="AU60" i="8"/>
  <c r="AV60" i="8"/>
  <c r="AW60" i="8"/>
  <c r="AX60" i="8"/>
  <c r="AY60" i="8"/>
  <c r="AZ60" i="8"/>
  <c r="BA60" i="8"/>
  <c r="BB60" i="8"/>
  <c r="BC60" i="8"/>
  <c r="BD60" i="8"/>
  <c r="BE60" i="8"/>
  <c r="BF60" i="8"/>
  <c r="BG60" i="8"/>
  <c r="BH60" i="8"/>
  <c r="BI60" i="8"/>
  <c r="D54" i="8"/>
  <c r="B67" i="8"/>
  <c r="D66" i="8"/>
  <c r="B11" i="7"/>
  <c r="C14" i="7" s="1"/>
  <c r="C29" i="7"/>
  <c r="B27" i="7"/>
  <c r="C30" i="7" s="1"/>
  <c r="T23" i="5"/>
  <c r="T22" i="5"/>
  <c r="S22" i="4"/>
  <c r="B36" i="9" l="1"/>
  <c r="B114" i="8"/>
  <c r="AY56" i="8"/>
  <c r="AJ18" i="7"/>
  <c r="AJ39" i="7" s="1"/>
  <c r="AI18" i="7"/>
  <c r="AI39" i="7" s="1"/>
  <c r="AH18" i="7"/>
  <c r="AH39" i="7" s="1"/>
  <c r="AG18" i="7"/>
  <c r="AF18" i="7"/>
  <c r="AF39" i="7" s="1"/>
  <c r="AE18" i="7"/>
  <c r="AE39" i="7" s="1"/>
  <c r="AD18" i="7"/>
  <c r="AD39" i="7" s="1"/>
  <c r="AC18" i="7"/>
  <c r="AC39" i="7" s="1"/>
  <c r="AB18" i="7"/>
  <c r="AB39" i="7" s="1"/>
  <c r="AA18" i="7"/>
  <c r="AA39" i="7" s="1"/>
  <c r="Z18" i="7"/>
  <c r="Z39" i="7" s="1"/>
  <c r="Y18" i="7"/>
  <c r="Y39" i="7" s="1"/>
  <c r="X18" i="7"/>
  <c r="X39" i="7" s="1"/>
  <c r="W18" i="7"/>
  <c r="W39" i="7" s="1"/>
  <c r="V18" i="7"/>
  <c r="V39" i="7" s="1"/>
  <c r="U18" i="7"/>
  <c r="U39" i="7" s="1"/>
  <c r="T18" i="7"/>
  <c r="T39" i="7" s="1"/>
  <c r="S18" i="7"/>
  <c r="S39" i="7" s="1"/>
  <c r="R18" i="7"/>
  <c r="R39" i="7" s="1"/>
  <c r="Q18" i="7"/>
  <c r="Q39" i="7" s="1"/>
  <c r="P18" i="7"/>
  <c r="P39" i="7" s="1"/>
  <c r="O18" i="7"/>
  <c r="O39" i="7" s="1"/>
  <c r="N18" i="7"/>
  <c r="N39" i="7" s="1"/>
  <c r="M18" i="7"/>
  <c r="M39" i="7" s="1"/>
  <c r="L18" i="7"/>
  <c r="L39" i="7" s="1"/>
  <c r="K18" i="7"/>
  <c r="J18" i="7"/>
  <c r="J39" i="7" s="1"/>
  <c r="I18" i="7"/>
  <c r="I39" i="7" s="1"/>
  <c r="H18" i="7"/>
  <c r="H39" i="7" s="1"/>
  <c r="G18" i="7"/>
  <c r="G39" i="7" s="1"/>
  <c r="F18" i="7"/>
  <c r="F39" i="7" s="1"/>
  <c r="E18" i="7"/>
  <c r="E39" i="7" s="1"/>
  <c r="D18" i="7"/>
  <c r="D39" i="7" s="1"/>
  <c r="C18" i="7"/>
  <c r="BJ18" i="7"/>
  <c r="BJ39" i="7" s="1"/>
  <c r="BI18" i="7"/>
  <c r="BH18" i="7"/>
  <c r="BA39" i="7" s="1"/>
  <c r="BG18" i="7"/>
  <c r="AZ39" i="7" s="1"/>
  <c r="BF18" i="7"/>
  <c r="BB39" i="7" s="1"/>
  <c r="BE18" i="7"/>
  <c r="BH39" i="7" s="1"/>
  <c r="BD18" i="7"/>
  <c r="BG39" i="7" s="1"/>
  <c r="BC18" i="7"/>
  <c r="BF39" i="7" s="1"/>
  <c r="BB18" i="7"/>
  <c r="BE39" i="7" s="1"/>
  <c r="BA18" i="7"/>
  <c r="BD39" i="7" s="1"/>
  <c r="AZ18" i="7"/>
  <c r="BC39" i="7" s="1"/>
  <c r="AY18" i="7"/>
  <c r="AY39" i="7" s="1"/>
  <c r="AX18" i="7"/>
  <c r="AX39" i="7" s="1"/>
  <c r="AW18" i="7"/>
  <c r="AW39" i="7" s="1"/>
  <c r="AV18" i="7"/>
  <c r="AV39" i="7" s="1"/>
  <c r="AU18" i="7"/>
  <c r="AU39" i="7" s="1"/>
  <c r="AT18" i="7"/>
  <c r="AT39" i="7" s="1"/>
  <c r="AS18" i="7"/>
  <c r="AS39" i="7" s="1"/>
  <c r="AR18" i="7"/>
  <c r="AR39" i="7" s="1"/>
  <c r="AQ18" i="7"/>
  <c r="AQ39" i="7" s="1"/>
  <c r="AP18" i="7"/>
  <c r="AP39" i="7" s="1"/>
  <c r="AO18" i="7"/>
  <c r="AO39" i="7" s="1"/>
  <c r="AN18" i="7"/>
  <c r="AN39" i="7" s="1"/>
  <c r="AM18" i="7"/>
  <c r="AM39" i="7" s="1"/>
  <c r="AL18" i="7"/>
  <c r="AL39" i="7" s="1"/>
  <c r="AK18" i="7"/>
  <c r="AK39" i="7" s="1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C33" i="7"/>
  <c r="E34" i="7"/>
  <c r="E41" i="7" s="1"/>
  <c r="F34" i="7"/>
  <c r="F41" i="7" s="1"/>
  <c r="G34" i="7"/>
  <c r="G41" i="7" s="1"/>
  <c r="H34" i="7"/>
  <c r="H41" i="7" s="1"/>
  <c r="I34" i="7"/>
  <c r="I41" i="7" s="1"/>
  <c r="J34" i="7"/>
  <c r="J41" i="7" s="1"/>
  <c r="K34" i="7"/>
  <c r="K41" i="7" s="1"/>
  <c r="L34" i="7"/>
  <c r="L41" i="7" s="1"/>
  <c r="M34" i="7"/>
  <c r="M41" i="7" s="1"/>
  <c r="N34" i="7"/>
  <c r="N41" i="7" s="1"/>
  <c r="O34" i="7"/>
  <c r="O41" i="7" s="1"/>
  <c r="P34" i="7"/>
  <c r="P41" i="7" s="1"/>
  <c r="Q34" i="7"/>
  <c r="Q41" i="7" s="1"/>
  <c r="R34" i="7"/>
  <c r="R41" i="7" s="1"/>
  <c r="S34" i="7"/>
  <c r="S41" i="7" s="1"/>
  <c r="T34" i="7"/>
  <c r="T41" i="7" s="1"/>
  <c r="U34" i="7"/>
  <c r="U41" i="7" s="1"/>
  <c r="V34" i="7"/>
  <c r="V41" i="7" s="1"/>
  <c r="W34" i="7"/>
  <c r="W41" i="7" s="1"/>
  <c r="X34" i="7"/>
  <c r="X41" i="7" s="1"/>
  <c r="Y34" i="7"/>
  <c r="Y41" i="7" s="1"/>
  <c r="Z34" i="7"/>
  <c r="Z41" i="7" s="1"/>
  <c r="AA34" i="7"/>
  <c r="AA41" i="7" s="1"/>
  <c r="AB34" i="7"/>
  <c r="AB41" i="7" s="1"/>
  <c r="AC34" i="7"/>
  <c r="AC41" i="7" s="1"/>
  <c r="AD34" i="7"/>
  <c r="AD41" i="7" s="1"/>
  <c r="AE34" i="7"/>
  <c r="AE41" i="7" s="1"/>
  <c r="AF34" i="7"/>
  <c r="AF41" i="7" s="1"/>
  <c r="AG34" i="7"/>
  <c r="AG41" i="7" s="1"/>
  <c r="D34" i="7"/>
  <c r="D41" i="7" s="1"/>
  <c r="AI34" i="7"/>
  <c r="AI41" i="7" s="1"/>
  <c r="AJ34" i="7"/>
  <c r="AJ41" i="7" s="1"/>
  <c r="AK34" i="7"/>
  <c r="AK41" i="7" s="1"/>
  <c r="AL34" i="7"/>
  <c r="AL41" i="7" s="1"/>
  <c r="AM34" i="7"/>
  <c r="AM41" i="7" s="1"/>
  <c r="AN34" i="7"/>
  <c r="AN41" i="7" s="1"/>
  <c r="AO34" i="7"/>
  <c r="AO41" i="7" s="1"/>
  <c r="AP34" i="7"/>
  <c r="AP41" i="7" s="1"/>
  <c r="AQ34" i="7"/>
  <c r="AQ41" i="7" s="1"/>
  <c r="AR34" i="7"/>
  <c r="AR41" i="7" s="1"/>
  <c r="AS34" i="7"/>
  <c r="AS41" i="7" s="1"/>
  <c r="AT34" i="7"/>
  <c r="AT41" i="7" s="1"/>
  <c r="AU34" i="7"/>
  <c r="AU41" i="7" s="1"/>
  <c r="AV34" i="7"/>
  <c r="AV41" i="7" s="1"/>
  <c r="AH34" i="7"/>
  <c r="AH41" i="7" s="1"/>
  <c r="AX34" i="7"/>
  <c r="AX41" i="7" s="1"/>
  <c r="AY34" i="7"/>
  <c r="AY41" i="7" s="1"/>
  <c r="AZ34" i="7"/>
  <c r="BC41" i="7" s="1"/>
  <c r="BA34" i="7"/>
  <c r="BD41" i="7" s="1"/>
  <c r="BB34" i="7"/>
  <c r="BE41" i="7" s="1"/>
  <c r="BC34" i="7"/>
  <c r="BF41" i="7" s="1"/>
  <c r="BD34" i="7"/>
  <c r="BG41" i="7" s="1"/>
  <c r="BE34" i="7"/>
  <c r="BH41" i="7" s="1"/>
  <c r="BF34" i="7"/>
  <c r="BB41" i="7" s="1"/>
  <c r="BG34" i="7"/>
  <c r="AZ41" i="7" s="1"/>
  <c r="BH34" i="7"/>
  <c r="BA41" i="7" s="1"/>
  <c r="BI34" i="7"/>
  <c r="BJ34" i="7"/>
  <c r="BJ41" i="7" s="1"/>
  <c r="C34" i="7"/>
  <c r="AW34" i="7"/>
  <c r="AW41" i="7" s="1"/>
  <c r="B12" i="7"/>
  <c r="C15" i="7" s="1"/>
  <c r="C41" i="7"/>
  <c r="C39" i="7"/>
  <c r="Z4" i="3"/>
  <c r="Z5" i="3"/>
  <c r="Z6" i="3"/>
  <c r="Z7" i="3"/>
  <c r="Z8" i="3"/>
  <c r="Z9" i="3"/>
  <c r="Z3" i="3"/>
  <c r="P5" i="3" a="1"/>
  <c r="P5" i="3" s="1"/>
  <c r="P3" i="3" a="1"/>
  <c r="P3" i="3" s="1"/>
  <c r="BJ2" i="1"/>
  <c r="P4" i="3" a="1"/>
  <c r="P4" i="3" s="1"/>
  <c r="BM1" i="1" a="1"/>
  <c r="BM1" i="1" s="1"/>
  <c r="BY5" i="2" a="1"/>
  <c r="BY5" i="2" s="1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BD17" i="2"/>
  <c r="BE17" i="2"/>
  <c r="BF17" i="2"/>
  <c r="BG17" i="2"/>
  <c r="BH17" i="2"/>
  <c r="BI17" i="2"/>
  <c r="BJ17" i="2"/>
  <c r="BA17" i="2"/>
  <c r="BB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D18" i="2"/>
  <c r="BE18" i="2"/>
  <c r="BF18" i="2"/>
  <c r="BG18" i="2"/>
  <c r="BH18" i="2"/>
  <c r="BI18" i="2"/>
  <c r="BJ18" i="2"/>
  <c r="BA18" i="2"/>
  <c r="B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D19" i="2"/>
  <c r="BE19" i="2"/>
  <c r="BF19" i="2"/>
  <c r="BG19" i="2"/>
  <c r="BH19" i="2"/>
  <c r="BI19" i="2"/>
  <c r="BJ19" i="2"/>
  <c r="BA19" i="2"/>
  <c r="BB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D20" i="2"/>
  <c r="BE20" i="2"/>
  <c r="BF20" i="2"/>
  <c r="BG20" i="2"/>
  <c r="BH20" i="2"/>
  <c r="BI20" i="2"/>
  <c r="BJ20" i="2"/>
  <c r="BA20" i="2"/>
  <c r="BB20" i="2"/>
  <c r="BJ38" i="1"/>
  <c r="B31" i="1"/>
  <c r="B32" i="1" s="1"/>
  <c r="B16" i="1"/>
  <c r="AY3" i="1"/>
  <c r="AX3" i="1"/>
  <c r="AW3" i="1"/>
  <c r="AV3" i="1"/>
  <c r="AU3" i="1"/>
  <c r="AT3" i="1"/>
  <c r="AS3" i="1"/>
  <c r="AV1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81" i="2"/>
  <c r="A80" i="2"/>
  <c r="B89" i="2"/>
  <c r="A70" i="2" s="1"/>
  <c r="CY64" i="2"/>
  <c r="CP64" i="2"/>
  <c r="CG64" i="2"/>
  <c r="BX64" i="2"/>
  <c r="BN64" i="2"/>
  <c r="CY63" i="2"/>
  <c r="CP63" i="2"/>
  <c r="CG63" i="2"/>
  <c r="BX63" i="2"/>
  <c r="BN63" i="2"/>
  <c r="CY62" i="2"/>
  <c r="CP62" i="2"/>
  <c r="CG62" i="2"/>
  <c r="BX62" i="2"/>
  <c r="BN62" i="2"/>
  <c r="CY61" i="2"/>
  <c r="CP61" i="2"/>
  <c r="CG61" i="2"/>
  <c r="BX61" i="2"/>
  <c r="BN61" i="2"/>
  <c r="CY60" i="2"/>
  <c r="CP60" i="2"/>
  <c r="CG60" i="2"/>
  <c r="BX60" i="2"/>
  <c r="BN60" i="2"/>
  <c r="CY59" i="2"/>
  <c r="CP59" i="2"/>
  <c r="CG59" i="2"/>
  <c r="BX59" i="2"/>
  <c r="BN59" i="2"/>
  <c r="CY58" i="2"/>
  <c r="CP58" i="2"/>
  <c r="CG58" i="2"/>
  <c r="BX58" i="2"/>
  <c r="BN58" i="2"/>
  <c r="CY57" i="2"/>
  <c r="CP57" i="2"/>
  <c r="CG57" i="2"/>
  <c r="BX57" i="2"/>
  <c r="BN57" i="2"/>
  <c r="CY56" i="2"/>
  <c r="CX56" i="2"/>
  <c r="CP56" i="2"/>
  <c r="CG56" i="2"/>
  <c r="BX56" i="2"/>
  <c r="BN56" i="2"/>
  <c r="CY55" i="2"/>
  <c r="CX55" i="2"/>
  <c r="CP55" i="2"/>
  <c r="CG55" i="2"/>
  <c r="BX55" i="2"/>
  <c r="BN55" i="2"/>
  <c r="CY54" i="2"/>
  <c r="CX54" i="2"/>
  <c r="CP54" i="2"/>
  <c r="CG54" i="2"/>
  <c r="BX54" i="2"/>
  <c r="BN54" i="2"/>
  <c r="CY53" i="2"/>
  <c r="CX53" i="2"/>
  <c r="CP53" i="2"/>
  <c r="CG53" i="2"/>
  <c r="BX53" i="2"/>
  <c r="BN53" i="2"/>
  <c r="CY52" i="2"/>
  <c r="CX52" i="2"/>
  <c r="CP52" i="2"/>
  <c r="CG52" i="2"/>
  <c r="BX52" i="2"/>
  <c r="BN52" i="2"/>
  <c r="CY51" i="2"/>
  <c r="CX51" i="2"/>
  <c r="CP51" i="2"/>
  <c r="CG51" i="2"/>
  <c r="BX51" i="2"/>
  <c r="BN51" i="2"/>
  <c r="CY50" i="2"/>
  <c r="CX50" i="2"/>
  <c r="CP50" i="2"/>
  <c r="CG50" i="2"/>
  <c r="BX50" i="2"/>
  <c r="BN50" i="2"/>
  <c r="CY49" i="2"/>
  <c r="CX49" i="2"/>
  <c r="CP49" i="2"/>
  <c r="CG49" i="2"/>
  <c r="BX49" i="2"/>
  <c r="BN49" i="2"/>
  <c r="CY48" i="2"/>
  <c r="CX48" i="2"/>
  <c r="CP48" i="2"/>
  <c r="CG48" i="2"/>
  <c r="BX48" i="2"/>
  <c r="BN48" i="2"/>
  <c r="CY47" i="2"/>
  <c r="CX47" i="2"/>
  <c r="CP47" i="2"/>
  <c r="CG47" i="2"/>
  <c r="BX47" i="2"/>
  <c r="BN47" i="2"/>
  <c r="CY46" i="2"/>
  <c r="CX46" i="2"/>
  <c r="CP46" i="2"/>
  <c r="CG46" i="2"/>
  <c r="BX46" i="2"/>
  <c r="BN46" i="2"/>
  <c r="CY45" i="2"/>
  <c r="CX45" i="2"/>
  <c r="CP45" i="2"/>
  <c r="CG45" i="2"/>
  <c r="BX45" i="2"/>
  <c r="BN45" i="2"/>
  <c r="CY44" i="2"/>
  <c r="CX44" i="2"/>
  <c r="CP44" i="2"/>
  <c r="CG44" i="2"/>
  <c r="BX44" i="2"/>
  <c r="BN44" i="2"/>
  <c r="CY43" i="2"/>
  <c r="CX43" i="2"/>
  <c r="CP43" i="2"/>
  <c r="CG43" i="2"/>
  <c r="BX43" i="2"/>
  <c r="BN43" i="2"/>
  <c r="CY42" i="2"/>
  <c r="CX42" i="2"/>
  <c r="CP42" i="2"/>
  <c r="CG42" i="2"/>
  <c r="BX42" i="2"/>
  <c r="BN42" i="2"/>
  <c r="CY41" i="2"/>
  <c r="CX41" i="2"/>
  <c r="CP41" i="2"/>
  <c r="CG41" i="2"/>
  <c r="BX41" i="2"/>
  <c r="BN41" i="2"/>
  <c r="CY40" i="2"/>
  <c r="CX40" i="2"/>
  <c r="CP40" i="2"/>
  <c r="CG40" i="2"/>
  <c r="BX40" i="2"/>
  <c r="BN40" i="2"/>
  <c r="CY39" i="2"/>
  <c r="CX39" i="2"/>
  <c r="CP39" i="2"/>
  <c r="CG39" i="2"/>
  <c r="BX39" i="2"/>
  <c r="BN39" i="2"/>
  <c r="CY38" i="2"/>
  <c r="CX38" i="2"/>
  <c r="CP38" i="2"/>
  <c r="CG38" i="2"/>
  <c r="BX38" i="2"/>
  <c r="BN38" i="2"/>
  <c r="CY37" i="2"/>
  <c r="CX37" i="2"/>
  <c r="CP37" i="2"/>
  <c r="CG37" i="2"/>
  <c r="BX37" i="2"/>
  <c r="BN37" i="2"/>
  <c r="CY36" i="2"/>
  <c r="CX36" i="2"/>
  <c r="CP36" i="2"/>
  <c r="CG36" i="2"/>
  <c r="BX36" i="2"/>
  <c r="BN36" i="2"/>
  <c r="CY35" i="2"/>
  <c r="CX35" i="2"/>
  <c r="CP35" i="2"/>
  <c r="CG35" i="2"/>
  <c r="BX35" i="2"/>
  <c r="BN35" i="2"/>
  <c r="CY34" i="2"/>
  <c r="CX34" i="2"/>
  <c r="CP34" i="2"/>
  <c r="CG34" i="2"/>
  <c r="BX34" i="2"/>
  <c r="BN34" i="2"/>
  <c r="CY33" i="2"/>
  <c r="CX33" i="2"/>
  <c r="CP33" i="2"/>
  <c r="CG33" i="2"/>
  <c r="BX33" i="2"/>
  <c r="BN33" i="2"/>
  <c r="CY32" i="2"/>
  <c r="CP32" i="2"/>
  <c r="CG32" i="2"/>
  <c r="BX32" i="2"/>
  <c r="BN32" i="2"/>
  <c r="CY31" i="2"/>
  <c r="CX31" i="2"/>
  <c r="CP31" i="2"/>
  <c r="CG31" i="2"/>
  <c r="BX31" i="2"/>
  <c r="BN31" i="2"/>
  <c r="CY30" i="2"/>
  <c r="CX30" i="2"/>
  <c r="CP30" i="2"/>
  <c r="CG30" i="2"/>
  <c r="BX30" i="2"/>
  <c r="BN30" i="2"/>
  <c r="CY29" i="2"/>
  <c r="CX29" i="2"/>
  <c r="CP29" i="2"/>
  <c r="CG29" i="2"/>
  <c r="BX29" i="2"/>
  <c r="BN29" i="2"/>
  <c r="CY28" i="2"/>
  <c r="CX28" i="2"/>
  <c r="CP28" i="2"/>
  <c r="CG28" i="2"/>
  <c r="BX28" i="2"/>
  <c r="BN28" i="2"/>
  <c r="CY27" i="2"/>
  <c r="CX27" i="2"/>
  <c r="CP27" i="2"/>
  <c r="CO27" i="2"/>
  <c r="CG27" i="2"/>
  <c r="BX27" i="2"/>
  <c r="BN27" i="2"/>
  <c r="CY26" i="2"/>
  <c r="CX26" i="2"/>
  <c r="CP26" i="2"/>
  <c r="CO26" i="2"/>
  <c r="CG26" i="2"/>
  <c r="BX26" i="2"/>
  <c r="BN26" i="2"/>
  <c r="CY25" i="2"/>
  <c r="CP25" i="2"/>
  <c r="CO25" i="2"/>
  <c r="CG25" i="2"/>
  <c r="BX25" i="2"/>
  <c r="BN25" i="2"/>
  <c r="CY24" i="2"/>
  <c r="CP24" i="2"/>
  <c r="CO24" i="2"/>
  <c r="CG24" i="2"/>
  <c r="BX24" i="2"/>
  <c r="BN24" i="2"/>
  <c r="CY23" i="2"/>
  <c r="CP23" i="2"/>
  <c r="CO23" i="2"/>
  <c r="CG23" i="2"/>
  <c r="BX23" i="2"/>
  <c r="BN23" i="2"/>
  <c r="CY22" i="2"/>
  <c r="CP22" i="2"/>
  <c r="CO22" i="2"/>
  <c r="CG22" i="2"/>
  <c r="BX22" i="2"/>
  <c r="BN22" i="2"/>
  <c r="CY21" i="2"/>
  <c r="CP21" i="2"/>
  <c r="CO21" i="2"/>
  <c r="CG21" i="2"/>
  <c r="BX21" i="2"/>
  <c r="BN21" i="2"/>
  <c r="CY20" i="2"/>
  <c r="CP20" i="2"/>
  <c r="CO20" i="2"/>
  <c r="CG20" i="2"/>
  <c r="BX20" i="2"/>
  <c r="BN20" i="2"/>
  <c r="CY19" i="2"/>
  <c r="CP19" i="2"/>
  <c r="CG19" i="2"/>
  <c r="BX19" i="2"/>
  <c r="BN19" i="2"/>
  <c r="CY18" i="2"/>
  <c r="CP18" i="2"/>
  <c r="CG18" i="2"/>
  <c r="BX18" i="2"/>
  <c r="BN18" i="2"/>
  <c r="CY17" i="2"/>
  <c r="CP17" i="2"/>
  <c r="CG17" i="2"/>
  <c r="BX17" i="2"/>
  <c r="BN17" i="2"/>
  <c r="CY16" i="2"/>
  <c r="CP16" i="2"/>
  <c r="CG16" i="2"/>
  <c r="BX16" i="2"/>
  <c r="BN16" i="2"/>
  <c r="BK16" i="2" a="1"/>
  <c r="BK16" i="2" s="1"/>
  <c r="BJ16" i="2" a="1"/>
  <c r="BJ16" i="2" s="1"/>
  <c r="BI16" i="2" a="1"/>
  <c r="BI16" i="2" s="1"/>
  <c r="BH16" i="2" a="1"/>
  <c r="BH16" i="2" s="1"/>
  <c r="BG16" i="2" a="1"/>
  <c r="BG16" i="2" s="1"/>
  <c r="BF16" i="2" a="1"/>
  <c r="BF16" i="2" s="1"/>
  <c r="BE16" i="2" a="1"/>
  <c r="BE16" i="2" s="1"/>
  <c r="BD16" i="2" a="1"/>
  <c r="BD16" i="2" s="1"/>
  <c r="BC16" i="2" a="1"/>
  <c r="BC16" i="2" s="1"/>
  <c r="BB16" i="2" a="1"/>
  <c r="BB16" i="2" s="1"/>
  <c r="BA16" i="2" a="1"/>
  <c r="BA16" i="2" s="1"/>
  <c r="AZ16" i="2" a="1"/>
  <c r="AZ16" i="2" s="1"/>
  <c r="AY16" i="2" a="1"/>
  <c r="AY16" i="2" s="1"/>
  <c r="AX16" i="2" a="1"/>
  <c r="AX16" i="2" s="1"/>
  <c r="AW16" i="2" a="1"/>
  <c r="AW16" i="2" s="1"/>
  <c r="AV16" i="2" a="1"/>
  <c r="AV16" i="2" s="1"/>
  <c r="AU16" i="2" a="1"/>
  <c r="AU16" i="2" s="1"/>
  <c r="AT16" i="2" a="1"/>
  <c r="AT16" i="2" s="1"/>
  <c r="AS16" i="2" a="1"/>
  <c r="AS16" i="2" s="1"/>
  <c r="AR16" i="2" a="1"/>
  <c r="AR16" i="2" s="1"/>
  <c r="AQ16" i="2" a="1"/>
  <c r="AQ16" i="2" s="1"/>
  <c r="AP16" i="2" a="1"/>
  <c r="AP16" i="2" s="1"/>
  <c r="AO16" i="2" a="1"/>
  <c r="AO16" i="2" s="1"/>
  <c r="AN16" i="2" a="1"/>
  <c r="AN16" i="2" s="1"/>
  <c r="AM16" i="2" a="1"/>
  <c r="AM16" i="2" s="1"/>
  <c r="AL16" i="2" a="1"/>
  <c r="AL16" i="2" s="1"/>
  <c r="AK16" i="2" a="1"/>
  <c r="AK16" i="2" s="1"/>
  <c r="AJ16" i="2" a="1"/>
  <c r="AJ16" i="2" s="1"/>
  <c r="AI16" i="2" a="1"/>
  <c r="AI16" i="2" s="1"/>
  <c r="AH16" i="2" a="1"/>
  <c r="AH16" i="2" s="1"/>
  <c r="AG16" i="2" a="1"/>
  <c r="AG16" i="2" s="1"/>
  <c r="AF16" i="2" a="1"/>
  <c r="AF16" i="2" s="1"/>
  <c r="AE16" i="2" a="1"/>
  <c r="AE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W16" i="2" a="1"/>
  <c r="W16" i="2" s="1"/>
  <c r="V16" i="2" a="1"/>
  <c r="V16" i="2" s="1"/>
  <c r="U16" i="2" a="1"/>
  <c r="U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I16" i="2" a="1"/>
  <c r="I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Y15" i="2"/>
  <c r="CP15" i="2"/>
  <c r="CG15" i="2"/>
  <c r="BX15" i="2"/>
  <c r="BN15" i="2"/>
  <c r="CY14" i="2"/>
  <c r="CP14" i="2"/>
  <c r="CG14" i="2"/>
  <c r="BX14" i="2"/>
  <c r="BN14" i="2"/>
  <c r="CY13" i="2"/>
  <c r="CP13" i="2"/>
  <c r="CG13" i="2"/>
  <c r="BX13" i="2"/>
  <c r="BN13" i="2"/>
  <c r="CY12" i="2"/>
  <c r="CP12" i="2"/>
  <c r="CG12" i="2"/>
  <c r="BX12" i="2"/>
  <c r="BN12" i="2"/>
  <c r="CY11" i="2"/>
  <c r="CP11" i="2"/>
  <c r="CG11" i="2"/>
  <c r="BX11" i="2"/>
  <c r="BN11" i="2"/>
  <c r="CY10" i="2"/>
  <c r="CP10" i="2"/>
  <c r="CG10" i="2"/>
  <c r="BX10" i="2"/>
  <c r="BN10" i="2"/>
  <c r="CY9" i="2"/>
  <c r="CP9" i="2"/>
  <c r="CG9" i="2"/>
  <c r="BX9" i="2"/>
  <c r="BN9" i="2"/>
  <c r="CY8" i="2"/>
  <c r="CP8" i="2"/>
  <c r="CG8" i="2"/>
  <c r="BX8" i="2"/>
  <c r="BN8" i="2"/>
  <c r="CY7" i="2"/>
  <c r="CP7" i="2"/>
  <c r="CG7" i="2"/>
  <c r="BX7" i="2"/>
  <c r="BN7" i="2"/>
  <c r="CY6" i="2"/>
  <c r="CP6" i="2"/>
  <c r="CG6" i="2"/>
  <c r="BX6" i="2"/>
  <c r="BN6" i="2"/>
  <c r="CY5" i="2"/>
  <c r="CP5" i="2"/>
  <c r="CG5" i="2"/>
  <c r="BX5" i="2"/>
  <c r="BN5" i="2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G104" i="2" a="1"/>
  <c r="AI105" i="2" a="1"/>
  <c r="Y104" i="2" a="1"/>
  <c r="AD105" i="2" a="1"/>
  <c r="V104" i="2" a="1"/>
  <c r="AQ105" i="2" a="1"/>
  <c r="AM105" i="2" a="1"/>
  <c r="D105" i="2" a="1"/>
  <c r="AG104" i="2" a="1"/>
  <c r="I105" i="2" a="1"/>
  <c r="AW105" i="2" a="1"/>
  <c r="AU108" i="2" a="1"/>
  <c r="E105" i="2" a="1"/>
  <c r="L104" i="2" a="1"/>
  <c r="X105" i="2" a="1"/>
  <c r="L105" i="2" a="1"/>
  <c r="BA104" i="2" a="1"/>
  <c r="BG105" i="2" a="1"/>
  <c r="AO105" i="2" a="1"/>
  <c r="U105" i="2" a="1"/>
  <c r="AZ105" i="2" a="1"/>
  <c r="AS105" i="2" a="1"/>
  <c r="AX108" i="2" a="1"/>
  <c r="T105" i="2" a="1"/>
  <c r="AL105" i="2" a="1"/>
  <c r="H105" i="2" a="1"/>
  <c r="U104" i="2" a="1"/>
  <c r="H104" i="2" a="1"/>
  <c r="J104" i="2" a="1"/>
  <c r="AM104" i="2" a="1"/>
  <c r="AY104" i="2" a="1"/>
  <c r="AT104" i="2" a="1"/>
  <c r="AB105" i="2" a="1"/>
  <c r="AY105" i="2" a="1"/>
  <c r="AQ104" i="2" a="1"/>
  <c r="AN104" i="2" a="1"/>
  <c r="M108" i="2" a="1"/>
  <c r="E104" i="2" a="1"/>
  <c r="BA105" i="2" a="1"/>
  <c r="K105" i="2" a="1"/>
  <c r="BD104" i="2" a="1"/>
  <c r="AJ104" i="2" a="1"/>
  <c r="F104" i="2" a="1"/>
  <c r="T104" i="2" a="1"/>
  <c r="AK105" i="2" a="1"/>
  <c r="Q105" i="2" a="1"/>
  <c r="AP104" i="2" a="1"/>
  <c r="BD105" i="2" a="1"/>
  <c r="AF104" i="2" a="1"/>
  <c r="AB104" i="2" a="1"/>
  <c r="AU105" i="2" a="1"/>
  <c r="AV108" i="2" a="1"/>
  <c r="AE105" i="2" a="1"/>
  <c r="BG104" i="2" a="1"/>
  <c r="R105" i="2" a="1"/>
  <c r="AH104" i="2" a="1"/>
  <c r="AJ105" i="2" a="1"/>
  <c r="W105" i="2" a="1"/>
  <c r="I104" i="2" a="1"/>
  <c r="AX105" i="2" a="1"/>
  <c r="Z105" i="2" a="1"/>
  <c r="AA104" i="2" a="1"/>
  <c r="AR105" i="2" a="1"/>
  <c r="BE104" i="2" a="1"/>
  <c r="AK104" i="2" a="1"/>
  <c r="J105" i="2" a="1"/>
  <c r="B104" i="2" a="1"/>
  <c r="BB104" i="2" a="1"/>
  <c r="AA105" i="2" a="1"/>
  <c r="K104" i="2" a="1"/>
  <c r="Y69" i="2" a="1"/>
  <c r="O104" i="2" a="1"/>
  <c r="BC104" i="2" a="1"/>
  <c r="AT105" i="2" a="1"/>
  <c r="AI104" i="2" a="1"/>
  <c r="G105" i="2" a="1"/>
  <c r="X104" i="2" a="1"/>
  <c r="BH105" i="2" a="1"/>
  <c r="V105" i="2" a="1"/>
  <c r="BF105" i="2" a="1"/>
  <c r="BC105" i="2" a="1"/>
  <c r="AS104" i="2" a="1"/>
  <c r="W104" i="2" a="1"/>
  <c r="S105" i="2" a="1"/>
  <c r="N105" i="2" a="1"/>
  <c r="BB105" i="2" a="1"/>
  <c r="AC104" i="2" a="1"/>
  <c r="Y105" i="2" a="1"/>
  <c r="AF105" i="2" a="1"/>
  <c r="Z104" i="2" a="1"/>
  <c r="AL104" i="2" a="1"/>
  <c r="M105" i="2" a="1"/>
  <c r="Q104" i="2" a="1"/>
  <c r="BF104" i="2" a="1"/>
  <c r="AH105" i="2" a="1"/>
  <c r="BI105" i="2" a="1"/>
  <c r="C105" i="2" a="1"/>
  <c r="AZ104" i="2" a="1"/>
  <c r="AV105" i="2" a="1"/>
  <c r="AG105" i="2" a="1"/>
  <c r="O105" i="2" a="1"/>
  <c r="AO104" i="2" a="1"/>
  <c r="BH104" i="2" a="1"/>
  <c r="P104" i="2" a="1"/>
  <c r="AR104" i="2" a="1"/>
  <c r="P105" i="2" a="1"/>
  <c r="AW108" i="2" a="1"/>
  <c r="B105" i="2" a="1"/>
  <c r="BI104" i="2" a="1"/>
  <c r="R104" i="2" a="1"/>
  <c r="AD104" i="2" a="1"/>
  <c r="AC105" i="2" a="1"/>
  <c r="S104" i="2" a="1"/>
  <c r="BE105" i="2" a="1"/>
  <c r="AN105" i="2" a="1"/>
  <c r="D104" i="2" a="1"/>
  <c r="AE104" i="2" a="1"/>
  <c r="F105" i="2" a="1"/>
  <c r="C104" i="2" a="1"/>
  <c r="N104" i="2" a="1"/>
  <c r="AP105" i="2" a="1"/>
  <c r="BG8" i="9" l="1"/>
  <c r="AZ22" i="9" s="1"/>
  <c r="AQ8" i="9"/>
  <c r="AQ22" i="9" s="1"/>
  <c r="AA8" i="9"/>
  <c r="AA22" i="9" s="1"/>
  <c r="K8" i="9"/>
  <c r="S8" i="9"/>
  <c r="S22" i="9" s="1"/>
  <c r="BF8" i="9"/>
  <c r="BB22" i="9" s="1"/>
  <c r="AP8" i="9"/>
  <c r="AP22" i="9" s="1"/>
  <c r="Z8" i="9"/>
  <c r="Z22" i="9" s="1"/>
  <c r="J8" i="9"/>
  <c r="J22" i="9" s="1"/>
  <c r="BE8" i="9"/>
  <c r="BH22" i="9" s="1"/>
  <c r="AO8" i="9"/>
  <c r="AO22" i="9" s="1"/>
  <c r="Y8" i="9"/>
  <c r="Y22" i="9" s="1"/>
  <c r="I8" i="9"/>
  <c r="I22" i="9" s="1"/>
  <c r="BD8" i="9"/>
  <c r="BG22" i="9" s="1"/>
  <c r="AN8" i="9"/>
  <c r="AN22" i="9" s="1"/>
  <c r="X8" i="9"/>
  <c r="X22" i="9" s="1"/>
  <c r="H8" i="9"/>
  <c r="H22" i="9" s="1"/>
  <c r="AK8" i="9"/>
  <c r="AK22" i="9" s="1"/>
  <c r="U8" i="9"/>
  <c r="U22" i="9" s="1"/>
  <c r="AZ8" i="9"/>
  <c r="BC22" i="9" s="1"/>
  <c r="AJ8" i="9"/>
  <c r="AJ22" i="9" s="1"/>
  <c r="T8" i="9"/>
  <c r="T22" i="9" s="1"/>
  <c r="D8" i="9"/>
  <c r="D22" i="9" s="1"/>
  <c r="AI8" i="9"/>
  <c r="AI22" i="9" s="1"/>
  <c r="C8" i="9"/>
  <c r="C22" i="9" s="1"/>
  <c r="BC8" i="9"/>
  <c r="BF22" i="9" s="1"/>
  <c r="AM8" i="9"/>
  <c r="AM22" i="9" s="1"/>
  <c r="W8" i="9"/>
  <c r="W22" i="9" s="1"/>
  <c r="G8" i="9"/>
  <c r="G22" i="9" s="1"/>
  <c r="BB8" i="9"/>
  <c r="BE22" i="9" s="1"/>
  <c r="AL8" i="9"/>
  <c r="AL22" i="9" s="1"/>
  <c r="V8" i="9"/>
  <c r="V22" i="9" s="1"/>
  <c r="F8" i="9"/>
  <c r="F22" i="9" s="1"/>
  <c r="BA8" i="9"/>
  <c r="BD22" i="9" s="1"/>
  <c r="E8" i="9"/>
  <c r="E22" i="9" s="1"/>
  <c r="AY8" i="9"/>
  <c r="AY22" i="9" s="1"/>
  <c r="AU8" i="9"/>
  <c r="AU22" i="9" s="1"/>
  <c r="AE8" i="9"/>
  <c r="AE22" i="9" s="1"/>
  <c r="O8" i="9"/>
  <c r="O22" i="9" s="1"/>
  <c r="BJ8" i="9"/>
  <c r="BJ22" i="9" s="1"/>
  <c r="AT8" i="9"/>
  <c r="AT22" i="9" s="1"/>
  <c r="AD8" i="9"/>
  <c r="AD22" i="9" s="1"/>
  <c r="N8" i="9"/>
  <c r="N22" i="9" s="1"/>
  <c r="R8" i="9"/>
  <c r="R22" i="9" s="1"/>
  <c r="AH8" i="9"/>
  <c r="AH22" i="9" s="1"/>
  <c r="Q8" i="9"/>
  <c r="Q22" i="9" s="1"/>
  <c r="M8" i="9"/>
  <c r="M22" i="9" s="1"/>
  <c r="P8" i="9"/>
  <c r="P22" i="9" s="1"/>
  <c r="AB8" i="9"/>
  <c r="AB22" i="9" s="1"/>
  <c r="BI8" i="9"/>
  <c r="L8" i="9"/>
  <c r="L22" i="9" s="1"/>
  <c r="AS8" i="9"/>
  <c r="AS22" i="9" s="1"/>
  <c r="AR8" i="9"/>
  <c r="AR22" i="9" s="1"/>
  <c r="AF8" i="9"/>
  <c r="AF22" i="9" s="1"/>
  <c r="AC8" i="9"/>
  <c r="AC22" i="9" s="1"/>
  <c r="BH8" i="9"/>
  <c r="BA22" i="9" s="1"/>
  <c r="AX8" i="9"/>
  <c r="AX22" i="9" s="1"/>
  <c r="AW8" i="9"/>
  <c r="AW22" i="9" s="1"/>
  <c r="AV8" i="9"/>
  <c r="AV22" i="9" s="1"/>
  <c r="AG8" i="9"/>
  <c r="AU9" i="9"/>
  <c r="AU23" i="9" s="1"/>
  <c r="AE9" i="9"/>
  <c r="AE23" i="9" s="1"/>
  <c r="O9" i="9"/>
  <c r="O23" i="9" s="1"/>
  <c r="BJ9" i="9"/>
  <c r="BJ23" i="9" s="1"/>
  <c r="AT9" i="9"/>
  <c r="AT23" i="9" s="1"/>
  <c r="AD9" i="9"/>
  <c r="AD23" i="9" s="1"/>
  <c r="N9" i="9"/>
  <c r="N23" i="9" s="1"/>
  <c r="BI9" i="9"/>
  <c r="AS9" i="9"/>
  <c r="AS23" i="9" s="1"/>
  <c r="AC9" i="9"/>
  <c r="AC23" i="9" s="1"/>
  <c r="M9" i="9"/>
  <c r="M23" i="9" s="1"/>
  <c r="BH9" i="9"/>
  <c r="BA23" i="9" s="1"/>
  <c r="AR9" i="9"/>
  <c r="AR23" i="9" s="1"/>
  <c r="AB9" i="9"/>
  <c r="AB23" i="9" s="1"/>
  <c r="L9" i="9"/>
  <c r="L23" i="9" s="1"/>
  <c r="AO9" i="9"/>
  <c r="AO23" i="9" s="1"/>
  <c r="Y9" i="9"/>
  <c r="Y23" i="9" s="1"/>
  <c r="I9" i="9"/>
  <c r="I23" i="9" s="1"/>
  <c r="BD9" i="9"/>
  <c r="AN9" i="9"/>
  <c r="AN23" i="9" s="1"/>
  <c r="X9" i="9"/>
  <c r="X23" i="9" s="1"/>
  <c r="H9" i="9"/>
  <c r="H23" i="9" s="1"/>
  <c r="AM9" i="9"/>
  <c r="AM23" i="9" s="1"/>
  <c r="W9" i="9"/>
  <c r="W23" i="9" s="1"/>
  <c r="BG9" i="9"/>
  <c r="AQ9" i="9"/>
  <c r="AQ23" i="9" s="1"/>
  <c r="AA9" i="9"/>
  <c r="AA23" i="9" s="1"/>
  <c r="K9" i="9"/>
  <c r="K23" i="9" s="1"/>
  <c r="G9" i="9"/>
  <c r="G23" i="9" s="1"/>
  <c r="BF9" i="9"/>
  <c r="AP9" i="9"/>
  <c r="AP23" i="9" s="1"/>
  <c r="Z9" i="9"/>
  <c r="Z23" i="9" s="1"/>
  <c r="J9" i="9"/>
  <c r="J23" i="9" s="1"/>
  <c r="BE9" i="9"/>
  <c r="BC9" i="9"/>
  <c r="BF23" i="9" s="1"/>
  <c r="AY9" i="9"/>
  <c r="AY23" i="9" s="1"/>
  <c r="AI9" i="9"/>
  <c r="AI23" i="9" s="1"/>
  <c r="S9" i="9"/>
  <c r="S23" i="9" s="1"/>
  <c r="C9" i="9"/>
  <c r="C23" i="9" s="1"/>
  <c r="AX9" i="9"/>
  <c r="AX23" i="9" s="1"/>
  <c r="AH9" i="9"/>
  <c r="AH23" i="9" s="1"/>
  <c r="R9" i="9"/>
  <c r="R23" i="9" s="1"/>
  <c r="P9" i="9"/>
  <c r="P23" i="9" s="1"/>
  <c r="BA9" i="9"/>
  <c r="BD23" i="9" s="1"/>
  <c r="D9" i="9"/>
  <c r="D23" i="9" s="1"/>
  <c r="U9" i="9"/>
  <c r="U23" i="9" s="1"/>
  <c r="F9" i="9"/>
  <c r="F23" i="9" s="1"/>
  <c r="BB9" i="9"/>
  <c r="BE23" i="9" s="1"/>
  <c r="E9" i="9"/>
  <c r="E23" i="9" s="1"/>
  <c r="AZ9" i="9"/>
  <c r="BC23" i="9" s="1"/>
  <c r="AV9" i="9"/>
  <c r="AV23" i="9" s="1"/>
  <c r="AF9" i="9"/>
  <c r="AF23" i="9" s="1"/>
  <c r="V9" i="9"/>
  <c r="V23" i="9" s="1"/>
  <c r="AW9" i="9"/>
  <c r="AW23" i="9" s="1"/>
  <c r="AL9" i="9"/>
  <c r="AL23" i="9" s="1"/>
  <c r="AK9" i="9"/>
  <c r="AK23" i="9" s="1"/>
  <c r="AJ9" i="9"/>
  <c r="AJ23" i="9" s="1"/>
  <c r="AG9" i="9"/>
  <c r="AG23" i="9" s="1"/>
  <c r="T9" i="9"/>
  <c r="T23" i="9" s="1"/>
  <c r="Q9" i="9"/>
  <c r="Q23" i="9" s="1"/>
  <c r="AZ17" i="2"/>
  <c r="AY17" i="2"/>
  <c r="AX17" i="2"/>
  <c r="AW17" i="2"/>
  <c r="AV17" i="2"/>
  <c r="AU17" i="2"/>
  <c r="AT17" i="2"/>
  <c r="BO5" i="2" s="1" a="1"/>
  <c r="BO5" i="8" a="1"/>
  <c r="BT63" i="8" s="1"/>
  <c r="C19" i="7"/>
  <c r="C40" i="7" s="1"/>
  <c r="BJ19" i="7"/>
  <c r="BJ40" i="7" s="1"/>
  <c r="BI19" i="7"/>
  <c r="BH19" i="7"/>
  <c r="BA40" i="7" s="1"/>
  <c r="BG19" i="7"/>
  <c r="BF19" i="7"/>
  <c r="BE19" i="7"/>
  <c r="BD19" i="7"/>
  <c r="BC19" i="7"/>
  <c r="BF40" i="7" s="1"/>
  <c r="BB19" i="7"/>
  <c r="BE40" i="7" s="1"/>
  <c r="BA19" i="7"/>
  <c r="BD40" i="7" s="1"/>
  <c r="AZ19" i="7"/>
  <c r="BC40" i="7" s="1"/>
  <c r="AY19" i="7"/>
  <c r="AY40" i="7" s="1"/>
  <c r="AX19" i="7"/>
  <c r="AX40" i="7" s="1"/>
  <c r="AW19" i="7"/>
  <c r="AW40" i="7" s="1"/>
  <c r="AV19" i="7"/>
  <c r="AV40" i="7" s="1"/>
  <c r="AU19" i="7"/>
  <c r="AU40" i="7" s="1"/>
  <c r="AT19" i="7"/>
  <c r="AT40" i="7" s="1"/>
  <c r="AS19" i="7"/>
  <c r="AS40" i="7" s="1"/>
  <c r="AR19" i="7"/>
  <c r="AR40" i="7" s="1"/>
  <c r="AQ19" i="7"/>
  <c r="AQ40" i="7" s="1"/>
  <c r="AP19" i="7"/>
  <c r="AP40" i="7" s="1"/>
  <c r="AO19" i="7"/>
  <c r="AO40" i="7" s="1"/>
  <c r="AN19" i="7"/>
  <c r="AN40" i="7" s="1"/>
  <c r="AM19" i="7"/>
  <c r="AM40" i="7" s="1"/>
  <c r="AL19" i="7"/>
  <c r="AL40" i="7" s="1"/>
  <c r="AK19" i="7"/>
  <c r="AK40" i="7" s="1"/>
  <c r="AJ19" i="7"/>
  <c r="AJ40" i="7" s="1"/>
  <c r="AI19" i="7"/>
  <c r="AI40" i="7" s="1"/>
  <c r="AH19" i="7"/>
  <c r="AH40" i="7" s="1"/>
  <c r="AG19" i="7"/>
  <c r="AG40" i="7" s="1"/>
  <c r="AF19" i="7"/>
  <c r="AF40" i="7" s="1"/>
  <c r="AE19" i="7"/>
  <c r="AE40" i="7" s="1"/>
  <c r="AD19" i="7"/>
  <c r="AD40" i="7" s="1"/>
  <c r="AC19" i="7"/>
  <c r="AC40" i="7" s="1"/>
  <c r="AB19" i="7"/>
  <c r="AB40" i="7" s="1"/>
  <c r="AA19" i="7"/>
  <c r="AA40" i="7" s="1"/>
  <c r="Z19" i="7"/>
  <c r="Z40" i="7" s="1"/>
  <c r="Y19" i="7"/>
  <c r="Y40" i="7" s="1"/>
  <c r="X19" i="7"/>
  <c r="X40" i="7" s="1"/>
  <c r="W19" i="7"/>
  <c r="W40" i="7" s="1"/>
  <c r="V19" i="7"/>
  <c r="V40" i="7" s="1"/>
  <c r="U19" i="7"/>
  <c r="U40" i="7" s="1"/>
  <c r="T19" i="7"/>
  <c r="T40" i="7" s="1"/>
  <c r="S19" i="7"/>
  <c r="S40" i="7" s="1"/>
  <c r="R19" i="7"/>
  <c r="R40" i="7" s="1"/>
  <c r="Q19" i="7"/>
  <c r="Q40" i="7" s="1"/>
  <c r="P19" i="7"/>
  <c r="P40" i="7" s="1"/>
  <c r="O19" i="7"/>
  <c r="O40" i="7" s="1"/>
  <c r="N19" i="7"/>
  <c r="N40" i="7" s="1"/>
  <c r="M19" i="7"/>
  <c r="M40" i="7" s="1"/>
  <c r="L19" i="7"/>
  <c r="L40" i="7" s="1"/>
  <c r="K19" i="7"/>
  <c r="K40" i="7" s="1"/>
  <c r="J19" i="7"/>
  <c r="J40" i="7" s="1"/>
  <c r="I19" i="7"/>
  <c r="I40" i="7" s="1"/>
  <c r="H19" i="7"/>
  <c r="H40" i="7" s="1"/>
  <c r="G19" i="7"/>
  <c r="G40" i="7" s="1"/>
  <c r="F19" i="7"/>
  <c r="F40" i="7" s="1"/>
  <c r="E19" i="7"/>
  <c r="E40" i="7" s="1"/>
  <c r="D19" i="7"/>
  <c r="D40" i="7" s="1"/>
  <c r="BL3" i="7" s="1" a="1"/>
  <c r="BL2" i="1" a="1"/>
  <c r="BL2" i="1" s="1"/>
  <c r="X23" i="2"/>
  <c r="E42" i="2"/>
  <c r="L24" i="2"/>
  <c r="B83" i="2"/>
  <c r="A65" i="2" s="1"/>
  <c r="R104" i="2"/>
  <c r="BF104" i="2"/>
  <c r="AN105" i="2"/>
  <c r="S104" i="2"/>
  <c r="BG104" i="2"/>
  <c r="AT105" i="2"/>
  <c r="X104" i="2"/>
  <c r="D105" i="2"/>
  <c r="AZ105" i="2"/>
  <c r="Y104" i="2"/>
  <c r="E105" i="2"/>
  <c r="BF105" i="2"/>
  <c r="AD104" i="2"/>
  <c r="J105" i="2"/>
  <c r="AE104" i="2"/>
  <c r="K105" i="2"/>
  <c r="AJ104" i="2"/>
  <c r="P105" i="2"/>
  <c r="AK104" i="2"/>
  <c r="Q105" i="2"/>
  <c r="E104" i="2"/>
  <c r="AP104" i="2"/>
  <c r="V105" i="2"/>
  <c r="F104" i="2"/>
  <c r="AQ104" i="2"/>
  <c r="W105" i="2"/>
  <c r="K104" i="2"/>
  <c r="AZ104" i="2"/>
  <c r="AB105" i="2"/>
  <c r="L104" i="2"/>
  <c r="BA104" i="2"/>
  <c r="AH105" i="2"/>
  <c r="AC105" i="2"/>
  <c r="AI105" i="2"/>
  <c r="AO105" i="2"/>
  <c r="AU105" i="2"/>
  <c r="BA105" i="2"/>
  <c r="BG105" i="2"/>
  <c r="AU108" i="2"/>
  <c r="Y69" i="2"/>
  <c r="G104" i="2"/>
  <c r="N104" i="2"/>
  <c r="T104" i="2"/>
  <c r="Z104" i="2"/>
  <c r="AF104" i="2"/>
  <c r="AL104" i="2"/>
  <c r="AR104" i="2"/>
  <c r="BB104" i="2"/>
  <c r="BH104" i="2"/>
  <c r="F105" i="2"/>
  <c r="L105" i="2"/>
  <c r="R105" i="2"/>
  <c r="X105" i="2"/>
  <c r="AD105" i="2"/>
  <c r="AJ105" i="2"/>
  <c r="AP105" i="2"/>
  <c r="AV105" i="2"/>
  <c r="BB105" i="2"/>
  <c r="BH105" i="2"/>
  <c r="AV108" i="2"/>
  <c r="B104" i="2"/>
  <c r="H104" i="2"/>
  <c r="O104" i="2"/>
  <c r="U104" i="2"/>
  <c r="AA104" i="2"/>
  <c r="AG104" i="2"/>
  <c r="AM104" i="2"/>
  <c r="AS104" i="2"/>
  <c r="BC104" i="2"/>
  <c r="BI104" i="2"/>
  <c r="G105" i="2"/>
  <c r="M105" i="2"/>
  <c r="S105" i="2"/>
  <c r="Y105" i="2"/>
  <c r="AE105" i="2"/>
  <c r="AK105" i="2"/>
  <c r="AQ105" i="2"/>
  <c r="AW105" i="2"/>
  <c r="BC105" i="2"/>
  <c r="BI105" i="2"/>
  <c r="M108" i="2"/>
  <c r="AW108" i="2"/>
  <c r="C104" i="2"/>
  <c r="I104" i="2"/>
  <c r="P104" i="2"/>
  <c r="V104" i="2"/>
  <c r="AB104" i="2"/>
  <c r="AH104" i="2"/>
  <c r="AN104" i="2"/>
  <c r="AT104" i="2"/>
  <c r="BD104" i="2"/>
  <c r="B105" i="2"/>
  <c r="H105" i="2"/>
  <c r="N105" i="2"/>
  <c r="T105" i="2"/>
  <c r="Z105" i="2"/>
  <c r="AF105" i="2"/>
  <c r="AL105" i="2"/>
  <c r="AR105" i="2"/>
  <c r="AX105" i="2"/>
  <c r="BD105" i="2"/>
  <c r="AX108" i="2"/>
  <c r="D104" i="2"/>
  <c r="J104" i="2"/>
  <c r="Q104" i="2"/>
  <c r="W104" i="2"/>
  <c r="AC104" i="2"/>
  <c r="AI104" i="2"/>
  <c r="AO104" i="2"/>
  <c r="AY104" i="2"/>
  <c r="BE104" i="2"/>
  <c r="C105" i="2"/>
  <c r="I105" i="2"/>
  <c r="O105" i="2"/>
  <c r="U105" i="2"/>
  <c r="AA105" i="2"/>
  <c r="AG105" i="2"/>
  <c r="AM105" i="2"/>
  <c r="AS105" i="2"/>
  <c r="AY105" i="2"/>
  <c r="BE105" i="2"/>
  <c r="E65" i="2"/>
  <c r="BD24" i="2"/>
  <c r="AR24" i="2"/>
  <c r="V24" i="2"/>
  <c r="J24" i="2"/>
  <c r="BD23" i="2"/>
  <c r="AR23" i="2"/>
  <c r="V23" i="2"/>
  <c r="J23" i="2"/>
  <c r="BC24" i="2"/>
  <c r="AQ24" i="2"/>
  <c r="U24" i="2"/>
  <c r="I24" i="2"/>
  <c r="BC23" i="2"/>
  <c r="AQ23" i="2"/>
  <c r="U23" i="2"/>
  <c r="I23" i="2"/>
  <c r="BB24" i="2"/>
  <c r="AP24" i="2"/>
  <c r="T24" i="2"/>
  <c r="H24" i="2"/>
  <c r="BB23" i="2"/>
  <c r="AP23" i="2"/>
  <c r="T23" i="2"/>
  <c r="H23" i="2"/>
  <c r="BA24" i="2"/>
  <c r="AO24" i="2"/>
  <c r="S24" i="2"/>
  <c r="G24" i="2"/>
  <c r="BA23" i="2"/>
  <c r="AO23" i="2"/>
  <c r="S23" i="2"/>
  <c r="G23" i="2"/>
  <c r="AZ24" i="2"/>
  <c r="AN24" i="2"/>
  <c r="R24" i="2"/>
  <c r="F24" i="2"/>
  <c r="AZ23" i="2"/>
  <c r="AN23" i="2"/>
  <c r="R23" i="2"/>
  <c r="F23" i="2"/>
  <c r="BK24" i="2"/>
  <c r="AY24" i="2"/>
  <c r="AM24" i="2"/>
  <c r="Q24" i="2"/>
  <c r="E24" i="2"/>
  <c r="BK23" i="2"/>
  <c r="AY23" i="2"/>
  <c r="AM23" i="2"/>
  <c r="Q23" i="2"/>
  <c r="E23" i="2"/>
  <c r="BJ24" i="2"/>
  <c r="AX24" i="2"/>
  <c r="AL24" i="2"/>
  <c r="P24" i="2"/>
  <c r="D24" i="2"/>
  <c r="BJ23" i="2"/>
  <c r="AX23" i="2"/>
  <c r="AL23" i="2"/>
  <c r="P23" i="2"/>
  <c r="D23" i="2"/>
  <c r="AF38" i="2"/>
  <c r="BI24" i="2"/>
  <c r="AW24" i="2"/>
  <c r="AA24" i="2"/>
  <c r="O24" i="2"/>
  <c r="C24" i="2"/>
  <c r="BI23" i="2"/>
  <c r="AW23" i="2"/>
  <c r="AA23" i="2"/>
  <c r="O23" i="2"/>
  <c r="C23" i="2"/>
  <c r="BH24" i="2"/>
  <c r="AF41" i="2"/>
  <c r="Y23" i="2"/>
  <c r="M24" i="2"/>
  <c r="BG24" i="2"/>
  <c r="Z23" i="2"/>
  <c r="N24" i="2"/>
  <c r="E41" i="2"/>
  <c r="AS23" i="2"/>
  <c r="W24" i="2"/>
  <c r="AT23" i="2"/>
  <c r="X24" i="2"/>
  <c r="E53" i="2"/>
  <c r="AF42" i="2"/>
  <c r="AE42" i="2" s="1"/>
  <c r="AU23" i="2"/>
  <c r="Y24" i="2"/>
  <c r="B23" i="2"/>
  <c r="AV23" i="2"/>
  <c r="Z24" i="2"/>
  <c r="K23" i="2"/>
  <c r="BE23" i="2"/>
  <c r="AS24" i="2"/>
  <c r="BT64" i="2"/>
  <c r="L23" i="2"/>
  <c r="BF23" i="2"/>
  <c r="AT24" i="2"/>
  <c r="M23" i="2"/>
  <c r="BG23" i="2"/>
  <c r="AU24" i="2"/>
  <c r="N23" i="2"/>
  <c r="BH23" i="2"/>
  <c r="B24" i="2"/>
  <c r="AV24" i="2"/>
  <c r="W23" i="2"/>
  <c r="K24" i="2"/>
  <c r="BE24" i="2"/>
  <c r="B36" i="2"/>
  <c r="BE41" i="2"/>
  <c r="BE42" i="2"/>
  <c r="BD42" i="2" s="1"/>
  <c r="B94" i="2"/>
  <c r="A75" i="2" s="1"/>
  <c r="B93" i="2"/>
  <c r="B80" i="2"/>
  <c r="B33" i="1"/>
  <c r="C36" i="1" s="1"/>
  <c r="C35" i="1"/>
  <c r="B17" i="1"/>
  <c r="N108" i="2" a="1"/>
  <c r="AJ108" i="2" a="1"/>
  <c r="BA108" i="2" a="1"/>
  <c r="Z108" i="2" a="1"/>
  <c r="AA108" i="2" a="1"/>
  <c r="BC108" i="2" a="1"/>
  <c r="BG108" i="2" a="1"/>
  <c r="T108" i="2" a="1"/>
  <c r="H108" i="2" a="1"/>
  <c r="I108" i="2" a="1"/>
  <c r="AT108" i="2" a="1"/>
  <c r="BD108" i="2" a="1"/>
  <c r="B108" i="2" a="1"/>
  <c r="J108" i="2" a="1"/>
  <c r="P108" i="2" a="1"/>
  <c r="AN108" i="2" a="1"/>
  <c r="AO108" i="2" a="1"/>
  <c r="AE108" i="2" a="1"/>
  <c r="AF108" i="2" a="1"/>
  <c r="D108" i="2" a="1"/>
  <c r="X108" i="2" a="1"/>
  <c r="AQ108" i="2" a="1"/>
  <c r="Q108" i="2" a="1"/>
  <c r="AS108" i="2" a="1"/>
  <c r="V108" i="2" a="1"/>
  <c r="AC108" i="2" a="1"/>
  <c r="BI108" i="2" a="1"/>
  <c r="BH108" i="2" a="1"/>
  <c r="AD108" i="2" a="1"/>
  <c r="AB108" i="2" a="1"/>
  <c r="BE108" i="2" a="1"/>
  <c r="BF108" i="2" a="1"/>
  <c r="BB108" i="2" a="1"/>
  <c r="U108" i="2" a="1"/>
  <c r="G108" i="2" a="1"/>
  <c r="AZ108" i="2" a="1"/>
  <c r="S108" i="2" a="1"/>
  <c r="AK108" i="2" a="1"/>
  <c r="AG108" i="2" a="1"/>
  <c r="R108" i="2" a="1"/>
  <c r="AL108" i="2" a="1"/>
  <c r="E108" i="2" a="1"/>
  <c r="W108" i="2" a="1"/>
  <c r="L108" i="2" a="1"/>
  <c r="AR108" i="2" a="1"/>
  <c r="F108" i="2" a="1"/>
  <c r="AP108" i="2" a="1"/>
  <c r="C108" i="2" a="1"/>
  <c r="AM108" i="2" a="1"/>
  <c r="AI108" i="2" a="1"/>
  <c r="AH108" i="2" a="1"/>
  <c r="AY108" i="2" a="1"/>
  <c r="O108" i="2" a="1"/>
  <c r="Y108" i="2" a="1"/>
  <c r="K108" i="2" a="1"/>
  <c r="BL26" i="9" l="1" a="1"/>
  <c r="BL26" i="9" s="1"/>
  <c r="BT30" i="2"/>
  <c r="BT63" i="2"/>
  <c r="BL3" i="7"/>
  <c r="BT6" i="8"/>
  <c r="BV6" i="8"/>
  <c r="BT7" i="8"/>
  <c r="BV7" i="8"/>
  <c r="BT8" i="8"/>
  <c r="BV8" i="8"/>
  <c r="BT9" i="8"/>
  <c r="BV9" i="8"/>
  <c r="BT10" i="8"/>
  <c r="BV10" i="8"/>
  <c r="BT11" i="8"/>
  <c r="BV11" i="8"/>
  <c r="BT12" i="8"/>
  <c r="BV12" i="8"/>
  <c r="BT13" i="8"/>
  <c r="BV13" i="8"/>
  <c r="BT14" i="8"/>
  <c r="BV14" i="8"/>
  <c r="BT15" i="8"/>
  <c r="BV15" i="8"/>
  <c r="BT34" i="8"/>
  <c r="BV34" i="8"/>
  <c r="BT35" i="8"/>
  <c r="BV61" i="8"/>
  <c r="BT62" i="8"/>
  <c r="BV62" i="8"/>
  <c r="BV35" i="8"/>
  <c r="BT61" i="8"/>
  <c r="CZ5" i="8" s="1" a="1"/>
  <c r="CZ5" i="8" s="1"/>
  <c r="BV60" i="8"/>
  <c r="BT60" i="8"/>
  <c r="BV59" i="8"/>
  <c r="BT59" i="8"/>
  <c r="BV58" i="8"/>
  <c r="BT58" i="8"/>
  <c r="BV57" i="8"/>
  <c r="BT57" i="8"/>
  <c r="BV23" i="8"/>
  <c r="BT21" i="8"/>
  <c r="BV56" i="8"/>
  <c r="BT56" i="8"/>
  <c r="BV55" i="8"/>
  <c r="BT55" i="8"/>
  <c r="BV54" i="8"/>
  <c r="BT54" i="8"/>
  <c r="BV53" i="8"/>
  <c r="BT53" i="8"/>
  <c r="BV52" i="8"/>
  <c r="BT52" i="8"/>
  <c r="BV51" i="8"/>
  <c r="BV27" i="8"/>
  <c r="BT51" i="8"/>
  <c r="BV50" i="8"/>
  <c r="BO5" i="8"/>
  <c r="BV33" i="8"/>
  <c r="BV49" i="8"/>
  <c r="BT49" i="8"/>
  <c r="BV48" i="8"/>
  <c r="BT48" i="8"/>
  <c r="BV47" i="8"/>
  <c r="BT47" i="8"/>
  <c r="BT50" i="8"/>
  <c r="BV46" i="8"/>
  <c r="BT46" i="8"/>
  <c r="BV45" i="8"/>
  <c r="BT45" i="8"/>
  <c r="BV44" i="8"/>
  <c r="BT44" i="8"/>
  <c r="BV43" i="8"/>
  <c r="BT43" i="8"/>
  <c r="BV42" i="8"/>
  <c r="BT42" i="8"/>
  <c r="BV41" i="8"/>
  <c r="BT41" i="8"/>
  <c r="BV40" i="8"/>
  <c r="BT40" i="8"/>
  <c r="BV39" i="8"/>
  <c r="BT39" i="8"/>
  <c r="BV38" i="8"/>
  <c r="BT38" i="8"/>
  <c r="BV37" i="8"/>
  <c r="BT37" i="8"/>
  <c r="BV36" i="8"/>
  <c r="BT16" i="8"/>
  <c r="BV16" i="8"/>
  <c r="BT17" i="8"/>
  <c r="BV17" i="8"/>
  <c r="BT18" i="8"/>
  <c r="BV18" i="8"/>
  <c r="BT19" i="8"/>
  <c r="BV19" i="8"/>
  <c r="BT20" i="8"/>
  <c r="BV20" i="8"/>
  <c r="BV21" i="8"/>
  <c r="BT22" i="8"/>
  <c r="BV22" i="8"/>
  <c r="BT23" i="8"/>
  <c r="BT24" i="8"/>
  <c r="BV24" i="8"/>
  <c r="BT25" i="8"/>
  <c r="BV25" i="8"/>
  <c r="BT26" i="8"/>
  <c r="BV26" i="8"/>
  <c r="BT27" i="8"/>
  <c r="BT36" i="8"/>
  <c r="BT28" i="8"/>
  <c r="BV28" i="8"/>
  <c r="BT29" i="8"/>
  <c r="BV29" i="8"/>
  <c r="BT30" i="8"/>
  <c r="BV30" i="8"/>
  <c r="BT31" i="8"/>
  <c r="BV31" i="8"/>
  <c r="BT32" i="8"/>
  <c r="BT33" i="8"/>
  <c r="AX48" i="2"/>
  <c r="AV48" i="2"/>
  <c r="AP48" i="2"/>
  <c r="AJ48" i="2"/>
  <c r="X48" i="2"/>
  <c r="BF48" i="2"/>
  <c r="AC48" i="2"/>
  <c r="I48" i="2"/>
  <c r="BE48" i="2"/>
  <c r="AN48" i="2"/>
  <c r="BD48" i="2"/>
  <c r="C48" i="2"/>
  <c r="AK48" i="2"/>
  <c r="Q48" i="2"/>
  <c r="M48" i="2"/>
  <c r="AE48" i="2"/>
  <c r="V48" i="2"/>
  <c r="W48" i="2"/>
  <c r="AO48" i="2"/>
  <c r="D42" i="2"/>
  <c r="E48" i="2"/>
  <c r="BC40" i="1"/>
  <c r="BD40" i="1"/>
  <c r="BE40" i="1"/>
  <c r="BF40" i="1"/>
  <c r="BG40" i="1"/>
  <c r="AZ40" i="1"/>
  <c r="BA40" i="1"/>
  <c r="BB40" i="1"/>
  <c r="BJ40" i="1"/>
  <c r="BG41" i="1"/>
  <c r="BJ41" i="1"/>
  <c r="AZ41" i="1"/>
  <c r="BA41" i="1"/>
  <c r="BB41" i="1"/>
  <c r="BD41" i="1"/>
  <c r="BE41" i="1"/>
  <c r="BC41" i="1"/>
  <c r="BF41" i="1"/>
  <c r="BT14" i="2"/>
  <c r="BT31" i="2"/>
  <c r="BT28" i="2"/>
  <c r="BT13" i="2"/>
  <c r="BO5" i="2"/>
  <c r="BV5" i="2" s="1"/>
  <c r="BT16" i="2"/>
  <c r="BT10" i="2"/>
  <c r="BT9" i="2"/>
  <c r="BT38" i="2"/>
  <c r="BT39" i="2"/>
  <c r="BT41" i="2"/>
  <c r="BT50" i="2"/>
  <c r="BT56" i="2"/>
  <c r="BT11" i="2"/>
  <c r="BT29" i="2"/>
  <c r="BT19" i="2"/>
  <c r="BT21" i="2"/>
  <c r="BT32" i="2"/>
  <c r="BT61" i="2"/>
  <c r="BT8" i="2"/>
  <c r="BT43" i="2"/>
  <c r="BT55" i="2"/>
  <c r="BT6" i="2"/>
  <c r="BT47" i="2"/>
  <c r="BT36" i="2"/>
  <c r="BT48" i="2"/>
  <c r="BT34" i="2"/>
  <c r="BT20" i="2"/>
  <c r="BT25" i="2"/>
  <c r="BT26" i="2"/>
  <c r="BT42" i="2"/>
  <c r="BT33" i="2"/>
  <c r="BT27" i="2"/>
  <c r="BT22" i="2"/>
  <c r="BT49" i="2"/>
  <c r="BT12" i="2"/>
  <c r="BT23" i="2"/>
  <c r="BT18" i="2"/>
  <c r="BT17" i="2"/>
  <c r="BT15" i="2"/>
  <c r="BT35" i="2"/>
  <c r="BT44" i="2"/>
  <c r="BT52" i="2"/>
  <c r="R48" i="2"/>
  <c r="BT37" i="2"/>
  <c r="BT45" i="2"/>
  <c r="BT24" i="2"/>
  <c r="O48" i="2"/>
  <c r="BI48" i="2"/>
  <c r="AD48" i="2"/>
  <c r="BT60" i="2"/>
  <c r="BT59" i="2"/>
  <c r="AI48" i="2"/>
  <c r="AB48" i="2"/>
  <c r="BB48" i="2"/>
  <c r="BT57" i="2"/>
  <c r="S48" i="2"/>
  <c r="AS48" i="2"/>
  <c r="BT46" i="2"/>
  <c r="BT54" i="2"/>
  <c r="BT53" i="2"/>
  <c r="BT62" i="2"/>
  <c r="BV6" i="2"/>
  <c r="BT51" i="2"/>
  <c r="BT7" i="2"/>
  <c r="BT58" i="2"/>
  <c r="P48" i="2"/>
  <c r="G48" i="2"/>
  <c r="B48" i="2"/>
  <c r="BT40" i="2"/>
  <c r="BA48" i="2"/>
  <c r="AR48" i="2"/>
  <c r="AL48" i="2"/>
  <c r="L48" i="2"/>
  <c r="AZ48" i="2"/>
  <c r="U48" i="2"/>
  <c r="AA48" i="2"/>
  <c r="AT48" i="2"/>
  <c r="F48" i="2"/>
  <c r="BV26" i="2"/>
  <c r="AW48" i="2"/>
  <c r="BC48" i="2"/>
  <c r="BG48" i="2"/>
  <c r="K48" i="2"/>
  <c r="BH48" i="2"/>
  <c r="BV37" i="2"/>
  <c r="AF48" i="2"/>
  <c r="T48" i="2"/>
  <c r="Y48" i="2"/>
  <c r="AU48" i="2"/>
  <c r="N48" i="2"/>
  <c r="AY48" i="2"/>
  <c r="AM48" i="2"/>
  <c r="AQ48" i="2"/>
  <c r="J48" i="2"/>
  <c r="Z48" i="2"/>
  <c r="BF24" i="2"/>
  <c r="AG48" i="2"/>
  <c r="D48" i="2"/>
  <c r="H48" i="2"/>
  <c r="AH48" i="2"/>
  <c r="BV19" i="2"/>
  <c r="BV21" i="2"/>
  <c r="BV8" i="2"/>
  <c r="BV29" i="2"/>
  <c r="BV48" i="2"/>
  <c r="BV31" i="2"/>
  <c r="BV35" i="2"/>
  <c r="BV54" i="2"/>
  <c r="BV13" i="2"/>
  <c r="BV16" i="2"/>
  <c r="AI108" i="2"/>
  <c r="I108" i="2"/>
  <c r="BB108" i="2"/>
  <c r="F108" i="2"/>
  <c r="AC108" i="2"/>
  <c r="C108" i="2"/>
  <c r="AR108" i="2"/>
  <c r="W108" i="2"/>
  <c r="BI108" i="2"/>
  <c r="AL108" i="2"/>
  <c r="AP108" i="2"/>
  <c r="Y108" i="2"/>
  <c r="Q108" i="2"/>
  <c r="BC108" i="2"/>
  <c r="AF108" i="2"/>
  <c r="E108" i="2"/>
  <c r="J108" i="2"/>
  <c r="AS108" i="2"/>
  <c r="Z108" i="2"/>
  <c r="D108" i="2"/>
  <c r="BD108" i="2"/>
  <c r="AM108" i="2"/>
  <c r="T108" i="2"/>
  <c r="BA108" i="2"/>
  <c r="AK108" i="2"/>
  <c r="X108" i="2"/>
  <c r="AT108" i="2"/>
  <c r="AG108" i="2"/>
  <c r="N108" i="2"/>
  <c r="L108" i="2"/>
  <c r="AN108" i="2"/>
  <c r="AA108" i="2"/>
  <c r="G108" i="2"/>
  <c r="AJ108" i="2"/>
  <c r="BG108" i="2"/>
  <c r="AH108" i="2"/>
  <c r="U108" i="2"/>
  <c r="AZ108" i="2"/>
  <c r="S108" i="2"/>
  <c r="BE108" i="2"/>
  <c r="AB108" i="2"/>
  <c r="O108" i="2"/>
  <c r="K108" i="2"/>
  <c r="AE108" i="2"/>
  <c r="AY108" i="2"/>
  <c r="V108" i="2"/>
  <c r="H108" i="2"/>
  <c r="BF108" i="2"/>
  <c r="AO108" i="2"/>
  <c r="P108" i="2"/>
  <c r="B108" i="2"/>
  <c r="BH108" i="2"/>
  <c r="AQ108" i="2"/>
  <c r="AD108" i="2"/>
  <c r="R108" i="2"/>
  <c r="A74" i="2"/>
  <c r="B95" i="2"/>
  <c r="BV22" i="2"/>
  <c r="BV61" i="2"/>
  <c r="BV51" i="2"/>
  <c r="BV50" i="2"/>
  <c r="BV18" i="2"/>
  <c r="BV47" i="2"/>
  <c r="BD59" i="2"/>
  <c r="AR59" i="2"/>
  <c r="AF59" i="2"/>
  <c r="T59" i="2"/>
  <c r="H59" i="2"/>
  <c r="BA59" i="2"/>
  <c r="AZ59" i="2"/>
  <c r="AN59" i="2"/>
  <c r="AB59" i="2"/>
  <c r="P59" i="2"/>
  <c r="D59" i="2"/>
  <c r="AX59" i="2"/>
  <c r="AL59" i="2"/>
  <c r="Z59" i="2"/>
  <c r="N59" i="2"/>
  <c r="B59" i="2"/>
  <c r="BH59" i="2"/>
  <c r="AV59" i="2"/>
  <c r="AJ59" i="2"/>
  <c r="X59" i="2"/>
  <c r="L59" i="2"/>
  <c r="BG59" i="2"/>
  <c r="AO59" i="2"/>
  <c r="V59" i="2"/>
  <c r="E59" i="2"/>
  <c r="BF59" i="2"/>
  <c r="AM59" i="2"/>
  <c r="U59" i="2"/>
  <c r="C59" i="2"/>
  <c r="BE59" i="2"/>
  <c r="AK59" i="2"/>
  <c r="S59" i="2"/>
  <c r="BC59" i="2"/>
  <c r="AI59" i="2"/>
  <c r="R59" i="2"/>
  <c r="BB59" i="2"/>
  <c r="AH59" i="2"/>
  <c r="Q59" i="2"/>
  <c r="D53" i="2"/>
  <c r="AY59" i="2"/>
  <c r="AG59" i="2"/>
  <c r="O59" i="2"/>
  <c r="AW59" i="2"/>
  <c r="AE59" i="2"/>
  <c r="M59" i="2"/>
  <c r="AU59" i="2"/>
  <c r="AD59" i="2"/>
  <c r="K59" i="2"/>
  <c r="AT59" i="2"/>
  <c r="AC59" i="2"/>
  <c r="J59" i="2"/>
  <c r="AS59" i="2"/>
  <c r="AA59" i="2"/>
  <c r="I59" i="2"/>
  <c r="AQ59" i="2"/>
  <c r="Y59" i="2"/>
  <c r="G59" i="2"/>
  <c r="BI59" i="2"/>
  <c r="AP59" i="2"/>
  <c r="W59" i="2"/>
  <c r="F59" i="2"/>
  <c r="BH47" i="2"/>
  <c r="AV47" i="2"/>
  <c r="AJ47" i="2"/>
  <c r="X47" i="2"/>
  <c r="L47" i="2"/>
  <c r="BD47" i="2"/>
  <c r="AR47" i="2"/>
  <c r="AF47" i="2"/>
  <c r="T47" i="2"/>
  <c r="H47" i="2"/>
  <c r="BB47" i="2"/>
  <c r="AP47" i="2"/>
  <c r="AD47" i="2"/>
  <c r="R47" i="2"/>
  <c r="F47" i="2"/>
  <c r="AZ47" i="2"/>
  <c r="AN47" i="2"/>
  <c r="AB47" i="2"/>
  <c r="P47" i="2"/>
  <c r="D47" i="2"/>
  <c r="BE47" i="2"/>
  <c r="AL47" i="2"/>
  <c r="U47" i="2"/>
  <c r="B47" i="2"/>
  <c r="D41" i="2"/>
  <c r="BC47" i="2"/>
  <c r="AK47" i="2"/>
  <c r="S47" i="2"/>
  <c r="BA47" i="2"/>
  <c r="AI47" i="2"/>
  <c r="Q47" i="2"/>
  <c r="AY47" i="2"/>
  <c r="AH47" i="2"/>
  <c r="O47" i="2"/>
  <c r="B43" i="2"/>
  <c r="AX47" i="2"/>
  <c r="AG47" i="2"/>
  <c r="N47" i="2"/>
  <c r="AW47" i="2"/>
  <c r="AE47" i="2"/>
  <c r="M47" i="2"/>
  <c r="AU47" i="2"/>
  <c r="AC47" i="2"/>
  <c r="K47" i="2"/>
  <c r="AT47" i="2"/>
  <c r="AA47" i="2"/>
  <c r="J47" i="2"/>
  <c r="AS47" i="2"/>
  <c r="Z47" i="2"/>
  <c r="I47" i="2"/>
  <c r="BI47" i="2"/>
  <c r="AQ47" i="2"/>
  <c r="Y47" i="2"/>
  <c r="G47" i="2"/>
  <c r="BG47" i="2"/>
  <c r="AO47" i="2"/>
  <c r="W47" i="2"/>
  <c r="E47" i="2"/>
  <c r="BF47" i="2"/>
  <c r="AM47" i="2"/>
  <c r="V47" i="2"/>
  <c r="C47" i="2"/>
  <c r="BV9" i="2"/>
  <c r="B111" i="2"/>
  <c r="A93" i="2" s="1"/>
  <c r="BV23" i="2"/>
  <c r="BV14" i="2"/>
  <c r="BV34" i="2"/>
  <c r="B84" i="2"/>
  <c r="BV10" i="2"/>
  <c r="BV55" i="2"/>
  <c r="BE43" i="2"/>
  <c r="BD41" i="2"/>
  <c r="BV60" i="2"/>
  <c r="BV33" i="2"/>
  <c r="BV58" i="2"/>
  <c r="BV39" i="2"/>
  <c r="BV7" i="2"/>
  <c r="BV44" i="2"/>
  <c r="B88" i="2"/>
  <c r="B79" i="2"/>
  <c r="B78" i="2"/>
  <c r="BV56" i="2"/>
  <c r="BV30" i="2"/>
  <c r="BV57" i="2"/>
  <c r="BV52" i="2"/>
  <c r="BV36" i="2"/>
  <c r="BV28" i="2"/>
  <c r="BV42" i="2"/>
  <c r="E66" i="2"/>
  <c r="D66" i="2" s="1"/>
  <c r="E54" i="2"/>
  <c r="BV11" i="2"/>
  <c r="BV41" i="2"/>
  <c r="BV25" i="2"/>
  <c r="BV59" i="2"/>
  <c r="BV49" i="2"/>
  <c r="AF43" i="2"/>
  <c r="AE41" i="2"/>
  <c r="BV15" i="2"/>
  <c r="BV53" i="2"/>
  <c r="BV27" i="2"/>
  <c r="BV20" i="2"/>
  <c r="D65" i="2"/>
  <c r="BV12" i="2"/>
  <c r="BV45" i="2"/>
  <c r="BV46" i="2"/>
  <c r="BV40" i="2"/>
  <c r="BV43" i="2"/>
  <c r="BV24" i="2"/>
  <c r="BV38" i="2"/>
  <c r="BV62" i="2"/>
  <c r="BV17" i="2"/>
  <c r="B110" i="2"/>
  <c r="A92" i="2" s="1"/>
  <c r="BI41" i="1"/>
  <c r="AW41" i="1"/>
  <c r="AK41" i="1"/>
  <c r="Y41" i="1"/>
  <c r="M41" i="1"/>
  <c r="AE41" i="1"/>
  <c r="BH41" i="1"/>
  <c r="AV41" i="1"/>
  <c r="AJ41" i="1"/>
  <c r="X41" i="1"/>
  <c r="L41" i="1"/>
  <c r="AU41" i="1"/>
  <c r="AI41" i="1"/>
  <c r="W41" i="1"/>
  <c r="K41" i="1"/>
  <c r="G41" i="1"/>
  <c r="AT41" i="1"/>
  <c r="AH41" i="1"/>
  <c r="V41" i="1"/>
  <c r="J41" i="1"/>
  <c r="AQ41" i="1"/>
  <c r="AS41" i="1"/>
  <c r="AG41" i="1"/>
  <c r="U41" i="1"/>
  <c r="I41" i="1"/>
  <c r="S41" i="1"/>
  <c r="AR41" i="1"/>
  <c r="AF41" i="1"/>
  <c r="T41" i="1"/>
  <c r="H41" i="1"/>
  <c r="AP41" i="1"/>
  <c r="AD41" i="1"/>
  <c r="R41" i="1"/>
  <c r="F41" i="1"/>
  <c r="Z41" i="1"/>
  <c r="AO41" i="1"/>
  <c r="AC41" i="1"/>
  <c r="Q41" i="1"/>
  <c r="E41" i="1"/>
  <c r="AL41" i="1"/>
  <c r="AN41" i="1"/>
  <c r="AB41" i="1"/>
  <c r="P41" i="1"/>
  <c r="D41" i="1"/>
  <c r="B36" i="1"/>
  <c r="AY41" i="1"/>
  <c r="AM41" i="1"/>
  <c r="AA41" i="1"/>
  <c r="O41" i="1"/>
  <c r="C41" i="1"/>
  <c r="AX41" i="1"/>
  <c r="N41" i="1"/>
  <c r="BH40" i="1"/>
  <c r="AV40" i="1"/>
  <c r="AJ40" i="1"/>
  <c r="X40" i="1"/>
  <c r="L40" i="1"/>
  <c r="AU40" i="1"/>
  <c r="AI40" i="1"/>
  <c r="W40" i="1"/>
  <c r="K40" i="1"/>
  <c r="AD40" i="1"/>
  <c r="F40" i="1"/>
  <c r="AT40" i="1"/>
  <c r="AH40" i="1"/>
  <c r="V40" i="1"/>
  <c r="J40" i="1"/>
  <c r="AS40" i="1"/>
  <c r="AG40" i="1"/>
  <c r="U40" i="1"/>
  <c r="I40" i="1"/>
  <c r="AR40" i="1"/>
  <c r="AF40" i="1"/>
  <c r="T40" i="1"/>
  <c r="H40" i="1"/>
  <c r="AQ40" i="1"/>
  <c r="AE40" i="1"/>
  <c r="S40" i="1"/>
  <c r="G40" i="1"/>
  <c r="AP40" i="1"/>
  <c r="R40" i="1"/>
  <c r="AO40" i="1"/>
  <c r="AC40" i="1"/>
  <c r="Q40" i="1"/>
  <c r="E40" i="1"/>
  <c r="B35" i="1"/>
  <c r="AN40" i="1"/>
  <c r="AB40" i="1"/>
  <c r="P40" i="1"/>
  <c r="D40" i="1"/>
  <c r="AY40" i="1"/>
  <c r="AM40" i="1"/>
  <c r="AA40" i="1"/>
  <c r="O40" i="1"/>
  <c r="C40" i="1"/>
  <c r="AX40" i="1"/>
  <c r="AL40" i="1"/>
  <c r="Z40" i="1"/>
  <c r="N40" i="1"/>
  <c r="BI40" i="1"/>
  <c r="AW40" i="1"/>
  <c r="AK40" i="1"/>
  <c r="Y40" i="1"/>
  <c r="M40" i="1"/>
  <c r="B18" i="1"/>
  <c r="C21" i="1" s="1"/>
  <c r="C20" i="1"/>
  <c r="CH5" i="8" l="1" a="1"/>
  <c r="BT5" i="8"/>
  <c r="CQ5" i="8" a="1"/>
  <c r="BV5" i="8"/>
  <c r="CZ5" i="2" a="1"/>
  <c r="CZ5" i="2" s="1"/>
  <c r="CH5" i="2" a="1"/>
  <c r="BT5" i="2"/>
  <c r="CQ5" i="2" a="1"/>
  <c r="B67" i="2"/>
  <c r="AY60" i="2"/>
  <c r="AM60" i="2"/>
  <c r="AA60" i="2"/>
  <c r="O60" i="2"/>
  <c r="C60" i="2"/>
  <c r="BI60" i="2"/>
  <c r="AW60" i="2"/>
  <c r="AK60" i="2"/>
  <c r="Y60" i="2"/>
  <c r="M60" i="2"/>
  <c r="BH60" i="2"/>
  <c r="AV60" i="2"/>
  <c r="AJ60" i="2"/>
  <c r="X60" i="2"/>
  <c r="L60" i="2"/>
  <c r="BG60" i="2"/>
  <c r="AU60" i="2"/>
  <c r="AI60" i="2"/>
  <c r="W60" i="2"/>
  <c r="K60" i="2"/>
  <c r="BE60" i="2"/>
  <c r="AS60" i="2"/>
  <c r="AG60" i="2"/>
  <c r="U60" i="2"/>
  <c r="I60" i="2"/>
  <c r="BC60" i="2"/>
  <c r="AQ60" i="2"/>
  <c r="AE60" i="2"/>
  <c r="S60" i="2"/>
  <c r="G60" i="2"/>
  <c r="BA60" i="2"/>
  <c r="AR60" i="2"/>
  <c r="T60" i="2"/>
  <c r="D54" i="2"/>
  <c r="AP60" i="2"/>
  <c r="R60" i="2"/>
  <c r="AO60" i="2"/>
  <c r="Q60" i="2"/>
  <c r="AN60" i="2"/>
  <c r="P60" i="2"/>
  <c r="AL60" i="2"/>
  <c r="N60" i="2"/>
  <c r="AH60" i="2"/>
  <c r="J60" i="2"/>
  <c r="BF60" i="2"/>
  <c r="AF60" i="2"/>
  <c r="H60" i="2"/>
  <c r="BD60" i="2"/>
  <c r="AD60" i="2"/>
  <c r="F60" i="2"/>
  <c r="BB60" i="2"/>
  <c r="AC60" i="2"/>
  <c r="E60" i="2"/>
  <c r="AZ60" i="2"/>
  <c r="AB60" i="2"/>
  <c r="D60" i="2"/>
  <c r="AX60" i="2"/>
  <c r="Z60" i="2"/>
  <c r="B60" i="2"/>
  <c r="AT60" i="2"/>
  <c r="V60" i="2"/>
  <c r="A66" i="2"/>
  <c r="B85" i="2"/>
  <c r="A69" i="2"/>
  <c r="B90" i="2"/>
  <c r="B114" i="2"/>
  <c r="B55" i="2"/>
  <c r="BA25" i="1"/>
  <c r="AO25" i="1"/>
  <c r="AC25" i="1"/>
  <c r="Q25" i="1"/>
  <c r="E25" i="1"/>
  <c r="AU25" i="1"/>
  <c r="K25" i="1"/>
  <c r="AZ25" i="1"/>
  <c r="AN25" i="1"/>
  <c r="AB25" i="1"/>
  <c r="P25" i="1"/>
  <c r="D25" i="1"/>
  <c r="W25" i="1"/>
  <c r="AY25" i="1"/>
  <c r="AM25" i="1"/>
  <c r="AA25" i="1"/>
  <c r="O25" i="1"/>
  <c r="C25" i="1"/>
  <c r="BJ25" i="1"/>
  <c r="AX25" i="1"/>
  <c r="AL25" i="1"/>
  <c r="Z25" i="1"/>
  <c r="N25" i="1"/>
  <c r="BI25" i="1"/>
  <c r="AW25" i="1"/>
  <c r="AK25" i="1"/>
  <c r="Y25" i="1"/>
  <c r="M25" i="1"/>
  <c r="B21" i="1"/>
  <c r="BG25" i="1"/>
  <c r="BH25" i="1"/>
  <c r="AV25" i="1"/>
  <c r="AJ25" i="1"/>
  <c r="X25" i="1"/>
  <c r="L25" i="1"/>
  <c r="AI25" i="1"/>
  <c r="BF25" i="1"/>
  <c r="AT25" i="1"/>
  <c r="AH25" i="1"/>
  <c r="V25" i="1"/>
  <c r="J25" i="1"/>
  <c r="AP25" i="1"/>
  <c r="F25" i="1"/>
  <c r="BE25" i="1"/>
  <c r="AS25" i="1"/>
  <c r="AG25" i="1"/>
  <c r="U25" i="1"/>
  <c r="I25" i="1"/>
  <c r="AD25" i="1"/>
  <c r="BD25" i="1"/>
  <c r="AR25" i="1"/>
  <c r="AF25" i="1"/>
  <c r="T25" i="1"/>
  <c r="H25" i="1"/>
  <c r="BC25" i="1"/>
  <c r="AQ25" i="1"/>
  <c r="AE25" i="1"/>
  <c r="S25" i="1"/>
  <c r="G25" i="1"/>
  <c r="BB25" i="1"/>
  <c r="R25" i="1"/>
  <c r="BA24" i="1"/>
  <c r="BA39" i="1" s="1"/>
  <c r="AO24" i="1"/>
  <c r="AO39" i="1" s="1"/>
  <c r="AC24" i="1"/>
  <c r="AC39" i="1" s="1"/>
  <c r="Q24" i="1"/>
  <c r="Q39" i="1" s="1"/>
  <c r="E24" i="1"/>
  <c r="E39" i="1" s="1"/>
  <c r="AU24" i="1"/>
  <c r="AU39" i="1" s="1"/>
  <c r="K24" i="1"/>
  <c r="K39" i="1" s="1"/>
  <c r="R24" i="1"/>
  <c r="R39" i="1" s="1"/>
  <c r="AZ24" i="1"/>
  <c r="AZ39" i="1" s="1"/>
  <c r="AN24" i="1"/>
  <c r="AN39" i="1" s="1"/>
  <c r="AB24" i="1"/>
  <c r="AB39" i="1" s="1"/>
  <c r="P24" i="1"/>
  <c r="P39" i="1" s="1"/>
  <c r="D24" i="1"/>
  <c r="D39" i="1" s="1"/>
  <c r="B20" i="1"/>
  <c r="AY24" i="1"/>
  <c r="AY39" i="1" s="1"/>
  <c r="AM24" i="1"/>
  <c r="AM39" i="1" s="1"/>
  <c r="AA24" i="1"/>
  <c r="AA39" i="1" s="1"/>
  <c r="O24" i="1"/>
  <c r="O39" i="1" s="1"/>
  <c r="C24" i="1"/>
  <c r="C39" i="1" s="1"/>
  <c r="W24" i="1"/>
  <c r="W39" i="1" s="1"/>
  <c r="BJ24" i="1"/>
  <c r="AX24" i="1"/>
  <c r="AX39" i="1" s="1"/>
  <c r="AL24" i="1"/>
  <c r="AL39" i="1" s="1"/>
  <c r="Z24" i="1"/>
  <c r="Z39" i="1" s="1"/>
  <c r="N24" i="1"/>
  <c r="N39" i="1" s="1"/>
  <c r="BG24" i="1"/>
  <c r="BG39" i="1" s="1"/>
  <c r="BI24" i="1"/>
  <c r="AW24" i="1"/>
  <c r="AW39" i="1" s="1"/>
  <c r="AK24" i="1"/>
  <c r="AK39" i="1" s="1"/>
  <c r="Y24" i="1"/>
  <c r="Y39" i="1" s="1"/>
  <c r="M24" i="1"/>
  <c r="M39" i="1" s="1"/>
  <c r="AI24" i="1"/>
  <c r="AI39" i="1" s="1"/>
  <c r="BH24" i="1"/>
  <c r="BH39" i="1" s="1"/>
  <c r="AV24" i="1"/>
  <c r="AV39" i="1" s="1"/>
  <c r="AJ24" i="1"/>
  <c r="AJ39" i="1" s="1"/>
  <c r="X24" i="1"/>
  <c r="X39" i="1" s="1"/>
  <c r="L24" i="1"/>
  <c r="L39" i="1" s="1"/>
  <c r="BF24" i="1"/>
  <c r="BF39" i="1" s="1"/>
  <c r="AT24" i="1"/>
  <c r="AT39" i="1" s="1"/>
  <c r="AH24" i="1"/>
  <c r="AH39" i="1" s="1"/>
  <c r="V24" i="1"/>
  <c r="V39" i="1" s="1"/>
  <c r="J24" i="1"/>
  <c r="J39" i="1" s="1"/>
  <c r="AD24" i="1"/>
  <c r="AD39" i="1" s="1"/>
  <c r="BE24" i="1"/>
  <c r="BE39" i="1" s="1"/>
  <c r="AS24" i="1"/>
  <c r="AS39" i="1" s="1"/>
  <c r="AG24" i="1"/>
  <c r="AG39" i="1" s="1"/>
  <c r="U24" i="1"/>
  <c r="U39" i="1" s="1"/>
  <c r="I24" i="1"/>
  <c r="I39" i="1" s="1"/>
  <c r="AP24" i="1"/>
  <c r="AP39" i="1" s="1"/>
  <c r="BD24" i="1"/>
  <c r="BD39" i="1" s="1"/>
  <c r="AR24" i="1"/>
  <c r="AR39" i="1" s="1"/>
  <c r="AF24" i="1"/>
  <c r="AF39" i="1" s="1"/>
  <c r="T24" i="1"/>
  <c r="T39" i="1" s="1"/>
  <c r="H24" i="1"/>
  <c r="H39" i="1" s="1"/>
  <c r="BC24" i="1"/>
  <c r="BC39" i="1" s="1"/>
  <c r="AQ24" i="1"/>
  <c r="AQ39" i="1" s="1"/>
  <c r="AE24" i="1"/>
  <c r="AE39" i="1" s="1"/>
  <c r="S24" i="1"/>
  <c r="S39" i="1" s="1"/>
  <c r="G24" i="1"/>
  <c r="G39" i="1" s="1"/>
  <c r="BB24" i="1"/>
  <c r="BB39" i="1" s="1"/>
  <c r="F24" i="1"/>
  <c r="F39" i="1" s="1"/>
  <c r="CO18" i="8" l="1"/>
  <c r="CO17" i="8"/>
  <c r="CO9" i="8"/>
  <c r="CO13" i="8"/>
  <c r="CO12" i="8"/>
  <c r="CH5" i="8"/>
  <c r="CO5" i="8" s="1"/>
  <c r="CO7" i="8"/>
  <c r="CO11" i="8"/>
  <c r="CO6" i="8"/>
  <c r="CO8" i="8"/>
  <c r="CO19" i="8"/>
  <c r="CO10" i="8"/>
  <c r="CO16" i="8"/>
  <c r="CO15" i="8"/>
  <c r="CO14" i="8"/>
  <c r="CH5" i="2"/>
  <c r="CX23" i="8"/>
  <c r="CX20" i="8"/>
  <c r="CX22" i="8"/>
  <c r="CX15" i="8"/>
  <c r="CX14" i="8"/>
  <c r="CX13" i="8"/>
  <c r="CX12" i="8"/>
  <c r="CX11" i="8"/>
  <c r="CX10" i="8"/>
  <c r="CX9" i="8"/>
  <c r="CX8" i="8"/>
  <c r="CX7" i="8"/>
  <c r="CX6" i="8"/>
  <c r="CQ5" i="8"/>
  <c r="CX5" i="8" s="1"/>
  <c r="CX18" i="8"/>
  <c r="CX19" i="8"/>
  <c r="CX16" i="8"/>
  <c r="CX21" i="8"/>
  <c r="CX25" i="8"/>
  <c r="CX24" i="8"/>
  <c r="CX17" i="8"/>
  <c r="BJ39" i="1"/>
  <c r="CQ5" i="2"/>
  <c r="CX5" i="2" s="1"/>
  <c r="CX19" i="2"/>
  <c r="CX20" i="2"/>
  <c r="CX15" i="2"/>
  <c r="CX17" i="2"/>
  <c r="CX21" i="2"/>
  <c r="CX22" i="2"/>
  <c r="CX23" i="2"/>
  <c r="CX24" i="2"/>
  <c r="CX25" i="2"/>
  <c r="CX16" i="2"/>
  <c r="CX18" i="2"/>
  <c r="CO17" i="2"/>
  <c r="CO15" i="2"/>
  <c r="CO18" i="2"/>
  <c r="CO16" i="2"/>
  <c r="CO19" i="2"/>
  <c r="CO14" i="2"/>
  <c r="CX9" i="2"/>
  <c r="CX6" i="2"/>
  <c r="CX12" i="2"/>
  <c r="CX14" i="2"/>
  <c r="CX10" i="2"/>
  <c r="CX7" i="2"/>
  <c r="CX13" i="2"/>
  <c r="CX11" i="2"/>
  <c r="CX8" i="2"/>
  <c r="CO8" i="2"/>
  <c r="CO6" i="2"/>
  <c r="CO9" i="2"/>
  <c r="CO5" i="2"/>
  <c r="CO12" i="2"/>
  <c r="CO11" i="2"/>
  <c r="CO10" i="2"/>
  <c r="CO7" i="2"/>
  <c r="CO13" i="2"/>
  <c r="CF17" i="2"/>
  <c r="CF27" i="2"/>
  <c r="CF24" i="2"/>
  <c r="CF23" i="2"/>
  <c r="CF22" i="2"/>
  <c r="CF18" i="2"/>
  <c r="CF19" i="2"/>
  <c r="CF25" i="2"/>
  <c r="CF20" i="2"/>
  <c r="CF15" i="2"/>
  <c r="CF13" i="2"/>
  <c r="CF11" i="2"/>
  <c r="CF8" i="2"/>
  <c r="CF16" i="2"/>
  <c r="CF9" i="2"/>
  <c r="CF6" i="2"/>
  <c r="CF14" i="2"/>
  <c r="CF12" i="2"/>
  <c r="CF5" i="2"/>
  <c r="CF26" i="2"/>
  <c r="CF21" i="2"/>
  <c r="CF10" i="2"/>
  <c r="CF7" i="2"/>
  <c r="AY56" i="2"/>
  <c r="BI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<sst xmlns="http://schemas.openxmlformats.org/spreadsheetml/2006/main" count="2745" uniqueCount="590">
  <si>
    <t>algebra:</t>
    <phoneticPr fontId="4" type="noConversion"/>
  </si>
  <si>
    <t>第1個 |：</t>
    <phoneticPr fontId="4" type="noConversion"/>
  </si>
  <si>
    <t>第2個 |：</t>
  </si>
  <si>
    <t>第3個 |：</t>
  </si>
  <si>
    <t>字典編碼</t>
    <phoneticPr fontId="4" type="noConversion"/>
  </si>
  <si>
    <t>按鍵</t>
    <phoneticPr fontId="4" type="noConversion"/>
  </si>
  <si>
    <t>preedit_format:</t>
    <phoneticPr fontId="4" type="noConversion"/>
  </si>
  <si>
    <t>注音符號</t>
    <phoneticPr fontId="4" type="noConversion"/>
  </si>
  <si>
    <t>z</t>
    <phoneticPr fontId="4" type="noConversion"/>
  </si>
  <si>
    <t>Z</t>
    <phoneticPr fontId="4" type="noConversion"/>
  </si>
  <si>
    <t>ə</t>
  </si>
  <si>
    <t>Q</t>
    <phoneticPr fontId="4" type="noConversion"/>
  </si>
  <si>
    <t>Y</t>
    <phoneticPr fontId="4" type="noConversion"/>
  </si>
  <si>
    <t>H</t>
    <phoneticPr fontId="4" type="noConversion"/>
  </si>
  <si>
    <t>d</t>
    <phoneticPr fontId="4" type="noConversion"/>
  </si>
  <si>
    <t>f</t>
    <phoneticPr fontId="4" type="noConversion"/>
  </si>
  <si>
    <t>q</t>
    <phoneticPr fontId="4" type="noConversion"/>
  </si>
  <si>
    <t>v</t>
    <phoneticPr fontId="4" type="noConversion"/>
  </si>
  <si>
    <t>y</t>
    <phoneticPr fontId="4" type="noConversion"/>
  </si>
  <si>
    <t>聲韻調</t>
    <phoneticPr fontId="4" type="noConversion"/>
  </si>
  <si>
    <t>鼻化韻母</t>
    <phoneticPr fontId="4" type="noConversion"/>
  </si>
  <si>
    <t>1 !</t>
  </si>
  <si>
    <t>2 @</t>
  </si>
  <si>
    <t>3 #</t>
  </si>
  <si>
    <t>4 $</t>
  </si>
  <si>
    <t>6 ^</t>
  </si>
  <si>
    <t>7 &amp;</t>
  </si>
  <si>
    <t>8 *</t>
  </si>
  <si>
    <t>9 (</t>
  </si>
  <si>
    <t>0 )</t>
  </si>
  <si>
    <t>- _</t>
  </si>
  <si>
    <t>= +</t>
  </si>
  <si>
    <t>韻</t>
    <phoneticPr fontId="4" type="noConversion"/>
  </si>
  <si>
    <t>韻尾</t>
    <phoneticPr fontId="4" type="noConversion"/>
  </si>
  <si>
    <t>*</t>
    <phoneticPr fontId="4" type="noConversion"/>
  </si>
  <si>
    <t>聲</t>
    <phoneticPr fontId="4" type="noConversion"/>
  </si>
  <si>
    <t>鍵</t>
    <phoneticPr fontId="4" type="noConversion"/>
  </si>
  <si>
    <t>ㆠ</t>
  </si>
  <si>
    <t>b</t>
  </si>
  <si>
    <t>ㆩ</t>
  </si>
  <si>
    <t>ann</t>
  </si>
  <si>
    <t>ㆮ</t>
  </si>
  <si>
    <t>ainn</t>
  </si>
  <si>
    <t>對映總表</t>
  </si>
  <si>
    <t>ㄅ</t>
  </si>
  <si>
    <t>p</t>
  </si>
  <si>
    <t>ㄉ</t>
  </si>
  <si>
    <t>˪</t>
  </si>
  <si>
    <t>陰去</t>
  </si>
  <si>
    <t>ˋ</t>
  </si>
  <si>
    <t>上声</t>
  </si>
  <si>
    <t>˫</t>
  </si>
  <si>
    <t>陽去</t>
  </si>
  <si>
    <t>ˊ</t>
  </si>
  <si>
    <t>陽平</t>
  </si>
  <si>
    <t>·</t>
  </si>
  <si>
    <t>ㄚ</t>
    <phoneticPr fontId="4" type="noConversion"/>
  </si>
  <si>
    <t>a</t>
  </si>
  <si>
    <t>ㄞ</t>
  </si>
  <si>
    <t>ai</t>
  </si>
  <si>
    <t>ㄢ</t>
  </si>
  <si>
    <t>an</t>
  </si>
  <si>
    <t>入</t>
  </si>
  <si>
    <t>ptkh</t>
  </si>
  <si>
    <t>鍵盤按鍵</t>
    <phoneticPr fontId="4" type="noConversion"/>
  </si>
  <si>
    <t>方音符號</t>
    <phoneticPr fontId="4" type="noConversion"/>
  </si>
  <si>
    <t>字母長度</t>
    <phoneticPr fontId="4" type="noConversion"/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</si>
  <si>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</si>
  <si>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</si>
  <si>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</si>
  <si>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</si>
  <si>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</si>
  <si>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</si>
  <si>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</si>
  <si>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</si>
  <si>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</si>
  <si>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</si>
  <si>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[ {</t>
  </si>
  <si>
    <t>] }</t>
  </si>
  <si>
    <t>\ |</t>
  </si>
  <si>
    <t>ㆣ</t>
  </si>
  <si>
    <t>gg</t>
  </si>
  <si>
    <t>ㆢ</t>
  </si>
  <si>
    <t>jj</t>
    <phoneticPr fontId="4" type="noConversion"/>
  </si>
  <si>
    <t>ㆡ</t>
  </si>
  <si>
    <t>zz</t>
  </si>
  <si>
    <t>ㆪ</t>
  </si>
  <si>
    <t>inn</t>
  </si>
  <si>
    <t>ㆧ</t>
  </si>
  <si>
    <t>oonn</t>
  </si>
  <si>
    <t>ㆱ</t>
  </si>
  <si>
    <t>om</t>
  </si>
  <si>
    <t>ㄆ</t>
  </si>
  <si>
    <t>ph</t>
  </si>
  <si>
    <t>ㄊ</t>
  </si>
  <si>
    <t>t</t>
    <phoneticPr fontId="4" type="noConversion"/>
  </si>
  <si>
    <t>ㄍ</t>
  </si>
  <si>
    <t>g</t>
  </si>
  <si>
    <t>ㄐ</t>
  </si>
  <si>
    <t>ㆵ</t>
  </si>
  <si>
    <t>t0</t>
    <phoneticPr fontId="4" type="noConversion"/>
  </si>
  <si>
    <t>ㄗ</t>
  </si>
  <si>
    <t>z</t>
  </si>
  <si>
    <t>ㄧ</t>
  </si>
  <si>
    <t>i</t>
  </si>
  <si>
    <t>ㆦ</t>
  </si>
  <si>
    <t>oo</t>
  </si>
  <si>
    <t>ㆲ</t>
  </si>
  <si>
    <t>ong</t>
  </si>
  <si>
    <t>ㄣ</t>
  </si>
  <si>
    <t>-n</t>
    <phoneticPr fontId="4" type="noConversion"/>
  </si>
  <si>
    <t>A</t>
  </si>
  <si>
    <t>S</t>
  </si>
  <si>
    <t>D</t>
  </si>
  <si>
    <t>F</t>
  </si>
  <si>
    <t>G</t>
  </si>
  <si>
    <t>H</t>
  </si>
  <si>
    <t>J</t>
  </si>
  <si>
    <t>K</t>
  </si>
  <si>
    <t>L</t>
  </si>
  <si>
    <t>; :</t>
  </si>
  <si>
    <t>' "</t>
  </si>
  <si>
    <t>ㆫ</t>
  </si>
  <si>
    <t>unn</t>
  </si>
  <si>
    <t>ㆨ</t>
  </si>
  <si>
    <t>ir</t>
  </si>
  <si>
    <t>ㆯ</t>
  </si>
  <si>
    <t>aunn</t>
  </si>
  <si>
    <t>ㄇ</t>
  </si>
  <si>
    <t>m-</t>
    <phoneticPr fontId="4" type="noConversion"/>
  </si>
  <si>
    <t>ㄋ</t>
  </si>
  <si>
    <t>n-</t>
    <phoneticPr fontId="4" type="noConversion"/>
  </si>
  <si>
    <t>ㄎ</t>
  </si>
  <si>
    <t>k</t>
  </si>
  <si>
    <t>ㄑ</t>
  </si>
  <si>
    <t>ch</t>
    <phoneticPr fontId="4" type="noConversion"/>
  </si>
  <si>
    <t>ㆻ</t>
  </si>
  <si>
    <t>k0</t>
    <phoneticPr fontId="4" type="noConversion"/>
  </si>
  <si>
    <t>ㄘ</t>
  </si>
  <si>
    <t>c</t>
  </si>
  <si>
    <t>ㄨ</t>
  </si>
  <si>
    <t>u</t>
  </si>
  <si>
    <t>ㄜ</t>
  </si>
  <si>
    <t>or</t>
  </si>
  <si>
    <t>ㄠ</t>
  </si>
  <si>
    <t>au</t>
  </si>
  <si>
    <t>ㄤ</t>
  </si>
  <si>
    <t>ang</t>
  </si>
  <si>
    <t>Z</t>
  </si>
  <si>
    <t>X</t>
  </si>
  <si>
    <t>C</t>
  </si>
  <si>
    <t>V</t>
  </si>
  <si>
    <t>B</t>
  </si>
  <si>
    <t>N</t>
  </si>
  <si>
    <t>M</t>
  </si>
  <si>
    <t>, &lt;</t>
  </si>
  <si>
    <t>. &gt;</t>
  </si>
  <si>
    <t>/ ?</t>
  </si>
  <si>
    <t>ㄫ</t>
  </si>
  <si>
    <t>ng-</t>
  </si>
  <si>
    <t>ㆰ</t>
  </si>
  <si>
    <t>am</t>
  </si>
  <si>
    <t>ㆥ</t>
  </si>
  <si>
    <t>enn</t>
  </si>
  <si>
    <t xml:space="preserve"> </t>
    <phoneticPr fontId="4" type="noConversion"/>
  </si>
  <si>
    <t>ㆷ</t>
  </si>
  <si>
    <t>h0</t>
    <phoneticPr fontId="4" type="noConversion"/>
  </si>
  <si>
    <t>ㄌ</t>
  </si>
  <si>
    <t>l</t>
  </si>
  <si>
    <t>ㄏ</t>
  </si>
  <si>
    <t>h</t>
  </si>
  <si>
    <t>ㄒ</t>
  </si>
  <si>
    <t>sh</t>
    <phoneticPr fontId="4" type="noConversion"/>
  </si>
  <si>
    <t>ㆴ</t>
  </si>
  <si>
    <t>p0</t>
    <phoneticPr fontId="4" type="noConversion"/>
  </si>
  <si>
    <t>ㄙ</t>
  </si>
  <si>
    <t>s</t>
  </si>
  <si>
    <t>ㆬ</t>
  </si>
  <si>
    <t>-m</t>
  </si>
  <si>
    <t>ㆤ</t>
  </si>
  <si>
    <t>e</t>
  </si>
  <si>
    <t>ㄥ</t>
  </si>
  <si>
    <t>ㆭ</t>
  </si>
  <si>
    <t>-ng</t>
  </si>
  <si>
    <t>序號</t>
  </si>
  <si>
    <t>d</t>
  </si>
  <si>
    <t>f</t>
  </si>
  <si>
    <t>j</t>
  </si>
  <si>
    <t>m</t>
  </si>
  <si>
    <t>n</t>
  </si>
  <si>
    <t>o</t>
  </si>
  <si>
    <t>q</t>
  </si>
  <si>
    <t>r</t>
  </si>
  <si>
    <t>t</t>
  </si>
  <si>
    <t>v</t>
  </si>
  <si>
    <t>w</t>
  </si>
  <si>
    <t>x</t>
  </si>
  <si>
    <t>y</t>
  </si>
  <si>
    <t>使用按鍵設定</t>
    <phoneticPr fontId="4" type="noConversion"/>
  </si>
  <si>
    <r>
      <rPr>
        <sz val="28"/>
        <color theme="8"/>
        <rFont val="Microsoft JhengHei"/>
        <family val="2"/>
        <charset val="136"/>
      </rPr>
      <t>拚音碼與鍵盤對映 (</t>
    </r>
    <r>
      <rPr>
        <sz val="28"/>
        <color theme="8"/>
        <rFont val="Calibri"/>
        <family val="2"/>
      </rPr>
      <t>speller)</t>
    </r>
    <phoneticPr fontId="4" type="noConversion"/>
  </si>
  <si>
    <r>
      <t xml:space="preserve">    # </t>
    </r>
    <r>
      <rPr>
        <sz val="18"/>
        <color rgb="FF000000"/>
        <rFont val="SimSun"/>
        <charset val="134"/>
      </rPr>
      <t>設定「字典編碼」與「鍵盤位置」的對映關係：字典檔案中，漢字的</t>
    </r>
    <r>
      <rPr>
        <sz val="18"/>
        <color rgb="FF000000"/>
        <rFont val="BopomofoRuby1909-v1"/>
        <family val="3"/>
        <charset val="136"/>
      </rPr>
      <t xml:space="preserve"> '拼音字母' ，轉成 '字典編碼' </t>
    </r>
    <r>
      <rPr>
        <sz val="18"/>
        <color rgb="FF000000"/>
        <rFont val="SimSun"/>
        <charset val="134"/>
      </rPr>
      <t>，並與</t>
    </r>
    <r>
      <rPr>
        <sz val="18"/>
        <color rgb="FF000000"/>
        <rFont val="BopomofoRuby1909-v1"/>
        <family val="3"/>
        <charset val="136"/>
      </rPr>
      <t>‘鍵盤位置’建立對映關聯</t>
    </r>
    <phoneticPr fontId="4" type="noConversion"/>
  </si>
  <si>
    <t>字典編碼</t>
  </si>
  <si>
    <t>鍵盤按鍵</t>
  </si>
  <si>
    <r>
      <rPr>
        <sz val="28"/>
        <color theme="8"/>
        <rFont val="Microsoft JhengHei"/>
        <family val="2"/>
        <charset val="136"/>
      </rPr>
      <t>鍵盤與方音符號對映</t>
    </r>
    <r>
      <rPr>
        <sz val="28"/>
        <color theme="8"/>
        <rFont val="Noto Serif TC Bold"/>
        <family val="1"/>
        <charset val="136"/>
      </rPr>
      <t xml:space="preserve"> (</t>
    </r>
    <r>
      <rPr>
        <sz val="28"/>
        <color theme="8"/>
        <rFont val="Calibri"/>
        <family val="2"/>
      </rPr>
      <t>preedit_format)</t>
    </r>
    <phoneticPr fontId="4" type="noConversion"/>
  </si>
  <si>
    <r>
      <t xml:space="preserve">  # </t>
    </r>
    <r>
      <rPr>
        <sz val="18"/>
        <color rgb="FF000000"/>
        <rFont val="Microsoft JhengHei"/>
        <family val="2"/>
        <charset val="136"/>
      </rPr>
      <t>設定「鍵盤位置」與「注音符號」的對映關係：</t>
    </r>
    <r>
      <rPr>
        <sz val="18"/>
        <color rgb="FF000000"/>
        <rFont val="Arial"/>
        <family val="2"/>
      </rPr>
      <t xml:space="preserve">RIME </t>
    </r>
    <r>
      <rPr>
        <sz val="18"/>
        <color rgb="FF000000"/>
        <rFont val="Microsoft JhengHei"/>
        <family val="2"/>
        <charset val="136"/>
      </rPr>
      <t>輸入法平台於接收到「鍵盤按鍵」輸入，依此規範於螢幕顯示</t>
    </r>
    <r>
      <rPr>
        <sz val="18"/>
        <color rgb="FF000000"/>
        <rFont val="SimSun"/>
        <charset val="134"/>
      </rPr>
      <t>ㄅㄆㄇ注音符號</t>
    </r>
    <phoneticPr fontId="4" type="noConversion"/>
  </si>
  <si>
    <t>候選字清單漢字與注音符號的對映 (comment_format)</t>
    <phoneticPr fontId="4" type="noConversion"/>
  </si>
  <si>
    <t xml:space="preserve">  # 設定「候選字清單」中，字典漢字與方音符號的對映</t>
  </si>
  <si>
    <t>符號編碼</t>
    <phoneticPr fontId="92" type="noConversion"/>
  </si>
  <si>
    <t>注音符號</t>
  </si>
  <si>
    <t>bpPmntTlgkKŋjzcshJZCSaiwueOəMNGRFQVIUY@AWHdfqrvxy8732541L&amp;*</t>
  </si>
  <si>
    <t>!1qas2wxEedGYyhncRrfv8uKj,ikmp/btgz9lM0;Oo*UJ&lt;I(L75346][N.&gt;</t>
  </si>
  <si>
    <t>1!qa2wsxeEdNcrRfvyYhnuUjJ8*iIk,&lt;9(lL;oMO0mp/Kbtgz</t>
  </si>
  <si>
    <t>ㄅㆠㄆㄇㄉㄊㄋㄌㄍㆣㄎㄫㄏㄐㆢㄑㄒㄗㆡㄘㄙㄧㆪㄨㆫㄚㆩㆦㆧㄜㆤㆥㄞㆮㄠㆯㄤㆲㆰㆱㄢㆬㄣㆭㆨㆴㆵㆻㆷ</t>
  </si>
  <si>
    <t>G</t>
    <phoneticPr fontId="4" type="noConversion"/>
  </si>
  <si>
    <t>R</t>
    <phoneticPr fontId="4" type="noConversion"/>
  </si>
  <si>
    <t>F</t>
    <phoneticPr fontId="4" type="noConversion"/>
  </si>
  <si>
    <t>V</t>
    <phoneticPr fontId="4" type="noConversion"/>
  </si>
  <si>
    <t>ŋ</t>
  </si>
  <si>
    <t>@</t>
  </si>
  <si>
    <t>8</t>
  </si>
  <si>
    <t>2</t>
  </si>
  <si>
    <t>1</t>
  </si>
  <si>
    <t/>
  </si>
  <si>
    <t>!</t>
  </si>
  <si>
    <t>,</t>
  </si>
  <si>
    <t>/</t>
  </si>
  <si>
    <t>9</t>
  </si>
  <si>
    <t>0</t>
  </si>
  <si>
    <t>;</t>
  </si>
  <si>
    <t>*</t>
  </si>
  <si>
    <t>&lt;</t>
  </si>
  <si>
    <t>(</t>
  </si>
  <si>
    <t>]</t>
  </si>
  <si>
    <t>[</t>
  </si>
  <si>
    <t>ㄚ</t>
  </si>
  <si>
    <t>八</t>
  </si>
  <si>
    <t>七</t>
  </si>
  <si>
    <t>三</t>
  </si>
  <si>
    <t>二</t>
  </si>
  <si>
    <t>五</t>
  </si>
  <si>
    <t>四</t>
  </si>
  <si>
    <t>一</t>
  </si>
  <si>
    <t>p</t>
    <phoneticPr fontId="4" type="noConversion"/>
  </si>
  <si>
    <t>b</t>
    <phoneticPr fontId="4" type="noConversion"/>
  </si>
  <si>
    <t>ph</t>
    <phoneticPr fontId="4" type="noConversion"/>
  </si>
  <si>
    <t>m</t>
    <phoneticPr fontId="4" type="noConversion"/>
  </si>
  <si>
    <t>n</t>
    <phoneticPr fontId="4" type="noConversion"/>
  </si>
  <si>
    <t>th</t>
    <phoneticPr fontId="4" type="noConversion"/>
  </si>
  <si>
    <t>l</t>
    <phoneticPr fontId="4" type="noConversion"/>
  </si>
  <si>
    <t>ng</t>
    <phoneticPr fontId="4" type="noConversion"/>
  </si>
  <si>
    <t>j</t>
    <phoneticPr fontId="4" type="noConversion"/>
  </si>
  <si>
    <t>s</t>
    <phoneticPr fontId="4" type="noConversion"/>
  </si>
  <si>
    <t>h</t>
    <phoneticPr fontId="4" type="noConversion"/>
  </si>
  <si>
    <t>j(i)</t>
    <phoneticPr fontId="4" type="noConversion"/>
  </si>
  <si>
    <t>z(i)</t>
    <phoneticPr fontId="4" type="noConversion"/>
  </si>
  <si>
    <t>c(i)</t>
    <phoneticPr fontId="4" type="noConversion"/>
  </si>
  <si>
    <t>s(i)</t>
    <phoneticPr fontId="4" type="noConversion"/>
  </si>
  <si>
    <t>a</t>
    <phoneticPr fontId="4" type="noConversion"/>
  </si>
  <si>
    <t>i</t>
    <phoneticPr fontId="4" type="noConversion"/>
  </si>
  <si>
    <t>ir</t>
    <phoneticPr fontId="4" type="noConversion"/>
  </si>
  <si>
    <t>u</t>
    <phoneticPr fontId="4" type="noConversion"/>
  </si>
  <si>
    <t>e</t>
    <phoneticPr fontId="4" type="noConversion"/>
  </si>
  <si>
    <t>oo</t>
    <phoneticPr fontId="4" type="noConversion"/>
  </si>
  <si>
    <t>o</t>
    <phoneticPr fontId="4" type="noConversion"/>
  </si>
  <si>
    <t>-m</t>
    <phoneticPr fontId="4" type="noConversion"/>
  </si>
  <si>
    <t>-ng</t>
    <phoneticPr fontId="4" type="noConversion"/>
  </si>
  <si>
    <t>-p</t>
    <phoneticPr fontId="4" type="noConversion"/>
  </si>
  <si>
    <t>-t</t>
    <phoneticPr fontId="4" type="noConversion"/>
  </si>
  <si>
    <t>-k</t>
    <phoneticPr fontId="4" type="noConversion"/>
  </si>
  <si>
    <t>-h</t>
    <phoneticPr fontId="4" type="noConversion"/>
  </si>
  <si>
    <t>ai</t>
    <phoneticPr fontId="4" type="noConversion"/>
  </si>
  <si>
    <t>au</t>
    <phoneticPr fontId="4" type="noConversion"/>
  </si>
  <si>
    <t>am</t>
    <phoneticPr fontId="4" type="noConversion"/>
  </si>
  <si>
    <t>an</t>
    <phoneticPr fontId="4" type="noConversion"/>
  </si>
  <si>
    <t>ang</t>
    <phoneticPr fontId="4" type="noConversion"/>
  </si>
  <si>
    <t>om</t>
    <phoneticPr fontId="4" type="noConversion"/>
  </si>
  <si>
    <t>ong</t>
    <phoneticPr fontId="4" type="noConversion"/>
  </si>
  <si>
    <t>U+207F</t>
  </si>
  <si>
    <t>ⁿ</t>
  </si>
  <si>
    <t>k</t>
    <phoneticPr fontId="4" type="noConversion"/>
  </si>
  <si>
    <t>kh</t>
    <phoneticPr fontId="4" type="noConversion"/>
  </si>
  <si>
    <t xml:space="preserve">    - xlit|bpPmntTlgkKŋjzcshJZCSaiwueOəMNGRFQVIUY@AWHdfqrvxy8732541L&amp;|!1qas2wxEedGYyhncRrfv8uKj,ikmp/btgz9lM0;Oo*UJ&lt;I(L75346][N.|</t>
  </si>
  <si>
    <t>聲</t>
  </si>
  <si>
    <t>韻</t>
  </si>
  <si>
    <t>調</t>
    <phoneticPr fontId="4" type="noConversion"/>
  </si>
  <si>
    <t>台語音標</t>
    <phoneticPr fontId="4" type="noConversion"/>
  </si>
  <si>
    <t>序號</t>
    <phoneticPr fontId="4" type="noConversion"/>
  </si>
  <si>
    <t>z(ts)</t>
    <phoneticPr fontId="4" type="noConversion"/>
  </si>
  <si>
    <t>c(tsh)</t>
    <phoneticPr fontId="4" type="noConversion"/>
  </si>
  <si>
    <t>:</t>
  </si>
  <si>
    <t>ˉ</t>
  </si>
  <si>
    <t>˙</t>
  </si>
  <si>
    <t>:</t>
    <phoneticPr fontId="4" type="noConversion"/>
  </si>
  <si>
    <t>]</t>
    <phoneticPr fontId="4" type="noConversion"/>
  </si>
  <si>
    <t>入</t>
    <phoneticPr fontId="4" type="noConversion"/>
  </si>
  <si>
    <t>調號</t>
    <phoneticPr fontId="4" type="noConversion"/>
  </si>
  <si>
    <t>八</t>
    <phoneticPr fontId="4" type="noConversion"/>
  </si>
  <si>
    <t>一</t>
    <phoneticPr fontId="4" type="noConversion"/>
  </si>
  <si>
    <t>四</t>
    <phoneticPr fontId="4" type="noConversion"/>
  </si>
  <si>
    <t>五</t>
    <phoneticPr fontId="4" type="noConversion"/>
  </si>
  <si>
    <t>上平</t>
    <phoneticPr fontId="4" type="noConversion"/>
  </si>
  <si>
    <t>上上</t>
    <phoneticPr fontId="4" type="noConversion"/>
  </si>
  <si>
    <t>上去</t>
    <phoneticPr fontId="4" type="noConversion"/>
  </si>
  <si>
    <t>上入</t>
    <phoneticPr fontId="4" type="noConversion"/>
  </si>
  <si>
    <t>下平</t>
    <phoneticPr fontId="4" type="noConversion"/>
  </si>
  <si>
    <t>下上</t>
    <phoneticPr fontId="4" type="noConversion"/>
  </si>
  <si>
    <t>下去</t>
    <phoneticPr fontId="4" type="noConversion"/>
  </si>
  <si>
    <t>下入</t>
    <phoneticPr fontId="4" type="noConversion"/>
  </si>
  <si>
    <t>調名</t>
    <phoneticPr fontId="4" type="noConversion"/>
  </si>
  <si>
    <t>十五音</t>
    <phoneticPr fontId="4" type="noConversion"/>
  </si>
  <si>
    <t>二</t>
    <phoneticPr fontId="4" type="noConversion"/>
  </si>
  <si>
    <t>三</t>
    <phoneticPr fontId="4" type="noConversion"/>
  </si>
  <si>
    <t>六</t>
    <phoneticPr fontId="4" type="noConversion"/>
  </si>
  <si>
    <t>七</t>
    <phoneticPr fontId="4" type="noConversion"/>
  </si>
  <si>
    <t>[</t>
    <phoneticPr fontId="4" type="noConversion"/>
  </si>
  <si>
    <t>入声</t>
    <phoneticPr fontId="4" type="noConversion"/>
  </si>
  <si>
    <t>調性</t>
    <phoneticPr fontId="4" type="noConversion"/>
  </si>
  <si>
    <t>高音</t>
    <phoneticPr fontId="4" type="noConversion"/>
  </si>
  <si>
    <t>高降</t>
    <phoneticPr fontId="4" type="noConversion"/>
  </si>
  <si>
    <t>低音</t>
    <phoneticPr fontId="4" type="noConversion"/>
  </si>
  <si>
    <t>中促</t>
    <phoneticPr fontId="4" type="noConversion"/>
  </si>
  <si>
    <t>高促</t>
    <phoneticPr fontId="4" type="noConversion"/>
  </si>
  <si>
    <t>促声</t>
    <phoneticPr fontId="4" type="noConversion"/>
  </si>
  <si>
    <t>低升</t>
    <phoneticPr fontId="4" type="noConversion"/>
  </si>
  <si>
    <t>N/A</t>
    <phoneticPr fontId="4" type="noConversion"/>
  </si>
  <si>
    <t>中音</t>
    <phoneticPr fontId="4" type="noConversion"/>
  </si>
  <si>
    <t>字典</t>
    <phoneticPr fontId="4" type="noConversion"/>
  </si>
  <si>
    <t>注音</t>
    <phoneticPr fontId="4" type="noConversion"/>
  </si>
  <si>
    <t>韻腹</t>
  </si>
  <si>
    <t>陰聲韻</t>
  </si>
  <si>
    <t>陽聲韻</t>
  </si>
  <si>
    <t>入聲韻</t>
  </si>
  <si>
    <t>[m]</t>
  </si>
  <si>
    <t>[n]</t>
  </si>
  <si>
    <t>[ŋ]</t>
  </si>
  <si>
    <t>[p̚]</t>
  </si>
  <si>
    <t>[t̚]</t>
  </si>
  <si>
    <t>[k̚]</t>
  </si>
  <si>
    <t>[ʔ]</t>
  </si>
  <si>
    <t>[a]</t>
  </si>
  <si>
    <t>ap</t>
  </si>
  <si>
    <t>at</t>
  </si>
  <si>
    <t>ak</t>
  </si>
  <si>
    <t>ah</t>
  </si>
  <si>
    <t>annh</t>
  </si>
  <si>
    <t>[aɪ]</t>
  </si>
  <si>
    <t>aih</t>
  </si>
  <si>
    <t>ainnh</t>
  </si>
  <si>
    <t>[aʊ]</t>
  </si>
  <si>
    <t>auh</t>
  </si>
  <si>
    <t>aunnh</t>
  </si>
  <si>
    <t>[ɛ]</t>
  </si>
  <si>
    <t>ee</t>
  </si>
  <si>
    <t>eng</t>
  </si>
  <si>
    <t>ek</t>
  </si>
  <si>
    <t>eeh</t>
  </si>
  <si>
    <t>[e]</t>
  </si>
  <si>
    <t>eh</t>
  </si>
  <si>
    <t>ennh</t>
  </si>
  <si>
    <t>[i]</t>
  </si>
  <si>
    <t>im</t>
  </si>
  <si>
    <t>in</t>
  </si>
  <si>
    <t>ing</t>
  </si>
  <si>
    <t>ip</t>
  </si>
  <si>
    <t>it</t>
  </si>
  <si>
    <t>ik</t>
  </si>
  <si>
    <t>ih</t>
  </si>
  <si>
    <t>innh</t>
  </si>
  <si>
    <t>[ɪa]</t>
  </si>
  <si>
    <t>ia</t>
  </si>
  <si>
    <t>iann</t>
  </si>
  <si>
    <t>iam</t>
  </si>
  <si>
    <t>ian</t>
  </si>
  <si>
    <t>iang</t>
  </si>
  <si>
    <t>iap</t>
  </si>
  <si>
    <t>iat</t>
  </si>
  <si>
    <t>iak</t>
  </si>
  <si>
    <t>iah</t>
  </si>
  <si>
    <t>iannh</t>
  </si>
  <si>
    <t>[ɪaʊ]</t>
  </si>
  <si>
    <t>iau</t>
  </si>
  <si>
    <t>iaunn</t>
  </si>
  <si>
    <t>iauh</t>
  </si>
  <si>
    <t>[io]</t>
  </si>
  <si>
    <t>io</t>
  </si>
  <si>
    <t>ioh</t>
  </si>
  <si>
    <t>[iɔ]</t>
  </si>
  <si>
    <t>ioo</t>
  </si>
  <si>
    <t>ionn</t>
  </si>
  <si>
    <t>iong</t>
  </si>
  <si>
    <t>iok</t>
  </si>
  <si>
    <t>iooh</t>
  </si>
  <si>
    <t>[iu]</t>
  </si>
  <si>
    <t>iu</t>
  </si>
  <si>
    <t>iunn</t>
  </si>
  <si>
    <t>iuh</t>
  </si>
  <si>
    <t>iunnh</t>
  </si>
  <si>
    <t>[ə]</t>
  </si>
  <si>
    <t>er</t>
  </si>
  <si>
    <t>erh</t>
  </si>
  <si>
    <t>[o]</t>
  </si>
  <si>
    <t>oh</t>
  </si>
  <si>
    <t>[ɔ]</t>
  </si>
  <si>
    <t>onn</t>
  </si>
  <si>
    <t>op</t>
  </si>
  <si>
    <t>ok</t>
  </si>
  <si>
    <t>ooh</t>
  </si>
  <si>
    <t>onnh</t>
  </si>
  <si>
    <t>[ɯ]</t>
  </si>
  <si>
    <t>irm</t>
  </si>
  <si>
    <t>irn</t>
  </si>
  <si>
    <t>irng</t>
  </si>
  <si>
    <t>irp</t>
  </si>
  <si>
    <t>irt</t>
  </si>
  <si>
    <t>irk</t>
  </si>
  <si>
    <t>irh</t>
  </si>
  <si>
    <t>[u]</t>
  </si>
  <si>
    <t>un</t>
  </si>
  <si>
    <t>ut</t>
  </si>
  <si>
    <t>uh</t>
  </si>
  <si>
    <t>[ua]</t>
  </si>
  <si>
    <t>ua</t>
  </si>
  <si>
    <t>uann</t>
  </si>
  <si>
    <t>uan</t>
  </si>
  <si>
    <t>uang</t>
  </si>
  <si>
    <t>uat</t>
  </si>
  <si>
    <t>uah</t>
  </si>
  <si>
    <t>[uai]</t>
  </si>
  <si>
    <t>uai</t>
  </si>
  <si>
    <t>uainn</t>
  </si>
  <si>
    <t>[uɛ]</t>
  </si>
  <si>
    <t>uee</t>
  </si>
  <si>
    <t>ueeh</t>
  </si>
  <si>
    <t>[ue]</t>
  </si>
  <si>
    <t>ue</t>
  </si>
  <si>
    <t>ueh</t>
  </si>
  <si>
    <t>[ui]</t>
  </si>
  <si>
    <t>ui</t>
  </si>
  <si>
    <t>[ɯi]</t>
  </si>
  <si>
    <t>irinn</t>
  </si>
  <si>
    <t>[əe]</t>
  </si>
  <si>
    <t>ere</t>
  </si>
  <si>
    <t>ereh</t>
  </si>
  <si>
    <t>[m̩]</t>
  </si>
  <si>
    <t>－</t>
  </si>
  <si>
    <t>mh</t>
  </si>
  <si>
    <t>[ŋ̍]</t>
  </si>
  <si>
    <t>ng</t>
  </si>
  <si>
    <t>ngh</t>
  </si>
  <si>
    <t>ap</t>
    <phoneticPr fontId="4" type="noConversion"/>
  </si>
  <si>
    <t>ak</t>
    <phoneticPr fontId="4" type="noConversion"/>
  </si>
  <si>
    <t>at</t>
    <phoneticPr fontId="4" type="noConversion"/>
  </si>
  <si>
    <t>ek</t>
    <phoneticPr fontId="4" type="noConversion"/>
  </si>
  <si>
    <t>eng</t>
    <phoneticPr fontId="4" type="noConversion"/>
  </si>
  <si>
    <t>ik</t>
    <phoneticPr fontId="4" type="noConversion"/>
  </si>
  <si>
    <t>it</t>
    <phoneticPr fontId="4" type="noConversion"/>
  </si>
  <si>
    <t>ip</t>
    <phoneticPr fontId="4" type="noConversion"/>
  </si>
  <si>
    <t>ing</t>
    <phoneticPr fontId="4" type="noConversion"/>
  </si>
  <si>
    <t>im</t>
    <phoneticPr fontId="4" type="noConversion"/>
  </si>
  <si>
    <t>iak</t>
    <phoneticPr fontId="4" type="noConversion"/>
  </si>
  <si>
    <t>iang</t>
    <phoneticPr fontId="4" type="noConversion"/>
  </si>
  <si>
    <t>iat</t>
    <phoneticPr fontId="4" type="noConversion"/>
  </si>
  <si>
    <t>iap</t>
    <phoneticPr fontId="4" type="noConversion"/>
  </si>
  <si>
    <t>ian</t>
    <phoneticPr fontId="4" type="noConversion"/>
  </si>
  <si>
    <t>iam</t>
    <phoneticPr fontId="4" type="noConversion"/>
  </si>
  <si>
    <t>iok</t>
    <phoneticPr fontId="4" type="noConversion"/>
  </si>
  <si>
    <t>iong</t>
    <phoneticPr fontId="4" type="noConversion"/>
  </si>
  <si>
    <t>ok</t>
    <phoneticPr fontId="4" type="noConversion"/>
  </si>
  <si>
    <t>op</t>
    <phoneticPr fontId="4" type="noConversion"/>
  </si>
  <si>
    <t>irk</t>
    <phoneticPr fontId="4" type="noConversion"/>
  </si>
  <si>
    <t>irt</t>
    <phoneticPr fontId="4" type="noConversion"/>
  </si>
  <si>
    <t>irp</t>
    <phoneticPr fontId="4" type="noConversion"/>
  </si>
  <si>
    <t>irng</t>
    <phoneticPr fontId="4" type="noConversion"/>
  </si>
  <si>
    <t>irm</t>
    <phoneticPr fontId="4" type="noConversion"/>
  </si>
  <si>
    <t>ut</t>
    <phoneticPr fontId="4" type="noConversion"/>
  </si>
  <si>
    <t>un</t>
    <phoneticPr fontId="4" type="noConversion"/>
  </si>
  <si>
    <t>uat</t>
    <phoneticPr fontId="4" type="noConversion"/>
  </si>
  <si>
    <t>uan</t>
    <phoneticPr fontId="4" type="noConversion"/>
  </si>
  <si>
    <t>uang</t>
    <phoneticPr fontId="4" type="noConversion"/>
  </si>
  <si>
    <t>uak</t>
    <phoneticPr fontId="4" type="noConversion"/>
  </si>
  <si>
    <t>陽聲韻</t>
    <phoneticPr fontId="4" type="noConversion"/>
  </si>
  <si>
    <t>入聲韻</t>
    <phoneticPr fontId="4" type="noConversion"/>
  </si>
  <si>
    <t>[48]</t>
    <phoneticPr fontId="4" type="noConversion"/>
  </si>
  <si>
    <t>aG</t>
  </si>
  <si>
    <t>iG</t>
  </si>
  <si>
    <t>iaG</t>
  </si>
  <si>
    <t>ioG</t>
  </si>
  <si>
    <t>oG</t>
  </si>
  <si>
    <t>irG</t>
  </si>
  <si>
    <t>eG</t>
  </si>
  <si>
    <t>uaG</t>
  </si>
  <si>
    <t>aN</t>
  </si>
  <si>
    <t>iaN</t>
  </si>
  <si>
    <t>uN</t>
  </si>
  <si>
    <t>uaN</t>
  </si>
  <si>
    <t>aM</t>
  </si>
  <si>
    <t>iM</t>
  </si>
  <si>
    <t>iaM</t>
  </si>
  <si>
    <t>oM</t>
  </si>
  <si>
    <t>irM</t>
  </si>
  <si>
    <t>陽声韻</t>
    <phoneticPr fontId="4" type="noConversion"/>
  </si>
  <si>
    <t>入場韻</t>
    <phoneticPr fontId="4" type="noConversion"/>
  </si>
  <si>
    <t>([12357])</t>
    <phoneticPr fontId="4" type="noConversion"/>
  </si>
  <si>
    <t>in</t>
    <phoneticPr fontId="4" type="noConversion"/>
  </si>
  <si>
    <t>iN</t>
    <phoneticPr fontId="4" type="noConversion"/>
  </si>
  <si>
    <t>陽韻韻組</t>
    <phoneticPr fontId="4" type="noConversion"/>
  </si>
  <si>
    <t>irn</t>
    <phoneticPr fontId="4" type="noConversion"/>
  </si>
  <si>
    <t>RIME Script</t>
    <phoneticPr fontId="4" type="noConversion"/>
  </si>
  <si>
    <t>字長</t>
    <phoneticPr fontId="4" type="noConversion"/>
  </si>
  <si>
    <t>按鍵</t>
  </si>
  <si>
    <t>th</t>
  </si>
  <si>
    <t>kh</t>
  </si>
  <si>
    <t>z(ts)</t>
  </si>
  <si>
    <t>c(tsh)</t>
  </si>
  <si>
    <t>j(i)</t>
  </si>
  <si>
    <t>z(i)</t>
  </si>
  <si>
    <t>c(i)</t>
  </si>
  <si>
    <t>s(i)</t>
  </si>
  <si>
    <t>-n</t>
  </si>
  <si>
    <t>-p</t>
  </si>
  <si>
    <t>-t</t>
  </si>
  <si>
    <t>-k</t>
  </si>
  <si>
    <t>-h</t>
  </si>
  <si>
    <t>aⁿ</t>
  </si>
  <si>
    <t>iⁿ</t>
  </si>
  <si>
    <t>uⁿ</t>
  </si>
  <si>
    <t>eⁿ</t>
  </si>
  <si>
    <t>oⁿ</t>
  </si>
  <si>
    <t>aiⁿ</t>
  </si>
  <si>
    <t>auⁿ</t>
  </si>
  <si>
    <t>g</t>
    <phoneticPr fontId="4" type="noConversion"/>
  </si>
  <si>
    <t>台羅拼音</t>
  </si>
  <si>
    <t>台羅拼音</t>
    <phoneticPr fontId="4" type="noConversion"/>
  </si>
  <si>
    <t>alphabet:</t>
    <phoneticPr fontId="4" type="noConversion"/>
  </si>
  <si>
    <t>huan_ciat_tps</t>
    <phoneticPr fontId="4" type="noConversion"/>
  </si>
  <si>
    <t>&amp;</t>
    <phoneticPr fontId="4" type="noConversion"/>
  </si>
  <si>
    <t>zu_im_bpm2</t>
    <phoneticPr fontId="4" type="noConversion"/>
  </si>
  <si>
    <t>D</t>
    <phoneticPr fontId="4" type="noConversion"/>
  </si>
  <si>
    <t>ts</t>
    <phoneticPr fontId="4" type="noConversion"/>
  </si>
  <si>
    <t>tsh</t>
    <phoneticPr fontId="4" type="noConversion"/>
  </si>
  <si>
    <t>ts(i)</t>
    <phoneticPr fontId="4" type="noConversion"/>
  </si>
  <si>
    <t>tsh(i)</t>
    <phoneticPr fontId="4" type="noConversion"/>
  </si>
  <si>
    <t>ann</t>
    <phoneticPr fontId="4" type="noConversion"/>
  </si>
  <si>
    <t>inn</t>
    <phoneticPr fontId="4" type="noConversion"/>
  </si>
  <si>
    <t>unn</t>
    <phoneticPr fontId="4" type="noConversion"/>
  </si>
  <si>
    <t>enn</t>
    <phoneticPr fontId="4" type="noConversion"/>
  </si>
  <si>
    <t>onn</t>
    <phoneticPr fontId="4" type="noConversion"/>
  </si>
  <si>
    <t>ainn</t>
    <phoneticPr fontId="4" type="noConversion"/>
  </si>
  <si>
    <t>aunn</t>
    <phoneticPr fontId="4" type="noConversion"/>
  </si>
  <si>
    <t>Ğ</t>
  </si>
  <si>
    <t>N</t>
    <phoneticPr fontId="4" type="noConversion"/>
  </si>
  <si>
    <t>speller</t>
    <phoneticPr fontId="4" type="noConversion"/>
  </si>
  <si>
    <t>./alphabet</t>
    <phoneticPr fontId="4" type="noConversion"/>
  </si>
  <si>
    <t>./initials</t>
    <phoneticPr fontId="4" type="noConversion"/>
  </si>
  <si>
    <t>陽入</t>
    <phoneticPr fontId="4" type="noConversion"/>
  </si>
  <si>
    <t>陰入</t>
    <phoneticPr fontId="4" type="noConversion"/>
  </si>
  <si>
    <t>陰平</t>
    <phoneticPr fontId="4" type="noConversion"/>
  </si>
  <si>
    <t>輕声</t>
    <phoneticPr fontId="4" type="noConversion"/>
  </si>
  <si>
    <r>
      <rPr>
        <sz val="16"/>
        <color rgb="FFFF0000"/>
        <rFont val="Noto Sans TC"/>
        <family val="2"/>
      </rPr>
      <t>ㄥ</t>
    </r>
    <r>
      <rPr>
        <sz val="26"/>
        <color rgb="FFFF0000"/>
        <rFont val="Noto Sans TC"/>
        <family val="2"/>
        <charset val="136"/>
      </rPr>
      <t>ㄚ</t>
    </r>
    <phoneticPr fontId="4" type="noConversion"/>
  </si>
  <si>
    <r>
      <t>a</t>
    </r>
    <r>
      <rPr>
        <vertAlign val="superscript"/>
        <sz val="20"/>
        <color theme="4"/>
        <rFont val="Arial"/>
        <family val="2"/>
      </rPr>
      <t>n</t>
    </r>
    <phoneticPr fontId="4" type="noConversion"/>
  </si>
  <si>
    <t>"</t>
    <phoneticPr fontId="4" type="noConversion"/>
  </si>
  <si>
    <t>zi</t>
    <phoneticPr fontId="4" type="noConversion"/>
  </si>
  <si>
    <t>ji</t>
    <phoneticPr fontId="4" type="noConversion"/>
  </si>
  <si>
    <t>ci</t>
    <phoneticPr fontId="4" type="noConversion"/>
  </si>
  <si>
    <t>si</t>
    <phoneticPr fontId="4" type="noConversion"/>
  </si>
  <si>
    <t>./finals</t>
    <phoneticPr fontId="4" type="noConversion"/>
  </si>
  <si>
    <t>Ø</t>
  </si>
  <si>
    <t>Ø</t>
    <phoneticPr fontId="4" type="noConversion"/>
  </si>
  <si>
    <t>=</t>
    <phoneticPr fontId="4" type="noConversion"/>
  </si>
  <si>
    <t>-</t>
    <phoneticPr fontId="4" type="noConversion"/>
  </si>
  <si>
    <t>ñ</t>
  </si>
  <si>
    <t>[48]</t>
  </si>
  <si>
    <t>-</t>
  </si>
  <si>
    <t>台語注音二式</t>
    <phoneticPr fontId="4" type="noConversion"/>
  </si>
  <si>
    <t>ts</t>
  </si>
  <si>
    <t>tsh</t>
  </si>
  <si>
    <t>ts(i)</t>
  </si>
  <si>
    <t>tsh(i)</t>
  </si>
  <si>
    <t>&amp;</t>
  </si>
  <si>
    <t>7</t>
  </si>
  <si>
    <t>3</t>
  </si>
  <si>
    <t>5</t>
  </si>
  <si>
    <t>4</t>
  </si>
  <si>
    <t>6</t>
  </si>
  <si>
    <t>"</t>
  </si>
  <si>
    <t>=</t>
  </si>
  <si>
    <t>!1qa2wsxEedNcYyhnRrfv8uKj,ik9l*UJ&lt;I(Lm/pM0;Oobtgz=-"5346[].7</t>
  </si>
  <si>
    <t>BbpmdtnlĞgkŋhZzcsJjCSaiwueOəIUDfqrvxyMGNY@AWHRFQVØL173254806</t>
    <phoneticPr fontId="4" type="noConversion"/>
  </si>
  <si>
    <t>!1qa2wsxEedNcYyhnRrfv8uKj,ik9l*UJ&lt;I(Lm/pM0;Oobtgz=-"5346[].7</t>
    <phoneticPr fontId="4" type="noConversion"/>
  </si>
  <si>
    <t>ㆠㄅㄆㄇㄉㄊㄋㄌㆣㄍㄎㄫㄏㆡㄗㄘㄙㆢㄐㄑㄒㄚㄧㆨㄨㆤㆦㄜㄞㄠㆩㆪㆫㆥㆧㆮㆯㆬㆭㄣㆰㄢㄤㆱㆲㆴㆵㆻㆷØㄥ一七三二五四八輕ʔ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</si>
</sst>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;;"/>
  </numFmts>
  <fonts count="127">
    <font>
      <sz val="16"/>
      <color rgb="FF000000"/>
      <name val="新細明體"/>
      <family val="1"/>
      <charset val="136"/>
      <scheme val="minor"/>
    </font>
    <font>
      <sz val="16"/>
      <color rgb="FFFF0000"/>
      <name val="Noto Sans TC Medium"/>
      <family val="2"/>
      <charset val="136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Noto Sans TC Medium"/>
      <family val="2"/>
      <charset val="136"/>
    </font>
    <font>
      <sz val="9"/>
      <name val="新細明體"/>
      <family val="1"/>
      <charset val="136"/>
      <scheme val="minor"/>
    </font>
    <font>
      <sz val="16"/>
      <color theme="2"/>
      <name val="Noto Sans TC Medium"/>
      <family val="2"/>
      <charset val="136"/>
    </font>
    <font>
      <sz val="16"/>
      <color rgb="FFFFFF00"/>
      <name val="Noto Sans TC Medium"/>
      <family val="2"/>
      <charset val="136"/>
    </font>
    <font>
      <sz val="10"/>
      <color rgb="FF000000"/>
      <name val="新細明體"/>
      <family val="1"/>
      <charset val="136"/>
      <scheme val="minor"/>
    </font>
    <font>
      <sz val="12"/>
      <name val="宋体"/>
      <family val="3"/>
      <charset val="136"/>
    </font>
    <font>
      <sz val="20"/>
      <name val="宋体"/>
    </font>
    <font>
      <sz val="24"/>
      <color rgb="FF000000"/>
      <name val="新細明體"/>
      <family val="1"/>
      <charset val="136"/>
      <scheme val="minor"/>
    </font>
    <font>
      <sz val="24"/>
      <color rgb="FF000000"/>
      <name val="Iansui 094"/>
      <family val="3"/>
      <charset val="136"/>
    </font>
    <font>
      <sz val="20"/>
      <color rgb="FF000000"/>
      <name val="Iansui 094"/>
      <family val="3"/>
      <charset val="136"/>
    </font>
    <font>
      <sz val="18"/>
      <name val="Microsoft JhengHei"/>
      <family val="2"/>
      <charset val="136"/>
    </font>
    <font>
      <sz val="22"/>
      <color rgb="FF000000"/>
      <name val="Noto Sans TC Light"/>
      <family val="2"/>
      <charset val="136"/>
    </font>
    <font>
      <sz val="20"/>
      <color rgb="FF000000"/>
      <name val="新細明體"/>
      <family val="1"/>
      <charset val="136"/>
      <scheme val="minor"/>
    </font>
    <font>
      <b/>
      <sz val="20"/>
      <color rgb="FF000000"/>
      <name val="宋体"/>
    </font>
    <font>
      <b/>
      <sz val="20"/>
      <color rgb="FF000000"/>
      <name val="Times New Roman"/>
      <family val="1"/>
    </font>
    <font>
      <b/>
      <sz val="20"/>
      <color rgb="FF000000"/>
      <name val="SimSun"/>
      <charset val="134"/>
    </font>
    <font>
      <sz val="20"/>
      <color rgb="FF000000"/>
      <name val="宋体"/>
    </font>
    <font>
      <b/>
      <sz val="24"/>
      <color theme="7" tint="-0.249977111117893"/>
      <name val="Times New Roman"/>
      <family val="1"/>
    </font>
    <font>
      <b/>
      <sz val="20"/>
      <color rgb="FF000000"/>
      <name val="Arial"/>
      <family val="2"/>
    </font>
    <font>
      <sz val="18"/>
      <color rgb="FFFF0000"/>
      <name val="BopomofoRuby1909-v1"/>
      <family val="2"/>
      <charset val="136"/>
    </font>
    <font>
      <sz val="24"/>
      <name val="宋体"/>
    </font>
    <font>
      <sz val="26"/>
      <color rgb="FFFF0000"/>
      <name val="KangXiZiDian.com 康熙字典體常用版"/>
      <charset val="136"/>
    </font>
    <font>
      <sz val="26"/>
      <color theme="7" tint="-0.249977111117893"/>
      <name val="KangXiZiDian.com 康熙字典體常用版"/>
      <charset val="136"/>
    </font>
    <font>
      <sz val="20"/>
      <color theme="4"/>
      <name val="Arial"/>
      <family val="2"/>
    </font>
    <font>
      <sz val="26"/>
      <color rgb="FFFF0000"/>
      <name val="Noto Sans TC"/>
      <family val="2"/>
      <charset val="136"/>
    </font>
    <font>
      <sz val="14"/>
      <color rgb="FFFF0000"/>
      <name val="KangXiZiDian.com 康熙字典體常用版"/>
      <charset val="136"/>
    </font>
    <font>
      <sz val="18"/>
      <name val="宋体"/>
    </font>
    <font>
      <sz val="24"/>
      <name val="Microsoft JhengHei"/>
      <family val="2"/>
      <charset val="136"/>
    </font>
    <font>
      <sz val="24"/>
      <name val="Noto Serif TC Medium"/>
      <family val="1"/>
      <charset val="136"/>
    </font>
    <font>
      <sz val="24"/>
      <color theme="0"/>
      <name val="Iansui 094"/>
      <family val="3"/>
      <charset val="136"/>
    </font>
    <font>
      <sz val="18"/>
      <name val="Noto Serif TC Medium"/>
      <family val="1"/>
      <charset val="136"/>
    </font>
    <font>
      <sz val="20"/>
      <color theme="0"/>
      <name val="Iansui 094"/>
      <family val="3"/>
      <charset val="136"/>
    </font>
    <font>
      <sz val="18"/>
      <name val="Arial"/>
      <family val="2"/>
    </font>
    <font>
      <sz val="20"/>
      <color rgb="FFFF0000"/>
      <name val="Iansui 094"/>
      <family val="3"/>
      <charset val="136"/>
    </font>
    <font>
      <sz val="28"/>
      <name val="Noto Serif TC Medium"/>
      <family val="1"/>
      <charset val="136"/>
    </font>
    <font>
      <sz val="22"/>
      <color rgb="FFFF0000"/>
      <name val="Noto Sans TC Light"/>
      <family val="2"/>
      <charset val="136"/>
    </font>
    <font>
      <b/>
      <sz val="18"/>
      <color rgb="FF000000"/>
      <name val="Arial"/>
      <family val="2"/>
    </font>
    <font>
      <sz val="18"/>
      <color theme="4"/>
      <name val="Microsoft JhengHei UI"/>
      <family val="2"/>
      <charset val="136"/>
    </font>
    <font>
      <b/>
      <sz val="20"/>
      <color theme="8"/>
      <name val="Times New Roman"/>
      <family val="1"/>
    </font>
    <font>
      <b/>
      <sz val="24"/>
      <color rgb="FF00B050"/>
      <name val="Times New Roman"/>
      <family val="1"/>
    </font>
    <font>
      <sz val="18"/>
      <color rgb="FF0070C0"/>
      <name val="新細明體"/>
      <family val="1"/>
      <charset val="136"/>
      <scheme val="minor"/>
    </font>
    <font>
      <sz val="18"/>
      <color rgb="FF0070C0"/>
      <name val="宋体"/>
    </font>
    <font>
      <sz val="18"/>
      <color rgb="FF0070C0"/>
      <name val="LXGW WenKai Mono"/>
      <family val="3"/>
      <charset val="136"/>
    </font>
    <font>
      <sz val="18"/>
      <color rgb="FF00B0F0"/>
      <name val="Arial"/>
      <family val="2"/>
    </font>
    <font>
      <sz val="18"/>
      <color rgb="FFFF0000"/>
      <name val="Arial"/>
      <family val="2"/>
    </font>
    <font>
      <b/>
      <sz val="18"/>
      <color theme="8" tint="0.39997558519241921"/>
      <name val="Arial"/>
      <family val="2"/>
    </font>
    <font>
      <sz val="18"/>
      <color rgb="FF000000"/>
      <name val="新細明體"/>
      <family val="1"/>
      <charset val="136"/>
      <scheme val="minor"/>
    </font>
    <font>
      <sz val="18"/>
      <name val="細明體"/>
      <family val="3"/>
      <charset val="136"/>
    </font>
    <font>
      <sz val="18"/>
      <name val="LXGW WenKai Mono"/>
      <family val="3"/>
      <charset val="136"/>
    </font>
    <font>
      <sz val="24"/>
      <name val="Arial"/>
      <family val="2"/>
    </font>
    <font>
      <b/>
      <sz val="24"/>
      <color rgb="FFFF0000"/>
      <name val="Arial"/>
      <family val="2"/>
    </font>
    <font>
      <sz val="18"/>
      <color theme="0"/>
      <name val="LXGW WenKai Mono"/>
      <family val="3"/>
      <charset val="136"/>
    </font>
    <font>
      <sz val="18"/>
      <color rgb="FFFFFF00"/>
      <name val="LXGW WenKai Mono"/>
      <family val="3"/>
      <charset val="136"/>
    </font>
    <font>
      <sz val="20"/>
      <name val="Arial"/>
      <family val="2"/>
    </font>
    <font>
      <sz val="18"/>
      <color rgb="FF000000"/>
      <name val="Arial"/>
      <family val="2"/>
    </font>
    <font>
      <sz val="24"/>
      <color rgb="FF000000"/>
      <name val="Arial"/>
      <family val="2"/>
    </font>
    <font>
      <sz val="20"/>
      <color rgb="FF000000"/>
      <name val="Arial"/>
      <family val="2"/>
    </font>
    <font>
      <sz val="22"/>
      <color rgb="FF000000"/>
      <name val="Arial"/>
      <family val="2"/>
    </font>
    <font>
      <sz val="20"/>
      <color theme="2"/>
      <name val="Arial"/>
      <family val="2"/>
    </font>
    <font>
      <b/>
      <sz val="20"/>
      <color theme="2"/>
      <name val="Arial"/>
      <family val="2"/>
    </font>
    <font>
      <sz val="18"/>
      <color theme="2"/>
      <name val="Arial"/>
      <family val="2"/>
    </font>
    <font>
      <sz val="24"/>
      <color theme="2"/>
      <name val="Arial"/>
      <family val="2"/>
    </font>
    <font>
      <sz val="22"/>
      <color rgb="FFFF0000"/>
      <name val="Iansui 094"/>
      <family val="3"/>
      <charset val="136"/>
    </font>
    <font>
      <sz val="22"/>
      <name val="宋体"/>
      <family val="3"/>
      <charset val="136"/>
    </font>
    <font>
      <sz val="28"/>
      <color theme="8"/>
      <name val="Noto Serif TC Bold"/>
      <family val="2"/>
      <charset val="136"/>
    </font>
    <font>
      <b/>
      <sz val="18"/>
      <color rgb="FFFF0000"/>
      <name val="Microsoft JhengHei"/>
      <family val="2"/>
      <charset val="136"/>
    </font>
    <font>
      <sz val="24"/>
      <color rgb="FF000000"/>
      <name val="Noto Sans TC Medium"/>
      <family val="2"/>
      <charset val="136"/>
    </font>
    <font>
      <sz val="22"/>
      <color rgb="FFFF0000"/>
      <name val="Arial"/>
      <family val="2"/>
    </font>
    <font>
      <sz val="22"/>
      <name val="宋体"/>
    </font>
    <font>
      <sz val="22"/>
      <color rgb="FF000000"/>
      <name val="新細明體"/>
      <family val="1"/>
      <charset val="136"/>
      <scheme val="minor"/>
    </font>
    <font>
      <sz val="28"/>
      <color theme="8"/>
      <name val="Microsoft JhengHei"/>
      <family val="2"/>
      <charset val="136"/>
    </font>
    <font>
      <sz val="28"/>
      <color theme="8"/>
      <name val="Calibri"/>
      <family val="2"/>
    </font>
    <font>
      <sz val="18"/>
      <color rgb="FF000000"/>
      <name val="SimSun"/>
      <charset val="134"/>
    </font>
    <font>
      <sz val="18"/>
      <color rgb="FF000000"/>
      <name val="BopomofoRuby1909-v1"/>
      <family val="3"/>
      <charset val="136"/>
    </font>
    <font>
      <sz val="18"/>
      <color rgb="FF444444"/>
      <name val="Arial"/>
      <family val="2"/>
    </font>
    <font>
      <sz val="24"/>
      <color rgb="FF444444"/>
      <name val="霞鶩文楷等寬 TC"/>
      <family val="3"/>
      <charset val="136"/>
    </font>
    <font>
      <sz val="18"/>
      <color rgb="FF000000"/>
      <name val="霞鶩文楷等寬 TC"/>
      <family val="3"/>
      <charset val="136"/>
    </font>
    <font>
      <sz val="18"/>
      <color rgb="FF000000"/>
      <name val="Noto Sans TC"/>
      <family val="2"/>
      <charset val="136"/>
    </font>
    <font>
      <sz val="18"/>
      <color rgb="FFFF0000"/>
      <name val="Iansui 094"/>
      <family val="3"/>
      <charset val="136"/>
    </font>
    <font>
      <sz val="24"/>
      <color rgb="FF000000"/>
      <name val="霞鶩文楷等寬 TC"/>
      <family val="3"/>
      <charset val="136"/>
    </font>
    <font>
      <b/>
      <sz val="24"/>
      <color rgb="FFFF0000"/>
      <name val="霞鶩文楷等寬 TC"/>
      <family val="3"/>
      <charset val="136"/>
    </font>
    <font>
      <b/>
      <sz val="24"/>
      <color theme="0"/>
      <name val="霞鶩文楷等寬 TC"/>
      <family val="3"/>
      <charset val="136"/>
    </font>
    <font>
      <sz val="28"/>
      <color theme="8"/>
      <name val="Noto Serif TC Bold"/>
      <family val="1"/>
      <charset val="136"/>
    </font>
    <font>
      <sz val="18"/>
      <color rgb="FF000000"/>
      <name val="Microsoft JhengHei"/>
      <family val="2"/>
      <charset val="136"/>
    </font>
    <font>
      <b/>
      <sz val="20"/>
      <color rgb="FFFF0000"/>
      <name val="Arial"/>
      <family val="2"/>
    </font>
    <font>
      <sz val="18"/>
      <color rgb="FF000000"/>
      <name val="PMingLiU"/>
      <family val="1"/>
      <charset val="136"/>
    </font>
    <font>
      <sz val="18"/>
      <color theme="0"/>
      <name val="Noto Sans TC"/>
      <family val="2"/>
      <charset val="136"/>
    </font>
    <font>
      <sz val="18"/>
      <color theme="0"/>
      <name val="Arial"/>
      <family val="2"/>
    </font>
    <font>
      <sz val="36"/>
      <color rgb="FF000000"/>
      <name val="JetBrainsMonoNL NF Medium"/>
      <family val="3"/>
    </font>
    <font>
      <sz val="9"/>
      <name val="BopomofoRuby1909-v1"/>
      <family val="3"/>
      <charset val="136"/>
    </font>
    <font>
      <sz val="14"/>
      <color rgb="FF000000"/>
      <name val="Noto Sans TC Medium"/>
      <family val="2"/>
      <charset val="136"/>
    </font>
    <font>
      <sz val="14"/>
      <color rgb="FF000000"/>
      <name val="Noto Sans TC Medium"/>
      <family val="2"/>
    </font>
    <font>
      <sz val="11"/>
      <color rgb="FF6C6C6C"/>
      <name val="Arial"/>
      <family val="2"/>
    </font>
    <font>
      <b/>
      <sz val="16"/>
      <color rgb="FFFFFF00"/>
      <name val="Noto Sans TC Medium"/>
      <family val="2"/>
    </font>
    <font>
      <sz val="24"/>
      <color theme="1"/>
      <name val="Iansui 094"/>
      <family val="3"/>
      <charset val="136"/>
    </font>
    <font>
      <sz val="16"/>
      <color rgb="FF000000"/>
      <name val="Cascadia Next TC Medium"/>
      <family val="3"/>
      <charset val="136"/>
    </font>
    <font>
      <sz val="16"/>
      <color rgb="FF000000"/>
      <name val="Cascadia Next TC SemiBold"/>
      <family val="3"/>
      <charset val="136"/>
    </font>
    <font>
      <b/>
      <sz val="18"/>
      <color rgb="FF202122"/>
      <name val="Arial"/>
      <family val="2"/>
    </font>
    <font>
      <sz val="18"/>
      <color rgb="FF202122"/>
      <name val="Arial"/>
      <family val="2"/>
    </font>
    <font>
      <sz val="16"/>
      <color rgb="FFFF0000"/>
      <name val="Cascadia Next TC Medium"/>
      <family val="3"/>
      <charset val="136"/>
    </font>
    <font>
      <sz val="16"/>
      <color theme="0" tint="-0.14999847407452621"/>
      <name val="Cascadia Next TC Medium"/>
      <family val="3"/>
      <charset val="136"/>
    </font>
    <font>
      <sz val="16"/>
      <color theme="0"/>
      <name val="Noto Sans TC Medium"/>
      <family val="2"/>
      <charset val="136"/>
    </font>
    <font>
      <sz val="16"/>
      <color theme="7" tint="-0.249977111117893"/>
      <name val="Noto Sans TC Medium"/>
      <family val="2"/>
      <charset val="136"/>
    </font>
    <font>
      <sz val="16"/>
      <color rgb="FFC00000"/>
      <name val="Noto Sans TC Medium"/>
      <family val="2"/>
    </font>
    <font>
      <sz val="14"/>
      <color rgb="FFC00000"/>
      <name val="Noto Sans TC Medium"/>
      <family val="2"/>
      <charset val="136"/>
    </font>
    <font>
      <sz val="16"/>
      <color rgb="FFFF0000"/>
      <name val="Arial"/>
      <family val="2"/>
    </font>
    <font>
      <b/>
      <sz val="16"/>
      <color rgb="FFFF0000"/>
      <name val="Noto Sans TC Medium"/>
      <family val="2"/>
      <charset val="136"/>
    </font>
    <font>
      <sz val="36"/>
      <color rgb="FFFF0000"/>
      <name val="Noto Sans TC"/>
      <family val="2"/>
      <charset val="136"/>
    </font>
    <font>
      <sz val="36"/>
      <color rgb="FFFF0000"/>
      <name val="Noto Sans TC"/>
      <family val="2"/>
    </font>
    <font>
      <sz val="16"/>
      <color rgb="FFFF0000"/>
      <name val="Noto Sans TC"/>
      <family val="2"/>
    </font>
    <font>
      <b/>
      <sz val="18"/>
      <color rgb="FFFF0000"/>
      <name val="Noto Sans TC"/>
      <family val="2"/>
    </font>
    <font>
      <b/>
      <sz val="16"/>
      <color rgb="FFFF0000"/>
      <name val="Noto Sans TC"/>
      <family val="2"/>
    </font>
    <font>
      <b/>
      <sz val="24"/>
      <color theme="8"/>
      <name val="Microsoft JhengHei"/>
      <family val="2"/>
      <charset val="136"/>
    </font>
    <font>
      <sz val="26"/>
      <color rgb="FFFF0000"/>
      <name val="Noto Sans TC"/>
      <family val="2"/>
    </font>
    <font>
      <vertAlign val="superscript"/>
      <sz val="20"/>
      <color theme="4"/>
      <name val="Arial"/>
      <family val="2"/>
    </font>
    <font>
      <b/>
      <sz val="20"/>
      <color rgb="FF000000"/>
      <name val="Segoe UI"/>
      <family val="2"/>
    </font>
    <font>
      <b/>
      <sz val="14"/>
      <color rgb="FF7030A0"/>
      <name val="Noto Sans TC Medium"/>
      <family val="2"/>
      <charset val="136"/>
    </font>
    <font>
      <b/>
      <sz val="16"/>
      <color rgb="FF7030A0"/>
      <name val="Noto Sans TC Medium"/>
      <family val="2"/>
    </font>
    <font>
      <b/>
      <sz val="26"/>
      <color rgb="FFFF0000"/>
      <name val="KangXiZiDian.com 康熙字典體常用版"/>
      <family val="1"/>
      <charset val="136"/>
    </font>
    <font>
      <b/>
      <sz val="24"/>
      <color rgb="FF000000"/>
      <name val="Segoe UI"/>
      <family val="2"/>
    </font>
    <font>
      <sz val="20"/>
      <color rgb="FFFF0000"/>
      <name val="Segoe UI"/>
      <family val="2"/>
    </font>
    <font>
      <sz val="24"/>
      <color theme="0"/>
      <name val="細明體"/>
      <family val="1"/>
      <charset val="136"/>
    </font>
    <font>
      <sz val="24"/>
      <color theme="0"/>
      <name val="細明體"/>
      <family val="3"/>
      <charset val="136"/>
    </font>
    <font>
      <sz val="16"/>
      <color rgb="FFFF0000"/>
      <name val="Sarasa Fixed CL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2" fillId="0" borderId="0"/>
  </cellStyleXfs>
  <cellXfs count="291">
    <xf numFmtId="0" fontId="0" fillId="0" borderId="0" xfId="0"/>
    <xf numFmtId="0" fontId="3" fillId="0" borderId="0" xfId="0" applyFont="1"/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9" fillId="0" borderId="0" xfId="1" applyFont="1"/>
    <xf numFmtId="0" fontId="7" fillId="0" borderId="0" xfId="1"/>
    <xf numFmtId="0" fontId="10" fillId="0" borderId="0" xfId="1" applyFont="1"/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0" xfId="1" applyFont="1"/>
    <xf numFmtId="0" fontId="12" fillId="0" borderId="0" xfId="0" applyFont="1"/>
    <xf numFmtId="0" fontId="13" fillId="6" borderId="1" xfId="0" applyFont="1" applyFill="1" applyBorder="1" applyAlignment="1">
      <alignment horizontal="center" vertical="center"/>
    </xf>
    <xf numFmtId="0" fontId="14" fillId="0" borderId="0" xfId="1" applyFont="1"/>
    <xf numFmtId="0" fontId="15" fillId="0" borderId="0" xfId="1" applyFont="1"/>
    <xf numFmtId="0" fontId="16" fillId="0" borderId="0" xfId="1" applyFont="1" applyAlignment="1">
      <alignment horizontal="center"/>
    </xf>
    <xf numFmtId="0" fontId="17" fillId="7" borderId="2" xfId="1" applyFont="1" applyFill="1" applyBorder="1" applyAlignment="1">
      <alignment horizontal="centerContinuous"/>
    </xf>
    <xf numFmtId="0" fontId="17" fillId="7" borderId="3" xfId="1" applyFont="1" applyFill="1" applyBorder="1" applyAlignment="1">
      <alignment horizontal="centerContinuous"/>
    </xf>
    <xf numFmtId="0" fontId="17" fillId="7" borderId="4" xfId="1" applyFont="1" applyFill="1" applyBorder="1" applyAlignment="1">
      <alignment horizontal="centerContinuous"/>
    </xf>
    <xf numFmtId="0" fontId="17" fillId="8" borderId="2" xfId="1" applyFont="1" applyFill="1" applyBorder="1" applyAlignment="1">
      <alignment horizontal="centerContinuous"/>
    </xf>
    <xf numFmtId="0" fontId="17" fillId="8" borderId="3" xfId="1" applyFont="1" applyFill="1" applyBorder="1" applyAlignment="1">
      <alignment horizontal="centerContinuous"/>
    </xf>
    <xf numFmtId="0" fontId="17" fillId="8" borderId="4" xfId="1" applyFont="1" applyFill="1" applyBorder="1" applyAlignment="1">
      <alignment horizontal="centerContinuous"/>
    </xf>
    <xf numFmtId="9" fontId="17" fillId="8" borderId="2" xfId="1" applyNumberFormat="1" applyFont="1" applyFill="1" applyBorder="1" applyAlignment="1">
      <alignment horizontal="centerContinuous"/>
    </xf>
    <xf numFmtId="9" fontId="17" fillId="8" borderId="3" xfId="1" applyNumberFormat="1" applyFont="1" applyFill="1" applyBorder="1" applyAlignment="1">
      <alignment horizontal="centerContinuous"/>
    </xf>
    <xf numFmtId="9" fontId="17" fillId="8" borderId="4" xfId="1" applyNumberFormat="1" applyFont="1" applyFill="1" applyBorder="1" applyAlignment="1">
      <alignment horizontal="centerContinuous"/>
    </xf>
    <xf numFmtId="0" fontId="17" fillId="9" borderId="2" xfId="1" applyFont="1" applyFill="1" applyBorder="1" applyAlignment="1">
      <alignment horizontal="centerContinuous"/>
    </xf>
    <xf numFmtId="0" fontId="17" fillId="9" borderId="3" xfId="1" applyFont="1" applyFill="1" applyBorder="1" applyAlignment="1">
      <alignment horizontal="centerContinuous"/>
    </xf>
    <xf numFmtId="0" fontId="17" fillId="9" borderId="4" xfId="1" applyFont="1" applyFill="1" applyBorder="1" applyAlignment="1">
      <alignment horizontal="centerContinuous"/>
    </xf>
    <xf numFmtId="0" fontId="18" fillId="9" borderId="2" xfId="1" applyFont="1" applyFill="1" applyBorder="1" applyAlignment="1">
      <alignment horizontal="centerContinuous"/>
    </xf>
    <xf numFmtId="0" fontId="18" fillId="9" borderId="3" xfId="1" applyFont="1" applyFill="1" applyBorder="1" applyAlignment="1">
      <alignment horizontal="centerContinuous"/>
    </xf>
    <xf numFmtId="0" fontId="18" fillId="9" borderId="4" xfId="1" applyFont="1" applyFill="1" applyBorder="1" applyAlignment="1">
      <alignment horizontal="centerContinuous"/>
    </xf>
    <xf numFmtId="0" fontId="19" fillId="0" borderId="0" xfId="1" applyFont="1"/>
    <xf numFmtId="0" fontId="15" fillId="0" borderId="1" xfId="1" applyFont="1" applyBorder="1"/>
    <xf numFmtId="176" fontId="20" fillId="7" borderId="5" xfId="1" applyNumberFormat="1" applyFont="1" applyFill="1" applyBorder="1" applyAlignment="1">
      <alignment horizontal="center" vertical="center"/>
    </xf>
    <xf numFmtId="0" fontId="17" fillId="7" borderId="0" xfId="1" applyFont="1" applyFill="1" applyAlignment="1">
      <alignment horizontal="center" vertical="center"/>
    </xf>
    <xf numFmtId="0" fontId="21" fillId="7" borderId="6" xfId="1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7" fillId="7" borderId="6" xfId="1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7" fillId="8" borderId="0" xfId="1" applyFont="1" applyFill="1" applyAlignment="1">
      <alignment horizontal="center" vertical="center"/>
    </xf>
    <xf numFmtId="0" fontId="17" fillId="8" borderId="6" xfId="1" applyFont="1" applyFill="1" applyBorder="1" applyAlignment="1">
      <alignment horizontal="center" vertical="center"/>
    </xf>
    <xf numFmtId="9" fontId="17" fillId="8" borderId="5" xfId="1" applyNumberFormat="1" applyFont="1" applyFill="1" applyBorder="1" applyAlignment="1">
      <alignment horizontal="center" vertical="center"/>
    </xf>
    <xf numFmtId="9" fontId="17" fillId="8" borderId="0" xfId="1" applyNumberFormat="1" applyFont="1" applyFill="1" applyAlignment="1">
      <alignment horizontal="center" vertical="center"/>
    </xf>
    <xf numFmtId="9" fontId="17" fillId="8" borderId="6" xfId="1" applyNumberFormat="1" applyFont="1" applyFill="1" applyBorder="1" applyAlignment="1">
      <alignment horizontal="center" vertical="center"/>
    </xf>
    <xf numFmtId="176" fontId="20" fillId="9" borderId="5" xfId="1" applyNumberFormat="1" applyFont="1" applyFill="1" applyBorder="1" applyAlignment="1">
      <alignment horizontal="center" vertical="center"/>
    </xf>
    <xf numFmtId="0" fontId="17" fillId="9" borderId="0" xfId="1" applyFont="1" applyFill="1" applyAlignment="1">
      <alignment horizontal="center" vertical="center"/>
    </xf>
    <xf numFmtId="176" fontId="21" fillId="9" borderId="6" xfId="1" applyNumberFormat="1" applyFont="1" applyFill="1" applyBorder="1" applyAlignment="1">
      <alignment horizontal="center" vertical="center"/>
    </xf>
    <xf numFmtId="176" fontId="17" fillId="9" borderId="0" xfId="1" applyNumberFormat="1" applyFont="1" applyFill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1" applyFont="1" applyFill="1" applyBorder="1" applyAlignment="1">
      <alignment horizontal="center" vertical="center"/>
    </xf>
    <xf numFmtId="0" fontId="18" fillId="9" borderId="5" xfId="1" applyFont="1" applyFill="1" applyBorder="1" applyAlignment="1">
      <alignment horizontal="center" vertical="center"/>
    </xf>
    <xf numFmtId="0" fontId="18" fillId="9" borderId="0" xfId="1" applyFont="1" applyFill="1" applyAlignment="1">
      <alignment horizontal="center" vertical="center"/>
    </xf>
    <xf numFmtId="0" fontId="18" fillId="9" borderId="6" xfId="1" applyFont="1" applyFill="1" applyBorder="1" applyAlignment="1">
      <alignment horizontal="center" vertical="center"/>
    </xf>
    <xf numFmtId="0" fontId="22" fillId="0" borderId="0" xfId="2" applyFont="1"/>
    <xf numFmtId="0" fontId="23" fillId="0" borderId="0" xfId="2" applyFont="1" applyAlignment="1">
      <alignment horizontal="center" vertical="center"/>
    </xf>
    <xf numFmtId="0" fontId="23" fillId="0" borderId="0" xfId="2" applyFont="1" applyAlignment="1">
      <alignment horizontal="left" vertical="center"/>
    </xf>
    <xf numFmtId="0" fontId="12" fillId="0" borderId="0" xfId="1" applyFont="1"/>
    <xf numFmtId="0" fontId="8" fillId="0" borderId="0" xfId="1" applyFont="1" applyAlignment="1">
      <alignment horizontal="center" vertical="center"/>
    </xf>
    <xf numFmtId="176" fontId="24" fillId="7" borderId="7" xfId="1" applyNumberFormat="1" applyFont="1" applyFill="1" applyBorder="1" applyAlignment="1">
      <alignment horizontal="center" vertical="center"/>
    </xf>
    <xf numFmtId="176" fontId="25" fillId="7" borderId="8" xfId="1" applyNumberFormat="1" applyFont="1" applyFill="1" applyBorder="1" applyAlignment="1">
      <alignment vertical="center"/>
    </xf>
    <xf numFmtId="0" fontId="26" fillId="7" borderId="9" xfId="1" applyFont="1" applyFill="1" applyBorder="1" applyAlignment="1">
      <alignment horizontal="center" vertical="center" wrapText="1"/>
    </xf>
    <xf numFmtId="0" fontId="26" fillId="7" borderId="9" xfId="1" applyFont="1" applyFill="1" applyBorder="1" applyAlignment="1">
      <alignment horizontal="center" vertical="center"/>
    </xf>
    <xf numFmtId="176" fontId="27" fillId="9" borderId="7" xfId="1" applyNumberFormat="1" applyFont="1" applyFill="1" applyBorder="1" applyAlignment="1">
      <alignment horizontal="center" vertical="center"/>
    </xf>
    <xf numFmtId="176" fontId="25" fillId="9" borderId="8" xfId="1" applyNumberFormat="1" applyFont="1" applyFill="1" applyBorder="1" applyAlignment="1">
      <alignment vertical="center"/>
    </xf>
    <xf numFmtId="176" fontId="26" fillId="9" borderId="9" xfId="1" applyNumberFormat="1" applyFont="1" applyFill="1" applyBorder="1" applyAlignment="1">
      <alignment horizontal="center" vertical="center" wrapText="1"/>
    </xf>
    <xf numFmtId="176" fontId="24" fillId="9" borderId="7" xfId="1" applyNumberFormat="1" applyFont="1" applyFill="1" applyBorder="1" applyAlignment="1">
      <alignment horizontal="center" vertical="center"/>
    </xf>
    <xf numFmtId="0" fontId="24" fillId="9" borderId="8" xfId="1" applyFont="1" applyFill="1" applyBorder="1" applyAlignment="1">
      <alignment vertical="center"/>
    </xf>
    <xf numFmtId="176" fontId="26" fillId="9" borderId="9" xfId="1" applyNumberFormat="1" applyFont="1" applyFill="1" applyBorder="1" applyAlignment="1">
      <alignment horizontal="center" vertical="center"/>
    </xf>
    <xf numFmtId="0" fontId="24" fillId="9" borderId="7" xfId="1" applyFont="1" applyFill="1" applyBorder="1" applyAlignment="1">
      <alignment vertical="center"/>
    </xf>
    <xf numFmtId="0" fontId="28" fillId="9" borderId="9" xfId="1" applyFont="1" applyFill="1" applyBorder="1" applyAlignment="1">
      <alignment vertical="center"/>
    </xf>
    <xf numFmtId="0" fontId="29" fillId="0" borderId="0" xfId="2" applyFont="1"/>
    <xf numFmtId="0" fontId="30" fillId="10" borderId="10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2" fillId="11" borderId="10" xfId="1" applyFont="1" applyFill="1" applyBorder="1" applyAlignment="1">
      <alignment horizontal="center" vertical="center"/>
    </xf>
    <xf numFmtId="0" fontId="30" fillId="6" borderId="11" xfId="0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33" fillId="9" borderId="11" xfId="0" applyFont="1" applyFill="1" applyBorder="1" applyAlignment="1">
      <alignment horizontal="center" vertical="center"/>
    </xf>
    <xf numFmtId="0" fontId="34" fillId="11" borderId="10" xfId="1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35" fillId="0" borderId="0" xfId="2" applyFont="1"/>
    <xf numFmtId="0" fontId="31" fillId="10" borderId="10" xfId="0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center" vertical="center"/>
    </xf>
    <xf numFmtId="0" fontId="31" fillId="6" borderId="12" xfId="0" applyFont="1" applyFill="1" applyBorder="1" applyAlignment="1">
      <alignment horizontal="left" vertical="center" indent="3"/>
    </xf>
    <xf numFmtId="0" fontId="11" fillId="3" borderId="0" xfId="1" applyFont="1" applyFill="1"/>
    <xf numFmtId="0" fontId="36" fillId="0" borderId="0" xfId="0" applyFont="1"/>
    <xf numFmtId="0" fontId="33" fillId="10" borderId="10" xfId="0" applyFont="1" applyFill="1" applyBorder="1" applyAlignment="1">
      <alignment horizontal="center" vertical="center"/>
    </xf>
    <xf numFmtId="0" fontId="37" fillId="9" borderId="11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left" vertical="center" indent="3"/>
    </xf>
    <xf numFmtId="0" fontId="33" fillId="6" borderId="11" xfId="0" applyFont="1" applyFill="1" applyBorder="1" applyAlignment="1">
      <alignment horizontal="center" vertical="center"/>
    </xf>
    <xf numFmtId="0" fontId="33" fillId="6" borderId="12" xfId="0" applyFont="1" applyFill="1" applyBorder="1" applyAlignment="1">
      <alignment horizontal="left" vertical="center" indent="3"/>
    </xf>
    <xf numFmtId="0" fontId="38" fillId="0" borderId="0" xfId="1" applyFont="1"/>
    <xf numFmtId="176" fontId="17" fillId="7" borderId="5" xfId="1" applyNumberFormat="1" applyFont="1" applyFill="1" applyBorder="1" applyAlignment="1">
      <alignment horizontal="center" vertical="center"/>
    </xf>
    <xf numFmtId="176" fontId="17" fillId="7" borderId="6" xfId="1" applyNumberFormat="1" applyFont="1" applyFill="1" applyBorder="1" applyAlignment="1">
      <alignment horizontal="center" vertical="center"/>
    </xf>
    <xf numFmtId="176" fontId="17" fillId="7" borderId="0" xfId="1" applyNumberFormat="1" applyFont="1" applyFill="1" applyAlignment="1">
      <alignment horizontal="center" vertical="center"/>
    </xf>
    <xf numFmtId="176" fontId="17" fillId="9" borderId="0" xfId="1" applyNumberFormat="1" applyFont="1" applyFill="1" applyAlignment="1">
      <alignment horizontal="right" vertical="center"/>
    </xf>
    <xf numFmtId="176" fontId="39" fillId="9" borderId="6" xfId="1" applyNumberFormat="1" applyFont="1" applyFill="1" applyBorder="1" applyAlignment="1">
      <alignment horizontal="right" vertical="center"/>
    </xf>
    <xf numFmtId="176" fontId="21" fillId="9" borderId="6" xfId="1" applyNumberFormat="1" applyFont="1" applyFill="1" applyBorder="1" applyAlignment="1">
      <alignment horizontal="right" vertical="center"/>
    </xf>
    <xf numFmtId="176" fontId="26" fillId="7" borderId="9" xfId="1" applyNumberFormat="1" applyFont="1" applyFill="1" applyBorder="1" applyAlignment="1">
      <alignment horizontal="center" vertical="center" wrapText="1"/>
    </xf>
    <xf numFmtId="176" fontId="24" fillId="7" borderId="7" xfId="1" applyNumberFormat="1" applyFont="1" applyFill="1" applyBorder="1" applyAlignment="1">
      <alignment vertical="center"/>
    </xf>
    <xf numFmtId="176" fontId="40" fillId="7" borderId="9" xfId="1" applyNumberFormat="1" applyFont="1" applyFill="1" applyBorder="1" applyAlignment="1">
      <alignment vertical="center" wrapText="1"/>
    </xf>
    <xf numFmtId="176" fontId="26" fillId="7" borderId="9" xfId="1" applyNumberFormat="1" applyFont="1" applyFill="1" applyBorder="1" applyAlignment="1">
      <alignment horizontal="center" vertical="center"/>
    </xf>
    <xf numFmtId="176" fontId="26" fillId="9" borderId="9" xfId="1" quotePrefix="1" applyNumberFormat="1" applyFont="1" applyFill="1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17" fillId="7" borderId="6" xfId="1" quotePrefix="1" applyFont="1" applyFill="1" applyBorder="1" applyAlignment="1">
      <alignment horizontal="center" vertical="center"/>
    </xf>
    <xf numFmtId="0" fontId="41" fillId="9" borderId="0" xfId="1" applyFont="1" applyFill="1" applyAlignment="1">
      <alignment horizontal="center" vertical="center"/>
    </xf>
    <xf numFmtId="0" fontId="41" fillId="9" borderId="6" xfId="1" applyFont="1" applyFill="1" applyBorder="1" applyAlignment="1">
      <alignment horizontal="center" vertical="center"/>
    </xf>
    <xf numFmtId="176" fontId="42" fillId="9" borderId="5" xfId="1" applyNumberFormat="1" applyFont="1" applyFill="1" applyBorder="1" applyAlignment="1">
      <alignment horizontal="center" vertical="center"/>
    </xf>
    <xf numFmtId="0" fontId="43" fillId="0" borderId="0" xfId="1" applyFont="1"/>
    <xf numFmtId="0" fontId="44" fillId="0" borderId="0" xfId="1" applyFont="1" applyAlignment="1">
      <alignment horizontal="center" vertical="center"/>
    </xf>
    <xf numFmtId="0" fontId="45" fillId="12" borderId="10" xfId="1" applyFont="1" applyFill="1" applyBorder="1" applyAlignment="1">
      <alignment vertical="center"/>
    </xf>
    <xf numFmtId="0" fontId="45" fillId="12" borderId="12" xfId="1" applyFont="1" applyFill="1" applyBorder="1" applyAlignment="1">
      <alignment vertical="center"/>
    </xf>
    <xf numFmtId="0" fontId="46" fillId="13" borderId="1" xfId="1" applyFont="1" applyFill="1" applyBorder="1" applyAlignment="1">
      <alignment horizontal="center" vertical="center"/>
    </xf>
    <xf numFmtId="0" fontId="47" fillId="13" borderId="1" xfId="1" applyFont="1" applyFill="1" applyBorder="1" applyAlignment="1">
      <alignment horizontal="center" vertical="center"/>
    </xf>
    <xf numFmtId="0" fontId="48" fillId="13" borderId="1" xfId="1" applyFont="1" applyFill="1" applyBorder="1" applyAlignment="1">
      <alignment horizontal="center" vertical="center"/>
    </xf>
    <xf numFmtId="0" fontId="49" fillId="0" borderId="0" xfId="1" applyFont="1"/>
    <xf numFmtId="0" fontId="29" fillId="0" borderId="0" xfId="1" applyFont="1" applyAlignment="1">
      <alignment horizontal="center" vertical="center"/>
    </xf>
    <xf numFmtId="0" fontId="50" fillId="10" borderId="10" xfId="1" applyFont="1" applyFill="1" applyBorder="1" applyAlignment="1">
      <alignment vertical="center"/>
    </xf>
    <xf numFmtId="0" fontId="51" fillId="10" borderId="12" xfId="1" applyFont="1" applyFill="1" applyBorder="1" applyAlignment="1">
      <alignment vertical="center"/>
    </xf>
    <xf numFmtId="0" fontId="52" fillId="10" borderId="1" xfId="1" applyFont="1" applyFill="1" applyBorder="1" applyAlignment="1">
      <alignment horizontal="center" vertical="center"/>
    </xf>
    <xf numFmtId="0" fontId="53" fillId="10" borderId="1" xfId="1" applyFont="1" applyFill="1" applyBorder="1" applyAlignment="1">
      <alignment horizontal="center" vertical="center"/>
    </xf>
    <xf numFmtId="0" fontId="51" fillId="9" borderId="10" xfId="1" applyFont="1" applyFill="1" applyBorder="1" applyAlignment="1">
      <alignment vertical="center"/>
    </xf>
    <xf numFmtId="0" fontId="51" fillId="9" borderId="12" xfId="1" applyFont="1" applyFill="1" applyBorder="1" applyAlignment="1">
      <alignment vertical="center"/>
    </xf>
    <xf numFmtId="0" fontId="31" fillId="9" borderId="1" xfId="3" applyFont="1" applyFill="1" applyBorder="1" applyAlignment="1">
      <alignment horizontal="center" vertical="center"/>
    </xf>
    <xf numFmtId="0" fontId="54" fillId="11" borderId="10" xfId="1" applyFont="1" applyFill="1" applyBorder="1" applyAlignment="1">
      <alignment vertical="center"/>
    </xf>
    <xf numFmtId="0" fontId="55" fillId="11" borderId="12" xfId="1" applyFont="1" applyFill="1" applyBorder="1" applyAlignment="1">
      <alignment vertical="center"/>
    </xf>
    <xf numFmtId="0" fontId="32" fillId="11" borderId="1" xfId="1" applyFont="1" applyFill="1" applyBorder="1" applyAlignment="1">
      <alignment horizontal="center" vertical="center"/>
    </xf>
    <xf numFmtId="0" fontId="50" fillId="6" borderId="10" xfId="1" applyFont="1" applyFill="1" applyBorder="1" applyAlignment="1">
      <alignment vertical="center"/>
    </xf>
    <xf numFmtId="0" fontId="51" fillId="6" borderId="12" xfId="1" applyFont="1" applyFill="1" applyBorder="1" applyAlignment="1">
      <alignment vertical="center"/>
    </xf>
    <xf numFmtId="0" fontId="56" fillId="6" borderId="1" xfId="1" applyFont="1" applyFill="1" applyBorder="1" applyAlignment="1">
      <alignment horizontal="center" vertical="center"/>
    </xf>
    <xf numFmtId="0" fontId="57" fillId="0" borderId="0" xfId="1" applyFont="1"/>
    <xf numFmtId="0" fontId="58" fillId="0" borderId="1" xfId="1" applyFont="1" applyBorder="1" applyAlignment="1">
      <alignment horizontal="center" vertical="center"/>
    </xf>
    <xf numFmtId="0" fontId="59" fillId="0" borderId="1" xfId="1" applyFont="1" applyBorder="1" applyAlignment="1">
      <alignment horizontal="center" vertical="center"/>
    </xf>
    <xf numFmtId="0" fontId="60" fillId="0" borderId="0" xfId="1" applyFont="1"/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center" vertical="center"/>
    </xf>
    <xf numFmtId="0" fontId="63" fillId="0" borderId="0" xfId="1" applyFont="1"/>
    <xf numFmtId="0" fontId="64" fillId="0" borderId="0" xfId="1" applyFont="1" applyAlignment="1">
      <alignment horizontal="center" vertical="center"/>
    </xf>
    <xf numFmtId="0" fontId="65" fillId="0" borderId="0" xfId="0" applyFont="1"/>
    <xf numFmtId="0" fontId="58" fillId="0" borderId="0" xfId="1" applyFont="1" applyAlignment="1">
      <alignment horizontal="center" vertical="center"/>
    </xf>
    <xf numFmtId="0" fontId="66" fillId="0" borderId="0" xfId="1" applyFont="1" applyAlignment="1">
      <alignment horizontal="center" vertical="center"/>
    </xf>
    <xf numFmtId="0" fontId="59" fillId="0" borderId="0" xfId="1" applyFont="1" applyAlignment="1">
      <alignment horizontal="center" vertical="center"/>
    </xf>
    <xf numFmtId="0" fontId="57" fillId="14" borderId="0" xfId="1" applyFont="1" applyFill="1"/>
    <xf numFmtId="0" fontId="67" fillId="0" borderId="0" xfId="2" applyFont="1"/>
    <xf numFmtId="0" fontId="57" fillId="0" borderId="0" xfId="2" applyFont="1" applyAlignment="1">
      <alignment vertical="center"/>
    </xf>
    <xf numFmtId="0" fontId="68" fillId="0" borderId="0" xfId="2" applyFont="1" applyAlignment="1">
      <alignment vertical="center"/>
    </xf>
    <xf numFmtId="0" fontId="57" fillId="0" borderId="0" xfId="1" applyFont="1" applyAlignment="1">
      <alignment vertical="center"/>
    </xf>
    <xf numFmtId="0" fontId="69" fillId="15" borderId="0" xfId="1" applyFont="1" applyFill="1" applyAlignment="1">
      <alignment horizontal="left" vertical="center" readingOrder="1"/>
    </xf>
    <xf numFmtId="0" fontId="70" fillId="15" borderId="0" xfId="0" applyFont="1" applyFill="1" applyAlignment="1">
      <alignment horizontal="left" vertical="center"/>
    </xf>
    <xf numFmtId="0" fontId="8" fillId="15" borderId="0" xfId="1" applyFont="1" applyFill="1" applyAlignment="1">
      <alignment horizontal="center" vertical="center"/>
    </xf>
    <xf numFmtId="0" fontId="66" fillId="15" borderId="0" xfId="1" applyFont="1" applyFill="1" applyAlignment="1">
      <alignment vertical="center" readingOrder="1"/>
    </xf>
    <xf numFmtId="0" fontId="8" fillId="15" borderId="0" xfId="1" applyFont="1" applyFill="1" applyAlignment="1">
      <alignment vertical="center" readingOrder="1"/>
    </xf>
    <xf numFmtId="0" fontId="71" fillId="0" borderId="0" xfId="1" applyFont="1"/>
    <xf numFmtId="0" fontId="72" fillId="0" borderId="0" xfId="1" applyFont="1"/>
    <xf numFmtId="0" fontId="60" fillId="0" borderId="0" xfId="1" applyFont="1" applyAlignment="1">
      <alignment vertical="center"/>
    </xf>
    <xf numFmtId="0" fontId="58" fillId="0" borderId="0" xfId="1" applyFont="1"/>
    <xf numFmtId="0" fontId="57" fillId="0" borderId="0" xfId="2" applyFont="1"/>
    <xf numFmtId="0" fontId="47" fillId="0" borderId="0" xfId="2" applyFont="1"/>
    <xf numFmtId="0" fontId="7" fillId="0" borderId="0" xfId="1" applyAlignment="1">
      <alignment vertical="center"/>
    </xf>
    <xf numFmtId="0" fontId="75" fillId="16" borderId="0" xfId="1" applyFont="1" applyFill="1" applyAlignment="1">
      <alignment vertical="center"/>
    </xf>
    <xf numFmtId="0" fontId="57" fillId="16" borderId="0" xfId="1" applyFont="1" applyFill="1" applyAlignment="1">
      <alignment vertical="center"/>
    </xf>
    <xf numFmtId="0" fontId="77" fillId="16" borderId="0" xfId="1" applyFont="1" applyFill="1" applyAlignment="1">
      <alignment vertical="center"/>
    </xf>
    <xf numFmtId="0" fontId="78" fillId="16" borderId="0" xfId="1" applyFont="1" applyFill="1" applyAlignment="1">
      <alignment vertical="center"/>
    </xf>
    <xf numFmtId="0" fontId="79" fillId="16" borderId="0" xfId="1" applyFont="1" applyFill="1" applyAlignment="1">
      <alignment vertical="center"/>
    </xf>
    <xf numFmtId="0" fontId="80" fillId="17" borderId="0" xfId="1" applyFont="1" applyFill="1" applyAlignment="1">
      <alignment vertical="center"/>
    </xf>
    <xf numFmtId="0" fontId="57" fillId="17" borderId="0" xfId="1" applyFont="1" applyFill="1" applyAlignment="1">
      <alignment vertical="center"/>
    </xf>
    <xf numFmtId="0" fontId="77" fillId="17" borderId="0" xfId="1" applyFont="1" applyFill="1" applyAlignment="1">
      <alignment vertical="center"/>
    </xf>
    <xf numFmtId="0" fontId="78" fillId="17" borderId="0" xfId="1" applyFont="1" applyFill="1" applyAlignment="1">
      <alignment vertical="center"/>
    </xf>
    <xf numFmtId="0" fontId="79" fillId="17" borderId="0" xfId="1" applyFont="1" applyFill="1" applyAlignment="1">
      <alignment vertical="center"/>
    </xf>
    <xf numFmtId="0" fontId="81" fillId="3" borderId="0" xfId="2" applyFont="1" applyFill="1" applyAlignment="1">
      <alignment vertical="center"/>
    </xf>
    <xf numFmtId="0" fontId="57" fillId="3" borderId="0" xfId="2" applyFont="1" applyFill="1" applyAlignment="1">
      <alignment vertical="center"/>
    </xf>
    <xf numFmtId="0" fontId="57" fillId="3" borderId="0" xfId="1" applyFont="1" applyFill="1"/>
    <xf numFmtId="0" fontId="57" fillId="3" borderId="0" xfId="1" applyFont="1" applyFill="1" applyAlignment="1">
      <alignment vertical="center"/>
    </xf>
    <xf numFmtId="0" fontId="82" fillId="0" borderId="1" xfId="2" applyFont="1" applyBorder="1" applyAlignment="1">
      <alignment horizontal="center" vertical="center"/>
    </xf>
    <xf numFmtId="0" fontId="83" fillId="0" borderId="1" xfId="2" applyFont="1" applyBorder="1" applyAlignment="1">
      <alignment horizontal="center" vertical="center"/>
    </xf>
    <xf numFmtId="0" fontId="82" fillId="0" borderId="1" xfId="1" applyFont="1" applyBorder="1" applyAlignment="1">
      <alignment horizontal="center" vertical="center"/>
    </xf>
    <xf numFmtId="0" fontId="82" fillId="0" borderId="1" xfId="1" applyFont="1" applyBorder="1" applyAlignment="1">
      <alignment horizontal="center"/>
    </xf>
    <xf numFmtId="0" fontId="84" fillId="18" borderId="1" xfId="2" applyFont="1" applyFill="1" applyBorder="1" applyAlignment="1">
      <alignment horizontal="center" vertical="center"/>
    </xf>
    <xf numFmtId="0" fontId="84" fillId="19" borderId="1" xfId="2" applyFont="1" applyFill="1" applyBorder="1" applyAlignment="1">
      <alignment horizontal="center" vertical="center"/>
    </xf>
    <xf numFmtId="0" fontId="67" fillId="0" borderId="0" xfId="2" applyFont="1" applyAlignment="1">
      <alignment vertical="center"/>
    </xf>
    <xf numFmtId="0" fontId="87" fillId="0" borderId="0" xfId="1" applyFont="1"/>
    <xf numFmtId="0" fontId="88" fillId="17" borderId="0" xfId="2" applyFont="1" applyFill="1" applyAlignment="1">
      <alignment vertical="center"/>
    </xf>
    <xf numFmtId="0" fontId="57" fillId="17" borderId="0" xfId="2" applyFont="1" applyFill="1" applyAlignment="1">
      <alignment horizontal="center" vertical="center"/>
    </xf>
    <xf numFmtId="0" fontId="57" fillId="17" borderId="0" xfId="2" applyFont="1" applyFill="1" applyAlignment="1">
      <alignment vertical="center"/>
    </xf>
    <xf numFmtId="0" fontId="89" fillId="20" borderId="0" xfId="2" applyFont="1" applyFill="1" applyAlignment="1">
      <alignment vertical="center"/>
    </xf>
    <xf numFmtId="0" fontId="90" fillId="20" borderId="0" xfId="2" applyFont="1" applyFill="1" applyAlignment="1">
      <alignment horizontal="center" vertical="center"/>
    </xf>
    <xf numFmtId="0" fontId="90" fillId="20" borderId="0" xfId="2" applyFont="1" applyFill="1" applyAlignment="1">
      <alignment vertical="center"/>
    </xf>
    <xf numFmtId="0" fontId="47" fillId="3" borderId="0" xfId="2" applyFont="1" applyFill="1" applyAlignment="1">
      <alignment vertical="center"/>
    </xf>
    <xf numFmtId="0" fontId="91" fillId="0" borderId="0" xfId="1" applyFont="1" applyAlignment="1">
      <alignment vertical="center"/>
    </xf>
    <xf numFmtId="0" fontId="84" fillId="21" borderId="1" xfId="2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center" vertical="center"/>
    </xf>
    <xf numFmtId="0" fontId="82" fillId="0" borderId="0" xfId="1" applyFont="1" applyAlignment="1">
      <alignment vertical="center"/>
    </xf>
    <xf numFmtId="0" fontId="84" fillId="18" borderId="1" xfId="1" applyFont="1" applyFill="1" applyBorder="1" applyAlignment="1">
      <alignment horizontal="center" vertical="center"/>
    </xf>
    <xf numFmtId="0" fontId="84" fillId="18" borderId="1" xfId="1" applyFont="1" applyFill="1" applyBorder="1" applyAlignment="1">
      <alignment horizontal="center"/>
    </xf>
    <xf numFmtId="0" fontId="84" fillId="19" borderId="1" xfId="1" applyFont="1" applyFill="1" applyBorder="1" applyAlignment="1">
      <alignment horizontal="center" vertical="center"/>
    </xf>
    <xf numFmtId="0" fontId="84" fillId="19" borderId="1" xfId="1" applyFont="1" applyFill="1" applyBorder="1" applyAlignment="1">
      <alignment horizontal="center"/>
    </xf>
    <xf numFmtId="0" fontId="84" fillId="22" borderId="1" xfId="2" applyFont="1" applyFill="1" applyBorder="1" applyAlignment="1">
      <alignment horizontal="center" vertical="center"/>
    </xf>
    <xf numFmtId="0" fontId="84" fillId="22" borderId="1" xfId="1" applyFont="1" applyFill="1" applyBorder="1" applyAlignment="1">
      <alignment horizontal="center" vertical="center"/>
    </xf>
    <xf numFmtId="0" fontId="84" fillId="22" borderId="1" xfId="1" applyFont="1" applyFill="1" applyBorder="1" applyAlignment="1">
      <alignment horizontal="center"/>
    </xf>
    <xf numFmtId="0" fontId="69" fillId="0" borderId="0" xfId="1" applyFont="1" applyAlignment="1">
      <alignment horizontal="left" vertical="center" readingOrder="1"/>
    </xf>
    <xf numFmtId="0" fontId="69" fillId="0" borderId="1" xfId="1" applyFont="1" applyBorder="1" applyAlignment="1">
      <alignment horizontal="left" vertical="center" readingOrder="1"/>
    </xf>
    <xf numFmtId="0" fontId="82" fillId="23" borderId="1" xfId="2" applyFont="1" applyFill="1" applyBorder="1" applyAlignment="1">
      <alignment horizontal="center" vertical="center"/>
    </xf>
    <xf numFmtId="0" fontId="69" fillId="0" borderId="1" xfId="1" applyFont="1" applyBorder="1" applyAlignment="1">
      <alignment horizontal="center" vertical="center"/>
    </xf>
    <xf numFmtId="0" fontId="69" fillId="0" borderId="1" xfId="1" applyFont="1" applyBorder="1" applyAlignment="1">
      <alignment horizontal="left" vertical="center"/>
    </xf>
    <xf numFmtId="0" fontId="93" fillId="0" borderId="1" xfId="0" applyFont="1" applyBorder="1" applyAlignment="1">
      <alignment horizontal="center" vertical="center"/>
    </xf>
    <xf numFmtId="0" fontId="94" fillId="0" borderId="1" xfId="0" quotePrefix="1" applyFont="1" applyBorder="1" applyAlignment="1">
      <alignment horizontal="center" vertical="center"/>
    </xf>
    <xf numFmtId="0" fontId="93" fillId="0" borderId="1" xfId="0" quotePrefix="1" applyFont="1" applyBorder="1" applyAlignment="1">
      <alignment horizontal="center" vertical="center"/>
    </xf>
    <xf numFmtId="0" fontId="95" fillId="0" borderId="0" xfId="0" applyFont="1"/>
    <xf numFmtId="0" fontId="33" fillId="26" borderId="1" xfId="0" applyFont="1" applyFill="1" applyBorder="1" applyAlignment="1">
      <alignment horizontal="center" vertical="center"/>
    </xf>
    <xf numFmtId="0" fontId="33" fillId="26" borderId="1" xfId="0" applyFont="1" applyFill="1" applyBorder="1" applyAlignment="1">
      <alignment horizontal="left" vertical="center" indent="3"/>
    </xf>
    <xf numFmtId="0" fontId="97" fillId="24" borderId="1" xfId="0" applyFont="1" applyFill="1" applyBorder="1" applyAlignment="1">
      <alignment horizontal="center" vertical="center"/>
    </xf>
    <xf numFmtId="176" fontId="97" fillId="24" borderId="1" xfId="0" applyNumberFormat="1" applyFont="1" applyFill="1" applyBorder="1" applyAlignment="1">
      <alignment horizontal="center" vertical="center"/>
    </xf>
    <xf numFmtId="0" fontId="97" fillId="24" borderId="1" xfId="0" quotePrefix="1" applyFont="1" applyFill="1" applyBorder="1" applyAlignment="1">
      <alignment horizontal="center" vertical="center"/>
    </xf>
    <xf numFmtId="0" fontId="33" fillId="27" borderId="1" xfId="0" applyFont="1" applyFill="1" applyBorder="1" applyAlignment="1">
      <alignment horizontal="center" vertical="center"/>
    </xf>
    <xf numFmtId="0" fontId="33" fillId="27" borderId="1" xfId="0" applyFont="1" applyFill="1" applyBorder="1" applyAlignment="1">
      <alignment horizontal="left" vertical="center" indent="3"/>
    </xf>
    <xf numFmtId="0" fontId="97" fillId="28" borderId="1" xfId="0" applyFont="1" applyFill="1" applyBorder="1" applyAlignment="1">
      <alignment horizontal="center" vertical="center"/>
    </xf>
    <xf numFmtId="176" fontId="97" fillId="28" borderId="1" xfId="0" applyNumberFormat="1" applyFont="1" applyFill="1" applyBorder="1" applyAlignment="1">
      <alignment horizontal="center" vertical="center"/>
    </xf>
    <xf numFmtId="0" fontId="97" fillId="28" borderId="1" xfId="0" quotePrefix="1" applyFont="1" applyFill="1" applyBorder="1" applyAlignment="1">
      <alignment horizontal="center" vertical="center"/>
    </xf>
    <xf numFmtId="0" fontId="9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100" fillId="30" borderId="13" xfId="0" applyFont="1" applyFill="1" applyBorder="1" applyAlignment="1">
      <alignment horizontal="center" vertical="center" wrapText="1"/>
    </xf>
    <xf numFmtId="0" fontId="101" fillId="29" borderId="13" xfId="0" applyFont="1" applyFill="1" applyBorder="1" applyAlignment="1">
      <alignment horizontal="center" vertical="center" wrapText="1"/>
    </xf>
    <xf numFmtId="0" fontId="98" fillId="0" borderId="0" xfId="0" applyFont="1"/>
    <xf numFmtId="0" fontId="102" fillId="0" borderId="0" xfId="0" applyFont="1"/>
    <xf numFmtId="0" fontId="103" fillId="0" borderId="0" xfId="0" applyFont="1"/>
    <xf numFmtId="0" fontId="98" fillId="0" borderId="0" xfId="0" applyFont="1" applyAlignment="1">
      <alignment horizontal="center" vertical="center"/>
    </xf>
    <xf numFmtId="0" fontId="0" fillId="31" borderId="0" xfId="0" applyFill="1"/>
    <xf numFmtId="0" fontId="98" fillId="31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6" fillId="25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18" borderId="1" xfId="0" applyFont="1" applyFill="1" applyBorder="1" applyAlignment="1">
      <alignment vertical="center"/>
    </xf>
    <xf numFmtId="176" fontId="3" fillId="0" borderId="1" xfId="0" applyNumberFormat="1" applyFont="1" applyBorder="1" applyAlignment="1">
      <alignment vertical="center"/>
    </xf>
    <xf numFmtId="0" fontId="1" fillId="24" borderId="1" xfId="0" applyFont="1" applyFill="1" applyBorder="1" applyAlignment="1">
      <alignment horizontal="center" vertical="center"/>
    </xf>
    <xf numFmtId="0" fontId="104" fillId="32" borderId="1" xfId="0" applyFont="1" applyFill="1" applyBorder="1" applyAlignment="1">
      <alignment horizontal="center" vertical="center"/>
    </xf>
    <xf numFmtId="0" fontId="104" fillId="32" borderId="0" xfId="0" applyFont="1" applyFill="1"/>
    <xf numFmtId="0" fontId="1" fillId="3" borderId="0" xfId="0" applyFont="1" applyFill="1"/>
    <xf numFmtId="0" fontId="105" fillId="4" borderId="0" xfId="0" applyFont="1" applyFill="1"/>
    <xf numFmtId="0" fontId="105" fillId="0" borderId="0" xfId="0" applyFont="1"/>
    <xf numFmtId="0" fontId="105" fillId="4" borderId="1" xfId="0" applyFont="1" applyFill="1" applyBorder="1" applyAlignment="1">
      <alignment horizontal="center" vertical="center"/>
    </xf>
    <xf numFmtId="0" fontId="106" fillId="24" borderId="0" xfId="0" applyFont="1" applyFill="1"/>
    <xf numFmtId="0" fontId="107" fillId="24" borderId="1" xfId="0" applyFont="1" applyFill="1" applyBorder="1" applyAlignment="1">
      <alignment horizontal="center" vertical="center"/>
    </xf>
    <xf numFmtId="0" fontId="107" fillId="24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8" fillId="3" borderId="1" xfId="0" applyFont="1" applyFill="1" applyBorder="1" applyAlignment="1">
      <alignment horizontal="center" vertical="center"/>
    </xf>
    <xf numFmtId="0" fontId="31" fillId="6" borderId="11" xfId="0" applyFont="1" applyFill="1" applyBorder="1" applyAlignment="1">
      <alignment horizontal="left" vertical="center" indent="1"/>
    </xf>
    <xf numFmtId="0" fontId="109" fillId="4" borderId="1" xfId="0" applyFont="1" applyFill="1" applyBorder="1" applyAlignment="1">
      <alignment horizontal="center" vertical="center"/>
    </xf>
    <xf numFmtId="0" fontId="110" fillId="8" borderId="7" xfId="1" applyFont="1" applyFill="1" applyBorder="1" applyAlignment="1">
      <alignment vertical="center"/>
    </xf>
    <xf numFmtId="0" fontId="111" fillId="8" borderId="8" xfId="1" applyFont="1" applyFill="1" applyBorder="1" applyAlignment="1">
      <alignment vertical="center"/>
    </xf>
    <xf numFmtId="0" fontId="112" fillId="8" borderId="9" xfId="1" applyFont="1" applyFill="1" applyBorder="1" applyAlignment="1">
      <alignment vertical="center"/>
    </xf>
    <xf numFmtId="0" fontId="113" fillId="8" borderId="7" xfId="1" applyFont="1" applyFill="1" applyBorder="1" applyAlignment="1">
      <alignment vertical="center"/>
    </xf>
    <xf numFmtId="0" fontId="113" fillId="8" borderId="8" xfId="1" applyFont="1" applyFill="1" applyBorder="1" applyAlignment="1">
      <alignment vertical="center"/>
    </xf>
    <xf numFmtId="0" fontId="114" fillId="8" borderId="9" xfId="1" applyFont="1" applyFill="1" applyBorder="1" applyAlignment="1">
      <alignment vertical="center"/>
    </xf>
    <xf numFmtId="176" fontId="115" fillId="9" borderId="5" xfId="1" applyNumberFormat="1" applyFont="1" applyFill="1" applyBorder="1" applyAlignment="1">
      <alignment horizontal="center" vertical="center"/>
    </xf>
    <xf numFmtId="176" fontId="116" fillId="9" borderId="7" xfId="1" applyNumberFormat="1" applyFont="1" applyFill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20" fillId="3" borderId="1" xfId="0" applyFont="1" applyFill="1" applyBorder="1" applyAlignment="1">
      <alignment horizontal="center" vertical="center"/>
    </xf>
    <xf numFmtId="0" fontId="120" fillId="4" borderId="1" xfId="0" applyFont="1" applyFill="1" applyBorder="1" applyAlignment="1">
      <alignment horizontal="center" vertical="center"/>
    </xf>
    <xf numFmtId="0" fontId="120" fillId="0" borderId="1" xfId="0" applyFont="1" applyBorder="1" applyAlignment="1">
      <alignment horizontal="center" vertical="center"/>
    </xf>
    <xf numFmtId="176" fontId="121" fillId="9" borderId="7" xfId="1" applyNumberFormat="1" applyFont="1" applyFill="1" applyBorder="1" applyAlignment="1">
      <alignment horizontal="center" vertical="center"/>
    </xf>
    <xf numFmtId="0" fontId="122" fillId="15" borderId="0" xfId="1" applyFont="1" applyFill="1" applyAlignment="1">
      <alignment horizontal="left" vertical="center" readingOrder="1"/>
    </xf>
    <xf numFmtId="0" fontId="57" fillId="3" borderId="0" xfId="2" applyFont="1" applyFill="1" applyAlignment="1">
      <alignment horizontal="left" vertical="center"/>
    </xf>
    <xf numFmtId="0" fontId="123" fillId="3" borderId="0" xfId="2" applyFont="1" applyFill="1" applyAlignment="1">
      <alignment vertical="center"/>
    </xf>
    <xf numFmtId="0" fontId="124" fillId="11" borderId="1" xfId="1" applyFont="1" applyFill="1" applyBorder="1" applyAlignment="1">
      <alignment horizontal="center" vertical="center"/>
    </xf>
    <xf numFmtId="0" fontId="125" fillId="11" borderId="1" xfId="1" applyFont="1" applyFill="1" applyBorder="1" applyAlignment="1">
      <alignment horizontal="center" vertical="center"/>
    </xf>
    <xf numFmtId="0" fontId="126" fillId="3" borderId="0" xfId="0" applyFont="1" applyFill="1"/>
    <xf numFmtId="0" fontId="3" fillId="3" borderId="0" xfId="0" applyFont="1" applyFill="1"/>
    <xf numFmtId="176" fontId="118" fillId="9" borderId="0" xfId="1" applyNumberFormat="1" applyFont="1" applyFill="1" applyAlignment="1">
      <alignment horizontal="right" vertical="center"/>
    </xf>
    <xf numFmtId="176" fontId="118" fillId="9" borderId="6" xfId="1" applyNumberFormat="1" applyFont="1" applyFill="1" applyBorder="1" applyAlignment="1">
      <alignment horizontal="right" vertical="center"/>
    </xf>
    <xf numFmtId="176" fontId="21" fillId="9" borderId="0" xfId="1" applyNumberFormat="1" applyFont="1" applyFill="1" applyAlignment="1">
      <alignment horizontal="right" vertical="center"/>
    </xf>
    <xf numFmtId="176" fontId="21" fillId="9" borderId="6" xfId="1" applyNumberFormat="1" applyFont="1" applyFill="1" applyBorder="1" applyAlignment="1">
      <alignment horizontal="right" vertical="center"/>
    </xf>
    <xf numFmtId="0" fontId="100" fillId="30" borderId="14" xfId="0" applyFont="1" applyFill="1" applyBorder="1" applyAlignment="1">
      <alignment horizontal="center" vertical="center" wrapText="1"/>
    </xf>
    <xf numFmtId="0" fontId="100" fillId="30" borderId="15" xfId="0" applyFont="1" applyFill="1" applyBorder="1" applyAlignment="1">
      <alignment horizontal="center" vertical="center" wrapText="1"/>
    </xf>
    <xf numFmtId="0" fontId="100" fillId="30" borderId="16" xfId="0" applyFont="1" applyFill="1" applyBorder="1" applyAlignment="1">
      <alignment horizontal="center" vertical="center" wrapText="1"/>
    </xf>
    <xf numFmtId="0" fontId="100" fillId="30" borderId="17" xfId="0" applyFont="1" applyFill="1" applyBorder="1" applyAlignment="1">
      <alignment horizontal="center" vertical="center" wrapText="1"/>
    </xf>
    <xf numFmtId="0" fontId="100" fillId="30" borderId="18" xfId="0" applyFont="1" applyFill="1" applyBorder="1" applyAlignment="1">
      <alignment horizontal="center" vertical="center" wrapText="1"/>
    </xf>
    <xf numFmtId="0" fontId="100" fillId="30" borderId="19" xfId="0" applyFont="1" applyFill="1" applyBorder="1" applyAlignment="1">
      <alignment horizontal="center" vertical="center" wrapText="1"/>
    </xf>
    <xf numFmtId="0" fontId="100" fillId="30" borderId="20" xfId="0" applyFont="1" applyFill="1" applyBorder="1" applyAlignment="1">
      <alignment horizontal="center" vertical="center" wrapText="1"/>
    </xf>
    <xf numFmtId="0" fontId="100" fillId="30" borderId="21" xfId="0" applyFont="1" applyFill="1" applyBorder="1" applyAlignment="1">
      <alignment horizontal="center" vertical="center" wrapText="1"/>
    </xf>
    <xf numFmtId="0" fontId="100" fillId="30" borderId="22" xfId="0" applyFont="1" applyFill="1" applyBorder="1" applyAlignment="1">
      <alignment horizontal="center" vertical="center" wrapText="1"/>
    </xf>
    <xf numFmtId="0" fontId="101" fillId="29" borderId="20" xfId="0" applyFont="1" applyFill="1" applyBorder="1" applyAlignment="1">
      <alignment horizontal="center" vertical="center" wrapText="1"/>
    </xf>
    <xf numFmtId="0" fontId="101" fillId="29" borderId="22" xfId="0" applyFont="1" applyFill="1" applyBorder="1" applyAlignment="1">
      <alignment horizontal="center" vertical="center" wrapText="1"/>
    </xf>
    <xf numFmtId="0" fontId="101" fillId="29" borderId="21" xfId="0" applyFont="1" applyFill="1" applyBorder="1" applyAlignment="1">
      <alignment horizontal="center" vertical="center" wrapText="1"/>
    </xf>
  </cellXfs>
  <cellStyles count="4">
    <cellStyle name="一般" xfId="0" builtinId="0"/>
    <cellStyle name="一般 2" xfId="3" xr:uid="{82C09742-F2A0-488F-B715-51F74F221E36}"/>
    <cellStyle name="一般 3 2" xfId="1" xr:uid="{8D496EB8-39F8-40DC-90A7-9567B775091F}"/>
    <cellStyle name="一般 4" xfId="2" xr:uid="{FCDA43F1-3668-4A20-A0B6-816AA98335F1}"/>
  </cellStyles>
  <dxfs count="8"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D783C-B8EF-43B2-A50F-3BE701820E02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68BE-4141-4119-9A74-1597E64EFDB6}">
  <dimension ref="A1:CH85"/>
  <sheetViews>
    <sheetView tabSelected="1" zoomScale="70" zoomScaleNormal="70" workbookViewId="0">
      <selection activeCell="L7" sqref="L7"/>
    </sheetView>
  </sheetViews>
  <sheetFormatPr defaultRowHeight="25.5" outlineLevelRow="1"/>
  <cols>
    <col min="1" max="1" width="19.296875" style="1" customWidth="1"/>
    <col min="2" max="2" width="6" style="1" customWidth="1"/>
    <col min="3" max="62" width="5.3984375" style="1" customWidth="1"/>
    <col min="63" max="63" width="8.796875" style="1"/>
    <col min="64" max="64" width="8.796875" style="237"/>
    <col min="65" max="68" width="10.3984375" style="237" customWidth="1"/>
    <col min="69" max="69" width="8.796875" style="237"/>
    <col min="70" max="70" width="6.5" style="237" bestFit="1" customWidth="1"/>
    <col min="71" max="72" width="11.19921875" style="237" bestFit="1" customWidth="1"/>
    <col min="73" max="73" width="6.5" style="237" bestFit="1" customWidth="1"/>
    <col min="74" max="74" width="11.19921875" style="237" bestFit="1" customWidth="1"/>
    <col min="75" max="75" width="8.796875" style="237"/>
    <col min="76" max="76" width="6.5" style="237" bestFit="1" customWidth="1"/>
    <col min="77" max="78" width="11.19921875" style="237" bestFit="1" customWidth="1"/>
    <col min="79" max="79" width="6.5" style="237" bestFit="1" customWidth="1"/>
    <col min="80" max="80" width="11.19921875" style="237" bestFit="1" customWidth="1"/>
    <col min="81" max="81" width="8.796875" style="237"/>
    <col min="82" max="82" width="6.5" style="237" bestFit="1" customWidth="1"/>
    <col min="83" max="84" width="11.19921875" style="237" bestFit="1" customWidth="1"/>
    <col min="85" max="85" width="6.5" style="237" bestFit="1" customWidth="1"/>
    <col min="86" max="86" width="11.19921875" style="237" bestFit="1" customWidth="1"/>
    <col min="87" max="16384" width="8.796875" style="1"/>
  </cols>
  <sheetData>
    <row r="1" spans="1:86">
      <c r="A1" s="1" t="s">
        <v>536</v>
      </c>
    </row>
    <row r="3" spans="1:86">
      <c r="A3" s="1" t="s">
        <v>533</v>
      </c>
      <c r="BL3" s="236" t="s">
        <v>286</v>
      </c>
      <c r="BM3" s="236" t="e" cm="1">
        <f t="array" ref="BM3">TRANSPOSE(#REF!)</f>
        <v>#REF!</v>
      </c>
      <c r="BN3" s="236"/>
      <c r="BO3" s="236"/>
      <c r="BP3" s="236"/>
      <c r="BR3" s="236" t="s">
        <v>184</v>
      </c>
      <c r="BS3" s="236" t="s">
        <v>531</v>
      </c>
      <c r="BT3" s="236" t="s">
        <v>201</v>
      </c>
      <c r="BU3" s="236" t="s">
        <v>509</v>
      </c>
      <c r="BV3" s="236" t="s">
        <v>208</v>
      </c>
      <c r="BX3" s="236" t="s">
        <v>184</v>
      </c>
      <c r="BY3" s="236" t="s">
        <v>531</v>
      </c>
      <c r="BZ3" s="236" t="s">
        <v>201</v>
      </c>
      <c r="CA3" s="236" t="s">
        <v>509</v>
      </c>
      <c r="CB3" s="236" t="s">
        <v>208</v>
      </c>
      <c r="CD3" s="236" t="s">
        <v>184</v>
      </c>
      <c r="CE3" s="236" t="s">
        <v>531</v>
      </c>
      <c r="CF3" s="236" t="s">
        <v>201</v>
      </c>
      <c r="CG3" s="236" t="s">
        <v>509</v>
      </c>
      <c r="CH3" s="236" t="s">
        <v>208</v>
      </c>
    </row>
    <row r="4" spans="1:86" outlineLevel="1">
      <c r="C4" s="273" t="s">
        <v>587</v>
      </c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BL4" s="238"/>
      <c r="BM4" s="238"/>
      <c r="BN4" s="238"/>
      <c r="BO4" s="238"/>
      <c r="BP4" s="238"/>
      <c r="BR4" s="238">
        <v>12</v>
      </c>
      <c r="BS4" s="238" t="s">
        <v>447</v>
      </c>
      <c r="BT4" s="238" t="s">
        <v>217</v>
      </c>
      <c r="BU4" s="238" t="s">
        <v>115</v>
      </c>
      <c r="BV4" s="238" t="s">
        <v>158</v>
      </c>
      <c r="BX4" s="238">
        <v>12</v>
      </c>
      <c r="BY4" s="238" t="s">
        <v>520</v>
      </c>
      <c r="BZ4" s="238" t="s">
        <v>114</v>
      </c>
      <c r="CA4" s="238" t="s">
        <v>193</v>
      </c>
      <c r="CB4" s="238" t="s">
        <v>99</v>
      </c>
    </row>
    <row r="5" spans="1:86" outlineLevel="1">
      <c r="C5" s="273" t="s">
        <v>586</v>
      </c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BL5" s="238"/>
      <c r="BM5" s="238"/>
      <c r="BN5" s="238"/>
      <c r="BO5" s="238"/>
      <c r="BP5" s="238"/>
      <c r="BR5" s="238">
        <v>13</v>
      </c>
      <c r="BS5" s="238" t="s">
        <v>187</v>
      </c>
      <c r="BT5" s="238" t="s">
        <v>187</v>
      </c>
      <c r="BU5" s="238" t="s">
        <v>72</v>
      </c>
      <c r="BV5" s="238" t="s">
        <v>84</v>
      </c>
      <c r="BX5" s="238">
        <v>13</v>
      </c>
      <c r="BY5" s="238" t="s">
        <v>521</v>
      </c>
      <c r="BZ5" s="238" t="s">
        <v>67</v>
      </c>
      <c r="CA5" s="238" t="s">
        <v>97</v>
      </c>
      <c r="CB5" s="238" t="s">
        <v>136</v>
      </c>
    </row>
    <row r="6" spans="1:86" outlineLevel="1">
      <c r="BL6" s="238"/>
      <c r="BM6" s="238"/>
      <c r="BN6" s="239"/>
      <c r="BO6" s="238"/>
      <c r="BP6" s="238"/>
      <c r="BR6" s="238">
        <v>14</v>
      </c>
      <c r="BS6" s="238" t="s">
        <v>512</v>
      </c>
      <c r="BT6" s="238" t="s">
        <v>102</v>
      </c>
      <c r="BU6" s="238" t="s">
        <v>197</v>
      </c>
      <c r="BV6" s="238" t="s">
        <v>101</v>
      </c>
      <c r="BX6" s="238">
        <v>14</v>
      </c>
      <c r="BY6" s="238" t="s">
        <v>522</v>
      </c>
      <c r="BZ6" s="238" t="s">
        <v>151</v>
      </c>
      <c r="CA6" s="238" t="s">
        <v>102</v>
      </c>
      <c r="CB6" s="238" t="s">
        <v>165</v>
      </c>
    </row>
    <row r="7" spans="1:86" outlineLevel="1">
      <c r="C7" s="3">
        <f xml:space="preserve"> COLUMN() -2</f>
        <v>1</v>
      </c>
      <c r="D7" s="3">
        <f t="shared" ref="D7:BJ7" si="0" xml:space="preserve"> COLUMN() -2</f>
        <v>2</v>
      </c>
      <c r="E7" s="3">
        <f t="shared" si="0"/>
        <v>3</v>
      </c>
      <c r="F7" s="3">
        <f t="shared" si="0"/>
        <v>4</v>
      </c>
      <c r="G7" s="3">
        <f t="shared" si="0"/>
        <v>5</v>
      </c>
      <c r="H7" s="3">
        <f t="shared" si="0"/>
        <v>6</v>
      </c>
      <c r="I7" s="3">
        <f t="shared" si="0"/>
        <v>7</v>
      </c>
      <c r="J7" s="3">
        <f t="shared" si="0"/>
        <v>8</v>
      </c>
      <c r="K7" s="3">
        <f t="shared" si="0"/>
        <v>9</v>
      </c>
      <c r="L7" s="3">
        <f t="shared" si="0"/>
        <v>10</v>
      </c>
      <c r="M7" s="3">
        <f t="shared" si="0"/>
        <v>11</v>
      </c>
      <c r="N7" s="3">
        <f t="shared" si="0"/>
        <v>12</v>
      </c>
      <c r="O7" s="3">
        <f t="shared" si="0"/>
        <v>13</v>
      </c>
      <c r="P7" s="3">
        <f t="shared" si="0"/>
        <v>14</v>
      </c>
      <c r="Q7" s="3">
        <f t="shared" si="0"/>
        <v>15</v>
      </c>
      <c r="R7" s="3">
        <f t="shared" si="0"/>
        <v>16</v>
      </c>
      <c r="S7" s="3">
        <f t="shared" si="0"/>
        <v>17</v>
      </c>
      <c r="T7" s="3">
        <f t="shared" si="0"/>
        <v>18</v>
      </c>
      <c r="U7" s="3">
        <f t="shared" si="0"/>
        <v>19</v>
      </c>
      <c r="V7" s="3">
        <f t="shared" si="0"/>
        <v>20</v>
      </c>
      <c r="W7" s="3">
        <f t="shared" si="0"/>
        <v>21</v>
      </c>
      <c r="X7" s="3">
        <f t="shared" si="0"/>
        <v>22</v>
      </c>
      <c r="Y7" s="3">
        <f t="shared" si="0"/>
        <v>23</v>
      </c>
      <c r="Z7" s="3">
        <f t="shared" si="0"/>
        <v>24</v>
      </c>
      <c r="AA7" s="3">
        <f t="shared" si="0"/>
        <v>25</v>
      </c>
      <c r="AB7" s="3">
        <f t="shared" si="0"/>
        <v>26</v>
      </c>
      <c r="AC7" s="3">
        <f t="shared" si="0"/>
        <v>27</v>
      </c>
      <c r="AD7" s="3">
        <f t="shared" si="0"/>
        <v>28</v>
      </c>
      <c r="AE7" s="3">
        <f t="shared" si="0"/>
        <v>29</v>
      </c>
      <c r="AF7" s="3">
        <f t="shared" si="0"/>
        <v>30</v>
      </c>
      <c r="AG7" s="3">
        <f t="shared" si="0"/>
        <v>31</v>
      </c>
      <c r="AH7" s="3">
        <f t="shared" si="0"/>
        <v>32</v>
      </c>
      <c r="AI7" s="3">
        <f t="shared" si="0"/>
        <v>33</v>
      </c>
      <c r="AJ7" s="3">
        <f t="shared" si="0"/>
        <v>34</v>
      </c>
      <c r="AK7" s="3">
        <f t="shared" si="0"/>
        <v>35</v>
      </c>
      <c r="AL7" s="3">
        <f t="shared" si="0"/>
        <v>36</v>
      </c>
      <c r="AM7" s="3">
        <f t="shared" si="0"/>
        <v>37</v>
      </c>
      <c r="AN7" s="3">
        <f t="shared" si="0"/>
        <v>38</v>
      </c>
      <c r="AO7" s="3">
        <f t="shared" si="0"/>
        <v>39</v>
      </c>
      <c r="AP7" s="3">
        <f t="shared" si="0"/>
        <v>40</v>
      </c>
      <c r="AQ7" s="3">
        <f t="shared" si="0"/>
        <v>41</v>
      </c>
      <c r="AR7" s="3">
        <f t="shared" si="0"/>
        <v>42</v>
      </c>
      <c r="AS7" s="3">
        <f t="shared" si="0"/>
        <v>43</v>
      </c>
      <c r="AT7" s="3">
        <f t="shared" si="0"/>
        <v>44</v>
      </c>
      <c r="AU7" s="3">
        <f t="shared" si="0"/>
        <v>45</v>
      </c>
      <c r="AV7" s="3">
        <f t="shared" si="0"/>
        <v>46</v>
      </c>
      <c r="AW7" s="3">
        <f t="shared" si="0"/>
        <v>47</v>
      </c>
      <c r="AX7" s="3">
        <f t="shared" si="0"/>
        <v>48</v>
      </c>
      <c r="AY7" s="3">
        <f t="shared" si="0"/>
        <v>49</v>
      </c>
      <c r="AZ7" s="3">
        <f t="shared" si="0"/>
        <v>50</v>
      </c>
      <c r="BA7" s="3">
        <f t="shared" si="0"/>
        <v>51</v>
      </c>
      <c r="BB7" s="3">
        <f t="shared" si="0"/>
        <v>52</v>
      </c>
      <c r="BC7" s="3">
        <f t="shared" si="0"/>
        <v>53</v>
      </c>
      <c r="BD7" s="3">
        <f t="shared" si="0"/>
        <v>54</v>
      </c>
      <c r="BE7" s="3">
        <f t="shared" si="0"/>
        <v>55</v>
      </c>
      <c r="BF7" s="3">
        <f t="shared" si="0"/>
        <v>56</v>
      </c>
      <c r="BG7" s="3">
        <f t="shared" si="0"/>
        <v>57</v>
      </c>
      <c r="BH7" s="3">
        <f t="shared" si="0"/>
        <v>58</v>
      </c>
      <c r="BI7" s="3">
        <f t="shared" si="0"/>
        <v>59</v>
      </c>
      <c r="BJ7" s="3">
        <f t="shared" si="0"/>
        <v>60</v>
      </c>
      <c r="BL7" s="238"/>
      <c r="BM7" s="238"/>
      <c r="BN7" s="239"/>
      <c r="BO7" s="238"/>
      <c r="BP7" s="238"/>
      <c r="BR7" s="238">
        <v>15</v>
      </c>
      <c r="BS7" s="238" t="s">
        <v>513</v>
      </c>
      <c r="BT7" s="238" t="s">
        <v>139</v>
      </c>
      <c r="BU7" s="238" t="s">
        <v>170</v>
      </c>
      <c r="BV7" s="238" t="s">
        <v>138</v>
      </c>
      <c r="BX7" s="238">
        <v>15</v>
      </c>
      <c r="BY7" s="238" t="s">
        <v>59</v>
      </c>
      <c r="BZ7" s="238" t="s">
        <v>74</v>
      </c>
      <c r="CA7" s="238" t="s">
        <v>226</v>
      </c>
      <c r="CB7" s="238" t="s">
        <v>58</v>
      </c>
    </row>
    <row r="8" spans="1:86" s="237" customFormat="1" outlineLevel="1">
      <c r="A8" s="244" t="s">
        <v>4</v>
      </c>
      <c r="B8" s="1"/>
      <c r="C8" s="4" t="str">
        <f xml:space="preserve"> MID( $C$4,C$7,1)</f>
        <v>B</v>
      </c>
      <c r="D8" s="4" t="str">
        <f t="shared" ref="D8:BJ8" si="1" xml:space="preserve"> MID( $C$4,D$7,1)</f>
        <v>b</v>
      </c>
      <c r="E8" s="4" t="str">
        <f t="shared" si="1"/>
        <v>p</v>
      </c>
      <c r="F8" s="4" t="str">
        <f t="shared" si="1"/>
        <v>m</v>
      </c>
      <c r="G8" s="4" t="str">
        <f t="shared" si="1"/>
        <v>d</v>
      </c>
      <c r="H8" s="4" t="str">
        <f t="shared" si="1"/>
        <v>t</v>
      </c>
      <c r="I8" s="4" t="str">
        <f t="shared" si="1"/>
        <v>n</v>
      </c>
      <c r="J8" s="4" t="str">
        <f t="shared" si="1"/>
        <v>l</v>
      </c>
      <c r="K8" s="4" t="str">
        <f t="shared" si="1"/>
        <v>Ğ</v>
      </c>
      <c r="L8" s="4" t="str">
        <f t="shared" si="1"/>
        <v>g</v>
      </c>
      <c r="M8" s="4" t="str">
        <f t="shared" si="1"/>
        <v>k</v>
      </c>
      <c r="N8" s="4" t="str">
        <f t="shared" si="1"/>
        <v>ŋ</v>
      </c>
      <c r="O8" s="4" t="str">
        <f t="shared" si="1"/>
        <v>h</v>
      </c>
      <c r="P8" s="4" t="str">
        <f t="shared" si="1"/>
        <v>Z</v>
      </c>
      <c r="Q8" s="4" t="str">
        <f t="shared" si="1"/>
        <v>z</v>
      </c>
      <c r="R8" s="4" t="str">
        <f t="shared" si="1"/>
        <v>c</v>
      </c>
      <c r="S8" s="4" t="str">
        <f t="shared" si="1"/>
        <v>s</v>
      </c>
      <c r="T8" s="4" t="str">
        <f t="shared" si="1"/>
        <v>J</v>
      </c>
      <c r="U8" s="4" t="str">
        <f t="shared" si="1"/>
        <v>j</v>
      </c>
      <c r="V8" s="4" t="str">
        <f t="shared" si="1"/>
        <v>C</v>
      </c>
      <c r="W8" s="4" t="str">
        <f t="shared" si="1"/>
        <v>S</v>
      </c>
      <c r="X8" s="4" t="str">
        <f t="shared" si="1"/>
        <v>a</v>
      </c>
      <c r="Y8" s="4" t="str">
        <f t="shared" si="1"/>
        <v>i</v>
      </c>
      <c r="Z8" s="4" t="str">
        <f t="shared" si="1"/>
        <v>w</v>
      </c>
      <c r="AA8" s="4" t="str">
        <f t="shared" si="1"/>
        <v>u</v>
      </c>
      <c r="AB8" s="4" t="str">
        <f t="shared" si="1"/>
        <v>e</v>
      </c>
      <c r="AC8" s="4" t="str">
        <f t="shared" si="1"/>
        <v>O</v>
      </c>
      <c r="AD8" s="4" t="str">
        <f t="shared" si="1"/>
        <v>ə</v>
      </c>
      <c r="AE8" s="4" t="str">
        <f t="shared" si="1"/>
        <v>I</v>
      </c>
      <c r="AF8" s="4" t="str">
        <f t="shared" si="1"/>
        <v>U</v>
      </c>
      <c r="AG8" s="4" t="str">
        <f t="shared" si="1"/>
        <v>D</v>
      </c>
      <c r="AH8" s="4" t="str">
        <f t="shared" si="1"/>
        <v>f</v>
      </c>
      <c r="AI8" s="4" t="str">
        <f t="shared" si="1"/>
        <v>q</v>
      </c>
      <c r="AJ8" s="4" t="str">
        <f t="shared" si="1"/>
        <v>r</v>
      </c>
      <c r="AK8" s="4" t="str">
        <f t="shared" si="1"/>
        <v>v</v>
      </c>
      <c r="AL8" s="4" t="str">
        <f t="shared" si="1"/>
        <v>x</v>
      </c>
      <c r="AM8" s="4" t="str">
        <f t="shared" si="1"/>
        <v>y</v>
      </c>
      <c r="AN8" s="4" t="str">
        <f t="shared" si="1"/>
        <v>M</v>
      </c>
      <c r="AO8" s="4" t="str">
        <f t="shared" si="1"/>
        <v>G</v>
      </c>
      <c r="AP8" s="4" t="str">
        <f t="shared" si="1"/>
        <v>N</v>
      </c>
      <c r="AQ8" s="4" t="str">
        <f t="shared" si="1"/>
        <v>Y</v>
      </c>
      <c r="AR8" s="4" t="str">
        <f t="shared" si="1"/>
        <v>@</v>
      </c>
      <c r="AS8" s="4" t="str">
        <f t="shared" si="1"/>
        <v>A</v>
      </c>
      <c r="AT8" s="4" t="str">
        <f t="shared" si="1"/>
        <v>W</v>
      </c>
      <c r="AU8" s="4" t="str">
        <f t="shared" si="1"/>
        <v>H</v>
      </c>
      <c r="AV8" s="4" t="str">
        <f t="shared" si="1"/>
        <v>R</v>
      </c>
      <c r="AW8" s="4" t="str">
        <f t="shared" si="1"/>
        <v>F</v>
      </c>
      <c r="AX8" s="4" t="str">
        <f t="shared" si="1"/>
        <v>Q</v>
      </c>
      <c r="AY8" s="4" t="str">
        <f t="shared" si="1"/>
        <v>V</v>
      </c>
      <c r="AZ8" s="4" t="str">
        <f t="shared" si="1"/>
        <v>Ø</v>
      </c>
      <c r="BA8" s="4" t="str">
        <f t="shared" si="1"/>
        <v>L</v>
      </c>
      <c r="BB8" s="4" t="str">
        <f t="shared" si="1"/>
        <v>1</v>
      </c>
      <c r="BC8" s="4" t="str">
        <f t="shared" si="1"/>
        <v>7</v>
      </c>
      <c r="BD8" s="4" t="str">
        <f t="shared" si="1"/>
        <v>3</v>
      </c>
      <c r="BE8" s="4" t="str">
        <f t="shared" si="1"/>
        <v>2</v>
      </c>
      <c r="BF8" s="4" t="str">
        <f t="shared" si="1"/>
        <v>5</v>
      </c>
      <c r="BG8" s="4" t="str">
        <f t="shared" si="1"/>
        <v>4</v>
      </c>
      <c r="BH8" s="4" t="str">
        <f t="shared" si="1"/>
        <v>8</v>
      </c>
      <c r="BI8" s="4" t="str">
        <f t="shared" si="1"/>
        <v>0</v>
      </c>
      <c r="BJ8" s="4" t="str">
        <f t="shared" si="1"/>
        <v>6</v>
      </c>
      <c r="BK8" s="1"/>
      <c r="BL8" s="238"/>
      <c r="BM8" s="238"/>
      <c r="BN8" s="239"/>
      <c r="BO8" s="238"/>
      <c r="BP8" s="238"/>
      <c r="BR8" s="238">
        <v>16</v>
      </c>
      <c r="BS8" s="238" t="s">
        <v>176</v>
      </c>
      <c r="BT8" s="238" t="s">
        <v>176</v>
      </c>
      <c r="BU8" s="238" t="s">
        <v>189</v>
      </c>
      <c r="BV8" s="238" t="s">
        <v>175</v>
      </c>
      <c r="BX8" s="238">
        <v>16</v>
      </c>
      <c r="BY8" s="238" t="s">
        <v>145</v>
      </c>
      <c r="BZ8" s="238" t="s">
        <v>73</v>
      </c>
      <c r="CA8" s="238" t="s">
        <v>168</v>
      </c>
      <c r="CB8" s="238" t="s">
        <v>144</v>
      </c>
    </row>
    <row r="9" spans="1:86" s="237" customFormat="1" outlineLevel="1">
      <c r="A9" s="245" t="s">
        <v>64</v>
      </c>
      <c r="B9" s="246"/>
      <c r="C9" s="247" t="str">
        <f xml:space="preserve"> MID($C$5,C$7,1)</f>
        <v>!</v>
      </c>
      <c r="D9" s="247" t="str">
        <f t="shared" ref="D9:BJ9" si="2" xml:space="preserve"> MID($C$5,D$7,1)</f>
        <v>1</v>
      </c>
      <c r="E9" s="247" t="str">
        <f t="shared" si="2"/>
        <v>q</v>
      </c>
      <c r="F9" s="247" t="str">
        <f t="shared" si="2"/>
        <v>a</v>
      </c>
      <c r="G9" s="247" t="str">
        <f t="shared" si="2"/>
        <v>2</v>
      </c>
      <c r="H9" s="247" t="str">
        <f t="shared" si="2"/>
        <v>w</v>
      </c>
      <c r="I9" s="247" t="str">
        <f t="shared" si="2"/>
        <v>s</v>
      </c>
      <c r="J9" s="247" t="str">
        <f t="shared" si="2"/>
        <v>x</v>
      </c>
      <c r="K9" s="247" t="str">
        <f t="shared" si="2"/>
        <v>E</v>
      </c>
      <c r="L9" s="247" t="str">
        <f t="shared" si="2"/>
        <v>e</v>
      </c>
      <c r="M9" s="247" t="str">
        <f t="shared" si="2"/>
        <v>d</v>
      </c>
      <c r="N9" s="247" t="str">
        <f t="shared" si="2"/>
        <v>N</v>
      </c>
      <c r="O9" s="247" t="str">
        <f t="shared" si="2"/>
        <v>c</v>
      </c>
      <c r="P9" s="247" t="str">
        <f t="shared" si="2"/>
        <v>Y</v>
      </c>
      <c r="Q9" s="247" t="str">
        <f t="shared" si="2"/>
        <v>y</v>
      </c>
      <c r="R9" s="247" t="str">
        <f t="shared" si="2"/>
        <v>h</v>
      </c>
      <c r="S9" s="247" t="str">
        <f t="shared" si="2"/>
        <v>n</v>
      </c>
      <c r="T9" s="247" t="str">
        <f t="shared" si="2"/>
        <v>R</v>
      </c>
      <c r="U9" s="247" t="str">
        <f t="shared" si="2"/>
        <v>r</v>
      </c>
      <c r="V9" s="247" t="str">
        <f t="shared" si="2"/>
        <v>f</v>
      </c>
      <c r="W9" s="247" t="str">
        <f t="shared" si="2"/>
        <v>v</v>
      </c>
      <c r="X9" s="247" t="str">
        <f t="shared" si="2"/>
        <v>8</v>
      </c>
      <c r="Y9" s="247" t="str">
        <f t="shared" si="2"/>
        <v>u</v>
      </c>
      <c r="Z9" s="247" t="str">
        <f t="shared" si="2"/>
        <v>K</v>
      </c>
      <c r="AA9" s="247" t="str">
        <f t="shared" si="2"/>
        <v>j</v>
      </c>
      <c r="AB9" s="247" t="str">
        <f t="shared" si="2"/>
        <v>,</v>
      </c>
      <c r="AC9" s="247" t="str">
        <f t="shared" si="2"/>
        <v>i</v>
      </c>
      <c r="AD9" s="247" t="str">
        <f t="shared" si="2"/>
        <v>k</v>
      </c>
      <c r="AE9" s="247" t="str">
        <f t="shared" si="2"/>
        <v>9</v>
      </c>
      <c r="AF9" s="247" t="str">
        <f t="shared" si="2"/>
        <v>l</v>
      </c>
      <c r="AG9" s="247" t="str">
        <f t="shared" si="2"/>
        <v>*</v>
      </c>
      <c r="AH9" s="247" t="str">
        <f t="shared" si="2"/>
        <v>U</v>
      </c>
      <c r="AI9" s="247" t="str">
        <f t="shared" si="2"/>
        <v>J</v>
      </c>
      <c r="AJ9" s="247" t="str">
        <f t="shared" si="2"/>
        <v>&lt;</v>
      </c>
      <c r="AK9" s="247" t="str">
        <f t="shared" si="2"/>
        <v>I</v>
      </c>
      <c r="AL9" s="247" t="str">
        <f t="shared" si="2"/>
        <v>(</v>
      </c>
      <c r="AM9" s="247" t="str">
        <f t="shared" si="2"/>
        <v>L</v>
      </c>
      <c r="AN9" s="247" t="str">
        <f t="shared" si="2"/>
        <v>m</v>
      </c>
      <c r="AO9" s="247" t="str">
        <f t="shared" si="2"/>
        <v>/</v>
      </c>
      <c r="AP9" s="247" t="str">
        <f t="shared" si="2"/>
        <v>p</v>
      </c>
      <c r="AQ9" s="247" t="str">
        <f t="shared" si="2"/>
        <v>M</v>
      </c>
      <c r="AR9" s="247" t="str">
        <f t="shared" si="2"/>
        <v>0</v>
      </c>
      <c r="AS9" s="247" t="str">
        <f t="shared" si="2"/>
        <v>;</v>
      </c>
      <c r="AT9" s="247" t="str">
        <f t="shared" si="2"/>
        <v>O</v>
      </c>
      <c r="AU9" s="247" t="str">
        <f t="shared" si="2"/>
        <v>o</v>
      </c>
      <c r="AV9" s="247" t="str">
        <f t="shared" si="2"/>
        <v>b</v>
      </c>
      <c r="AW9" s="247" t="str">
        <f t="shared" si="2"/>
        <v>t</v>
      </c>
      <c r="AX9" s="247" t="str">
        <f t="shared" si="2"/>
        <v>g</v>
      </c>
      <c r="AY9" s="247" t="str">
        <f t="shared" si="2"/>
        <v>z</v>
      </c>
      <c r="AZ9" s="247" t="str">
        <f t="shared" si="2"/>
        <v>=</v>
      </c>
      <c r="BA9" s="247" t="str">
        <f t="shared" si="2"/>
        <v>-</v>
      </c>
      <c r="BB9" s="247" t="str">
        <f t="shared" si="2"/>
        <v>"</v>
      </c>
      <c r="BC9" s="247" t="str">
        <f t="shared" si="2"/>
        <v>5</v>
      </c>
      <c r="BD9" s="247" t="str">
        <f t="shared" si="2"/>
        <v>3</v>
      </c>
      <c r="BE9" s="247" t="str">
        <f t="shared" si="2"/>
        <v>4</v>
      </c>
      <c r="BF9" s="247" t="str">
        <f t="shared" si="2"/>
        <v>6</v>
      </c>
      <c r="BG9" s="247" t="str">
        <f t="shared" si="2"/>
        <v>[</v>
      </c>
      <c r="BH9" s="247" t="str">
        <f t="shared" si="2"/>
        <v>]</v>
      </c>
      <c r="BI9" s="247" t="str">
        <f t="shared" si="2"/>
        <v>.</v>
      </c>
      <c r="BJ9" s="247" t="str">
        <f t="shared" si="2"/>
        <v>7</v>
      </c>
      <c r="BK9" s="1"/>
      <c r="BL9" s="238"/>
      <c r="BM9" s="238"/>
      <c r="BN9" s="239"/>
      <c r="BO9" s="238"/>
      <c r="BP9" s="238"/>
      <c r="BR9" s="238">
        <v>17</v>
      </c>
      <c r="BS9" s="238" t="s">
        <v>170</v>
      </c>
      <c r="BT9" s="238" t="s">
        <v>170</v>
      </c>
      <c r="BU9" s="238" t="s">
        <v>139</v>
      </c>
      <c r="BV9" s="238" t="s">
        <v>169</v>
      </c>
      <c r="BX9" s="238">
        <v>17</v>
      </c>
      <c r="BY9" s="238" t="s">
        <v>161</v>
      </c>
      <c r="BZ9" s="238" t="s">
        <v>72</v>
      </c>
      <c r="CA9" s="238" t="s">
        <v>154</v>
      </c>
      <c r="CB9" s="238" t="s">
        <v>160</v>
      </c>
    </row>
    <row r="10" spans="1:86" s="237" customFormat="1" outlineLevel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238"/>
      <c r="BM10" s="238"/>
      <c r="BN10" s="239"/>
      <c r="BO10" s="238"/>
      <c r="BP10" s="238"/>
      <c r="BR10" s="238">
        <v>18</v>
      </c>
      <c r="BS10" s="238" t="s">
        <v>514</v>
      </c>
      <c r="BT10" s="238" t="s">
        <v>117</v>
      </c>
      <c r="BU10" s="238" t="s">
        <v>70</v>
      </c>
      <c r="BV10" s="238" t="s">
        <v>82</v>
      </c>
      <c r="BX10" s="238">
        <v>18</v>
      </c>
      <c r="BY10" s="238" t="s">
        <v>61</v>
      </c>
      <c r="BZ10" s="238" t="s">
        <v>218</v>
      </c>
      <c r="CA10" s="238" t="s">
        <v>227</v>
      </c>
      <c r="CB10" s="238" t="s">
        <v>60</v>
      </c>
    </row>
    <row r="11" spans="1:86" s="237" customFormat="1">
      <c r="A11" s="1" t="s">
        <v>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238"/>
      <c r="BM11" s="238"/>
      <c r="BN11" s="239"/>
      <c r="BO11" s="238"/>
      <c r="BP11" s="238"/>
      <c r="BR11" s="238">
        <v>19</v>
      </c>
      <c r="BS11" s="238" t="s">
        <v>515</v>
      </c>
      <c r="BT11" s="238" t="s">
        <v>148</v>
      </c>
      <c r="BU11" s="238" t="s">
        <v>192</v>
      </c>
      <c r="BV11" s="238" t="s">
        <v>98</v>
      </c>
      <c r="BX11" s="238">
        <v>19</v>
      </c>
      <c r="BY11" s="238" t="s">
        <v>147</v>
      </c>
      <c r="BZ11" s="238" t="s">
        <v>111</v>
      </c>
      <c r="CA11" s="238" t="s">
        <v>228</v>
      </c>
      <c r="CB11" s="238" t="s">
        <v>146</v>
      </c>
    </row>
    <row r="12" spans="1:86" s="237" customFormat="1" outlineLevel="1">
      <c r="A12" s="1"/>
      <c r="B12" s="1"/>
      <c r="C12" s="273" t="s">
        <v>588</v>
      </c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3"/>
      <c r="V12" s="273"/>
      <c r="W12" s="273"/>
      <c r="X12" s="273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238"/>
      <c r="BM12" s="238"/>
      <c r="BN12" s="238"/>
      <c r="BO12" s="238"/>
      <c r="BP12" s="238"/>
      <c r="BX12" s="238">
        <v>27</v>
      </c>
      <c r="BY12" s="238" t="s">
        <v>528</v>
      </c>
      <c r="BZ12" s="238" t="s">
        <v>196</v>
      </c>
      <c r="CA12" s="238" t="s">
        <v>231</v>
      </c>
      <c r="CB12" s="238" t="s">
        <v>41</v>
      </c>
    </row>
    <row r="13" spans="1:86" s="237" customFormat="1" outlineLevel="1">
      <c r="A13" s="1"/>
      <c r="B13" s="1"/>
      <c r="C13" s="273" t="s">
        <v>589</v>
      </c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3"/>
      <c r="V13" s="273"/>
      <c r="W13" s="273"/>
      <c r="X13" s="273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238"/>
      <c r="BM13" s="238"/>
      <c r="BN13" s="238"/>
      <c r="BO13" s="238"/>
      <c r="BP13" s="238"/>
      <c r="BX13" s="238">
        <v>28</v>
      </c>
      <c r="BY13" s="238" t="s">
        <v>529</v>
      </c>
      <c r="BZ13" s="238" t="s">
        <v>197</v>
      </c>
      <c r="CA13" s="238" t="s">
        <v>119</v>
      </c>
      <c r="CB13" s="238" t="s">
        <v>126</v>
      </c>
    </row>
    <row r="14" spans="1:86" s="237" customFormat="1" outlineLevel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238"/>
      <c r="BM14" s="238"/>
      <c r="BN14" s="238"/>
      <c r="BO14" s="238"/>
      <c r="BP14" s="238"/>
    </row>
    <row r="15" spans="1:86" s="237" customFormat="1" outlineLevel="1">
      <c r="A15" s="1"/>
      <c r="B15" s="1"/>
      <c r="C15" s="3">
        <f xml:space="preserve"> COLUMN() -2</f>
        <v>1</v>
      </c>
      <c r="D15" s="3">
        <f t="shared" ref="D15:BJ15" si="3" xml:space="preserve"> COLUMN() -2</f>
        <v>2</v>
      </c>
      <c r="E15" s="3">
        <f t="shared" si="3"/>
        <v>3</v>
      </c>
      <c r="F15" s="3">
        <f t="shared" si="3"/>
        <v>4</v>
      </c>
      <c r="G15" s="3">
        <f t="shared" si="3"/>
        <v>5</v>
      </c>
      <c r="H15" s="3">
        <f t="shared" si="3"/>
        <v>6</v>
      </c>
      <c r="I15" s="3">
        <f t="shared" si="3"/>
        <v>7</v>
      </c>
      <c r="J15" s="3">
        <f t="shared" si="3"/>
        <v>8</v>
      </c>
      <c r="K15" s="3">
        <f t="shared" si="3"/>
        <v>9</v>
      </c>
      <c r="L15" s="3">
        <f t="shared" si="3"/>
        <v>10</v>
      </c>
      <c r="M15" s="3">
        <f t="shared" si="3"/>
        <v>11</v>
      </c>
      <c r="N15" s="3">
        <f t="shared" si="3"/>
        <v>12</v>
      </c>
      <c r="O15" s="3">
        <f t="shared" si="3"/>
        <v>13</v>
      </c>
      <c r="P15" s="3">
        <f t="shared" si="3"/>
        <v>14</v>
      </c>
      <c r="Q15" s="3">
        <f t="shared" si="3"/>
        <v>15</v>
      </c>
      <c r="R15" s="3">
        <f t="shared" si="3"/>
        <v>16</v>
      </c>
      <c r="S15" s="3">
        <f t="shared" si="3"/>
        <v>17</v>
      </c>
      <c r="T15" s="3">
        <f t="shared" si="3"/>
        <v>18</v>
      </c>
      <c r="U15" s="3">
        <f t="shared" si="3"/>
        <v>19</v>
      </c>
      <c r="V15" s="3">
        <f t="shared" si="3"/>
        <v>20</v>
      </c>
      <c r="W15" s="3">
        <f t="shared" si="3"/>
        <v>21</v>
      </c>
      <c r="X15" s="3">
        <f t="shared" si="3"/>
        <v>22</v>
      </c>
      <c r="Y15" s="3">
        <f t="shared" si="3"/>
        <v>23</v>
      </c>
      <c r="Z15" s="3">
        <f t="shared" si="3"/>
        <v>24</v>
      </c>
      <c r="AA15" s="3">
        <f t="shared" si="3"/>
        <v>25</v>
      </c>
      <c r="AB15" s="3">
        <f t="shared" si="3"/>
        <v>26</v>
      </c>
      <c r="AC15" s="3">
        <f t="shared" si="3"/>
        <v>27</v>
      </c>
      <c r="AD15" s="3">
        <f t="shared" si="3"/>
        <v>28</v>
      </c>
      <c r="AE15" s="3">
        <f t="shared" si="3"/>
        <v>29</v>
      </c>
      <c r="AF15" s="3">
        <f t="shared" si="3"/>
        <v>30</v>
      </c>
      <c r="AG15" s="3">
        <f t="shared" si="3"/>
        <v>31</v>
      </c>
      <c r="AH15" s="3">
        <f t="shared" si="3"/>
        <v>32</v>
      </c>
      <c r="AI15" s="3">
        <f t="shared" si="3"/>
        <v>33</v>
      </c>
      <c r="AJ15" s="3">
        <f t="shared" si="3"/>
        <v>34</v>
      </c>
      <c r="AK15" s="3">
        <f t="shared" si="3"/>
        <v>35</v>
      </c>
      <c r="AL15" s="3">
        <f t="shared" si="3"/>
        <v>36</v>
      </c>
      <c r="AM15" s="3">
        <f t="shared" si="3"/>
        <v>37</v>
      </c>
      <c r="AN15" s="3">
        <f t="shared" si="3"/>
        <v>38</v>
      </c>
      <c r="AO15" s="3">
        <f t="shared" si="3"/>
        <v>39</v>
      </c>
      <c r="AP15" s="3">
        <f t="shared" si="3"/>
        <v>40</v>
      </c>
      <c r="AQ15" s="3">
        <f t="shared" si="3"/>
        <v>41</v>
      </c>
      <c r="AR15" s="3">
        <f t="shared" si="3"/>
        <v>42</v>
      </c>
      <c r="AS15" s="3">
        <f t="shared" si="3"/>
        <v>43</v>
      </c>
      <c r="AT15" s="3">
        <f t="shared" si="3"/>
        <v>44</v>
      </c>
      <c r="AU15" s="3">
        <f t="shared" si="3"/>
        <v>45</v>
      </c>
      <c r="AV15" s="3">
        <f t="shared" si="3"/>
        <v>46</v>
      </c>
      <c r="AW15" s="3">
        <f t="shared" si="3"/>
        <v>47</v>
      </c>
      <c r="AX15" s="3">
        <f t="shared" si="3"/>
        <v>48</v>
      </c>
      <c r="AY15" s="3">
        <f t="shared" si="3"/>
        <v>49</v>
      </c>
      <c r="AZ15" s="3">
        <f t="shared" si="3"/>
        <v>50</v>
      </c>
      <c r="BA15" s="3">
        <f t="shared" si="3"/>
        <v>51</v>
      </c>
      <c r="BB15" s="3">
        <f t="shared" si="3"/>
        <v>52</v>
      </c>
      <c r="BC15" s="3">
        <f t="shared" si="3"/>
        <v>53</v>
      </c>
      <c r="BD15" s="3">
        <f t="shared" si="3"/>
        <v>54</v>
      </c>
      <c r="BE15" s="3">
        <f t="shared" si="3"/>
        <v>55</v>
      </c>
      <c r="BF15" s="3">
        <f t="shared" si="3"/>
        <v>56</v>
      </c>
      <c r="BG15" s="3">
        <f t="shared" si="3"/>
        <v>57</v>
      </c>
      <c r="BH15" s="3">
        <f t="shared" si="3"/>
        <v>58</v>
      </c>
      <c r="BI15" s="3">
        <f t="shared" si="3"/>
        <v>59</v>
      </c>
      <c r="BJ15" s="3">
        <f t="shared" si="3"/>
        <v>60</v>
      </c>
      <c r="BK15" s="1"/>
      <c r="BL15" s="238"/>
      <c r="BM15" s="238"/>
      <c r="BN15" s="238"/>
      <c r="BO15" s="238"/>
      <c r="BP15" s="238"/>
    </row>
    <row r="16" spans="1:86" s="237" customFormat="1" outlineLevel="1">
      <c r="A16" s="244" t="s">
        <v>4</v>
      </c>
      <c r="B16" s="1"/>
      <c r="C16" s="4" t="str">
        <f xml:space="preserve"> MID($C$12,C$15,1)</f>
        <v>!</v>
      </c>
      <c r="D16" s="4" t="str">
        <f t="shared" ref="D16:BJ16" si="4" xml:space="preserve"> MID($C$12,D$15,1)</f>
        <v>1</v>
      </c>
      <c r="E16" s="4" t="str">
        <f t="shared" si="4"/>
        <v>q</v>
      </c>
      <c r="F16" s="4" t="str">
        <f t="shared" si="4"/>
        <v>a</v>
      </c>
      <c r="G16" s="4" t="str">
        <f t="shared" si="4"/>
        <v>2</v>
      </c>
      <c r="H16" s="4" t="str">
        <f t="shared" si="4"/>
        <v>w</v>
      </c>
      <c r="I16" s="4" t="str">
        <f t="shared" si="4"/>
        <v>s</v>
      </c>
      <c r="J16" s="4" t="str">
        <f t="shared" si="4"/>
        <v>x</v>
      </c>
      <c r="K16" s="4" t="str">
        <f t="shared" si="4"/>
        <v>E</v>
      </c>
      <c r="L16" s="4" t="str">
        <f t="shared" si="4"/>
        <v>e</v>
      </c>
      <c r="M16" s="4" t="str">
        <f t="shared" si="4"/>
        <v>d</v>
      </c>
      <c r="N16" s="4" t="str">
        <f t="shared" si="4"/>
        <v>N</v>
      </c>
      <c r="O16" s="4" t="str">
        <f t="shared" si="4"/>
        <v>c</v>
      </c>
      <c r="P16" s="4" t="str">
        <f t="shared" si="4"/>
        <v>Y</v>
      </c>
      <c r="Q16" s="4" t="str">
        <f t="shared" si="4"/>
        <v>y</v>
      </c>
      <c r="R16" s="4" t="str">
        <f t="shared" si="4"/>
        <v>h</v>
      </c>
      <c r="S16" s="4" t="str">
        <f t="shared" si="4"/>
        <v>n</v>
      </c>
      <c r="T16" s="4" t="str">
        <f t="shared" si="4"/>
        <v>R</v>
      </c>
      <c r="U16" s="4" t="str">
        <f t="shared" si="4"/>
        <v>r</v>
      </c>
      <c r="V16" s="4" t="str">
        <f t="shared" si="4"/>
        <v>f</v>
      </c>
      <c r="W16" s="4" t="str">
        <f t="shared" si="4"/>
        <v>v</v>
      </c>
      <c r="X16" s="4" t="str">
        <f t="shared" si="4"/>
        <v>8</v>
      </c>
      <c r="Y16" s="4" t="str">
        <f t="shared" si="4"/>
        <v>u</v>
      </c>
      <c r="Z16" s="4" t="str">
        <f t="shared" si="4"/>
        <v>K</v>
      </c>
      <c r="AA16" s="4" t="str">
        <f t="shared" si="4"/>
        <v>j</v>
      </c>
      <c r="AB16" s="4" t="str">
        <f t="shared" si="4"/>
        <v>,</v>
      </c>
      <c r="AC16" s="4" t="str">
        <f t="shared" si="4"/>
        <v>i</v>
      </c>
      <c r="AD16" s="4" t="str">
        <f t="shared" si="4"/>
        <v>k</v>
      </c>
      <c r="AE16" s="4" t="str">
        <f t="shared" si="4"/>
        <v>9</v>
      </c>
      <c r="AF16" s="4" t="str">
        <f t="shared" si="4"/>
        <v>l</v>
      </c>
      <c r="AG16" s="4" t="str">
        <f t="shared" si="4"/>
        <v>*</v>
      </c>
      <c r="AH16" s="4" t="str">
        <f t="shared" si="4"/>
        <v>U</v>
      </c>
      <c r="AI16" s="4" t="str">
        <f t="shared" si="4"/>
        <v>J</v>
      </c>
      <c r="AJ16" s="4" t="str">
        <f t="shared" si="4"/>
        <v>&lt;</v>
      </c>
      <c r="AK16" s="4" t="str">
        <f t="shared" si="4"/>
        <v>I</v>
      </c>
      <c r="AL16" s="4" t="str">
        <f t="shared" si="4"/>
        <v>(</v>
      </c>
      <c r="AM16" s="4" t="str">
        <f t="shared" si="4"/>
        <v>L</v>
      </c>
      <c r="AN16" s="4" t="str">
        <f t="shared" si="4"/>
        <v>m</v>
      </c>
      <c r="AO16" s="4" t="str">
        <f t="shared" si="4"/>
        <v>/</v>
      </c>
      <c r="AP16" s="4" t="str">
        <f t="shared" si="4"/>
        <v>p</v>
      </c>
      <c r="AQ16" s="4" t="str">
        <f t="shared" si="4"/>
        <v>M</v>
      </c>
      <c r="AR16" s="4" t="str">
        <f t="shared" si="4"/>
        <v>0</v>
      </c>
      <c r="AS16" s="4" t="str">
        <f t="shared" si="4"/>
        <v>;</v>
      </c>
      <c r="AT16" s="4" t="str">
        <f t="shared" si="4"/>
        <v>O</v>
      </c>
      <c r="AU16" s="4" t="str">
        <f t="shared" si="4"/>
        <v>o</v>
      </c>
      <c r="AV16" s="4" t="str">
        <f t="shared" si="4"/>
        <v>b</v>
      </c>
      <c r="AW16" s="4" t="str">
        <f t="shared" si="4"/>
        <v>t</v>
      </c>
      <c r="AX16" s="4" t="str">
        <f t="shared" si="4"/>
        <v>g</v>
      </c>
      <c r="AY16" s="4" t="str">
        <f t="shared" si="4"/>
        <v>z</v>
      </c>
      <c r="AZ16" s="4" t="str">
        <f t="shared" si="4"/>
        <v>=</v>
      </c>
      <c r="BA16" s="4" t="str">
        <f t="shared" si="4"/>
        <v>-</v>
      </c>
      <c r="BB16" s="4" t="str">
        <f t="shared" si="4"/>
        <v>"</v>
      </c>
      <c r="BC16" s="4" t="str">
        <f t="shared" si="4"/>
        <v>5</v>
      </c>
      <c r="BD16" s="4" t="str">
        <f t="shared" si="4"/>
        <v>3</v>
      </c>
      <c r="BE16" s="4" t="str">
        <f t="shared" si="4"/>
        <v>4</v>
      </c>
      <c r="BF16" s="4" t="str">
        <f t="shared" si="4"/>
        <v>6</v>
      </c>
      <c r="BG16" s="4" t="str">
        <f t="shared" si="4"/>
        <v>[</v>
      </c>
      <c r="BH16" s="4" t="str">
        <f t="shared" si="4"/>
        <v>]</v>
      </c>
      <c r="BI16" s="4" t="str">
        <f t="shared" si="4"/>
        <v>.</v>
      </c>
      <c r="BJ16" s="4" t="str">
        <f t="shared" si="4"/>
        <v>7</v>
      </c>
      <c r="BK16" s="1"/>
      <c r="BL16" s="238"/>
      <c r="BM16" s="238"/>
      <c r="BN16" s="238"/>
      <c r="BO16" s="238"/>
      <c r="BP16" s="238"/>
    </row>
    <row r="17" spans="1:86" s="237" customFormat="1" outlineLevel="1">
      <c r="A17" s="243" t="s">
        <v>7</v>
      </c>
      <c r="B17" s="1"/>
      <c r="C17" s="242" t="str">
        <f xml:space="preserve"> MID($C$13,C$15,1)</f>
        <v>ㆠ</v>
      </c>
      <c r="D17" s="242" t="str">
        <f t="shared" ref="D17:BJ17" si="5" xml:space="preserve"> MID($C$13,D$15,1)</f>
        <v>ㄅ</v>
      </c>
      <c r="E17" s="242" t="str">
        <f t="shared" si="5"/>
        <v>ㄆ</v>
      </c>
      <c r="F17" s="242" t="str">
        <f t="shared" si="5"/>
        <v>ㄇ</v>
      </c>
      <c r="G17" s="242" t="str">
        <f t="shared" si="5"/>
        <v>ㄉ</v>
      </c>
      <c r="H17" s="242" t="str">
        <f t="shared" si="5"/>
        <v>ㄊ</v>
      </c>
      <c r="I17" s="242" t="str">
        <f t="shared" si="5"/>
        <v>ㄋ</v>
      </c>
      <c r="J17" s="242" t="str">
        <f t="shared" si="5"/>
        <v>ㄌ</v>
      </c>
      <c r="K17" s="242" t="str">
        <f t="shared" si="5"/>
        <v>ㆣ</v>
      </c>
      <c r="L17" s="242" t="str">
        <f t="shared" si="5"/>
        <v>ㄍ</v>
      </c>
      <c r="M17" s="242" t="str">
        <f t="shared" si="5"/>
        <v>ㄎ</v>
      </c>
      <c r="N17" s="242" t="str">
        <f t="shared" si="5"/>
        <v>ㄫ</v>
      </c>
      <c r="O17" s="242" t="str">
        <f t="shared" si="5"/>
        <v>ㄏ</v>
      </c>
      <c r="P17" s="242" t="str">
        <f t="shared" si="5"/>
        <v>ㆡ</v>
      </c>
      <c r="Q17" s="242" t="str">
        <f t="shared" si="5"/>
        <v>ㄗ</v>
      </c>
      <c r="R17" s="242" t="str">
        <f t="shared" si="5"/>
        <v>ㄘ</v>
      </c>
      <c r="S17" s="242" t="str">
        <f t="shared" si="5"/>
        <v>ㄙ</v>
      </c>
      <c r="T17" s="242" t="str">
        <f t="shared" si="5"/>
        <v>ㆢ</v>
      </c>
      <c r="U17" s="242" t="str">
        <f t="shared" si="5"/>
        <v>ㄐ</v>
      </c>
      <c r="V17" s="242" t="str">
        <f t="shared" si="5"/>
        <v>ㄑ</v>
      </c>
      <c r="W17" s="242" t="str">
        <f t="shared" si="5"/>
        <v>ㄒ</v>
      </c>
      <c r="X17" s="242" t="str">
        <f t="shared" si="5"/>
        <v>ㄚ</v>
      </c>
      <c r="Y17" s="242" t="str">
        <f t="shared" si="5"/>
        <v>ㄧ</v>
      </c>
      <c r="Z17" s="242" t="str">
        <f t="shared" si="5"/>
        <v>ㆨ</v>
      </c>
      <c r="AA17" s="242" t="str">
        <f t="shared" si="5"/>
        <v>ㄨ</v>
      </c>
      <c r="AB17" s="242" t="str">
        <f t="shared" si="5"/>
        <v>ㆤ</v>
      </c>
      <c r="AC17" s="242" t="str">
        <f t="shared" si="5"/>
        <v>ㆦ</v>
      </c>
      <c r="AD17" s="242" t="str">
        <f t="shared" si="5"/>
        <v>ㄜ</v>
      </c>
      <c r="AE17" s="242" t="str">
        <f t="shared" si="5"/>
        <v>ㄞ</v>
      </c>
      <c r="AF17" s="242" t="str">
        <f t="shared" si="5"/>
        <v>ㄠ</v>
      </c>
      <c r="AG17" s="242" t="str">
        <f t="shared" si="5"/>
        <v>ㆩ</v>
      </c>
      <c r="AH17" s="242" t="str">
        <f t="shared" si="5"/>
        <v>ㆪ</v>
      </c>
      <c r="AI17" s="242" t="str">
        <f t="shared" si="5"/>
        <v>ㆫ</v>
      </c>
      <c r="AJ17" s="242" t="str">
        <f t="shared" si="5"/>
        <v>ㆥ</v>
      </c>
      <c r="AK17" s="242" t="str">
        <f t="shared" si="5"/>
        <v>ㆧ</v>
      </c>
      <c r="AL17" s="242" t="str">
        <f t="shared" si="5"/>
        <v>ㆮ</v>
      </c>
      <c r="AM17" s="242" t="str">
        <f t="shared" si="5"/>
        <v>ㆯ</v>
      </c>
      <c r="AN17" s="242" t="str">
        <f t="shared" si="5"/>
        <v>ㆬ</v>
      </c>
      <c r="AO17" s="242" t="str">
        <f t="shared" si="5"/>
        <v>ㆭ</v>
      </c>
      <c r="AP17" s="242" t="str">
        <f t="shared" si="5"/>
        <v>ㄣ</v>
      </c>
      <c r="AQ17" s="242" t="str">
        <f t="shared" si="5"/>
        <v>ㆰ</v>
      </c>
      <c r="AR17" s="242" t="str">
        <f t="shared" si="5"/>
        <v>ㄢ</v>
      </c>
      <c r="AS17" s="242" t="str">
        <f t="shared" si="5"/>
        <v>ㄤ</v>
      </c>
      <c r="AT17" s="242" t="str">
        <f t="shared" si="5"/>
        <v>ㆱ</v>
      </c>
      <c r="AU17" s="242" t="str">
        <f t="shared" si="5"/>
        <v>ㆲ</v>
      </c>
      <c r="AV17" s="242" t="str">
        <f t="shared" si="5"/>
        <v>ㆴ</v>
      </c>
      <c r="AW17" s="242" t="str">
        <f t="shared" si="5"/>
        <v>ㆵ</v>
      </c>
      <c r="AX17" s="242" t="str">
        <f t="shared" si="5"/>
        <v>ㆻ</v>
      </c>
      <c r="AY17" s="242" t="str">
        <f t="shared" si="5"/>
        <v>ㆷ</v>
      </c>
      <c r="AZ17" s="242" t="str">
        <f t="shared" si="5"/>
        <v>Ø</v>
      </c>
      <c r="BA17" s="242" t="str">
        <f t="shared" si="5"/>
        <v>ㄥ</v>
      </c>
      <c r="BB17" s="242" t="str">
        <f t="shared" si="5"/>
        <v>一</v>
      </c>
      <c r="BC17" s="242" t="str">
        <f t="shared" si="5"/>
        <v>七</v>
      </c>
      <c r="BD17" s="242" t="str">
        <f t="shared" si="5"/>
        <v>三</v>
      </c>
      <c r="BE17" s="242" t="str">
        <f t="shared" si="5"/>
        <v>二</v>
      </c>
      <c r="BF17" s="242" t="str">
        <f t="shared" si="5"/>
        <v>五</v>
      </c>
      <c r="BG17" s="242" t="str">
        <f t="shared" si="5"/>
        <v>四</v>
      </c>
      <c r="BH17" s="242" t="str">
        <f t="shared" si="5"/>
        <v>八</v>
      </c>
      <c r="BI17" s="242" t="str">
        <f t="shared" si="5"/>
        <v>輕</v>
      </c>
      <c r="BJ17" s="242" t="str">
        <f t="shared" si="5"/>
        <v>ʔ</v>
      </c>
      <c r="BK17" s="1"/>
      <c r="BL17" s="238"/>
      <c r="BM17" s="238"/>
      <c r="BN17" s="238"/>
      <c r="BO17" s="238"/>
      <c r="BP17" s="238"/>
    </row>
    <row r="18" spans="1:86" s="237" customFormat="1" outlineLevel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238"/>
      <c r="BM18" s="238"/>
      <c r="BN18" s="238"/>
      <c r="BO18" s="238"/>
      <c r="BP18" s="238"/>
    </row>
    <row r="19" spans="1:86" s="237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238"/>
      <c r="BM19" s="238"/>
      <c r="BN19" s="238"/>
      <c r="BO19" s="238"/>
      <c r="BP19" s="238"/>
    </row>
    <row r="20" spans="1:86" s="234" customFormat="1">
      <c r="C20" s="251">
        <f xml:space="preserve"> COLUMN() -2</f>
        <v>1</v>
      </c>
      <c r="D20" s="251">
        <f t="shared" ref="D20:BJ20" si="6" xml:space="preserve"> COLUMN() -2</f>
        <v>2</v>
      </c>
      <c r="E20" s="251">
        <f t="shared" si="6"/>
        <v>3</v>
      </c>
      <c r="F20" s="251">
        <f t="shared" si="6"/>
        <v>4</v>
      </c>
      <c r="G20" s="251">
        <f t="shared" si="6"/>
        <v>5</v>
      </c>
      <c r="H20" s="251">
        <f t="shared" si="6"/>
        <v>6</v>
      </c>
      <c r="I20" s="251">
        <f t="shared" si="6"/>
        <v>7</v>
      </c>
      <c r="J20" s="251">
        <f t="shared" si="6"/>
        <v>8</v>
      </c>
      <c r="K20" s="251">
        <f t="shared" si="6"/>
        <v>9</v>
      </c>
      <c r="L20" s="251">
        <f t="shared" si="6"/>
        <v>10</v>
      </c>
      <c r="M20" s="251">
        <f t="shared" si="6"/>
        <v>11</v>
      </c>
      <c r="N20" s="251">
        <f t="shared" si="6"/>
        <v>12</v>
      </c>
      <c r="O20" s="251">
        <f t="shared" si="6"/>
        <v>13</v>
      </c>
      <c r="P20" s="251">
        <f t="shared" si="6"/>
        <v>14</v>
      </c>
      <c r="Q20" s="251">
        <f t="shared" si="6"/>
        <v>15</v>
      </c>
      <c r="R20" s="251">
        <f t="shared" si="6"/>
        <v>16</v>
      </c>
      <c r="S20" s="251">
        <f t="shared" si="6"/>
        <v>17</v>
      </c>
      <c r="T20" s="251">
        <f t="shared" si="6"/>
        <v>18</v>
      </c>
      <c r="U20" s="251">
        <f t="shared" si="6"/>
        <v>19</v>
      </c>
      <c r="V20" s="251">
        <f t="shared" si="6"/>
        <v>20</v>
      </c>
      <c r="W20" s="251">
        <f t="shared" si="6"/>
        <v>21</v>
      </c>
      <c r="X20" s="251">
        <f t="shared" si="6"/>
        <v>22</v>
      </c>
      <c r="Y20" s="251">
        <f t="shared" si="6"/>
        <v>23</v>
      </c>
      <c r="Z20" s="251">
        <f t="shared" si="6"/>
        <v>24</v>
      </c>
      <c r="AA20" s="251">
        <f t="shared" si="6"/>
        <v>25</v>
      </c>
      <c r="AB20" s="251">
        <f t="shared" si="6"/>
        <v>26</v>
      </c>
      <c r="AC20" s="251">
        <f t="shared" si="6"/>
        <v>27</v>
      </c>
      <c r="AD20" s="251">
        <f t="shared" si="6"/>
        <v>28</v>
      </c>
      <c r="AE20" s="251">
        <f t="shared" si="6"/>
        <v>29</v>
      </c>
      <c r="AF20" s="251">
        <f t="shared" si="6"/>
        <v>30</v>
      </c>
      <c r="AG20" s="251">
        <f t="shared" si="6"/>
        <v>31</v>
      </c>
      <c r="AH20" s="251">
        <f t="shared" si="6"/>
        <v>32</v>
      </c>
      <c r="AI20" s="251">
        <f t="shared" si="6"/>
        <v>33</v>
      </c>
      <c r="AJ20" s="251">
        <f t="shared" si="6"/>
        <v>34</v>
      </c>
      <c r="AK20" s="251">
        <f t="shared" si="6"/>
        <v>35</v>
      </c>
      <c r="AL20" s="251">
        <f t="shared" si="6"/>
        <v>36</v>
      </c>
      <c r="AM20" s="251">
        <f t="shared" si="6"/>
        <v>37</v>
      </c>
      <c r="AN20" s="251">
        <f t="shared" si="6"/>
        <v>38</v>
      </c>
      <c r="AO20" s="251">
        <f t="shared" si="6"/>
        <v>39</v>
      </c>
      <c r="AP20" s="251">
        <f t="shared" si="6"/>
        <v>40</v>
      </c>
      <c r="AQ20" s="251">
        <f t="shared" si="6"/>
        <v>41</v>
      </c>
      <c r="AR20" s="251">
        <f t="shared" si="6"/>
        <v>42</v>
      </c>
      <c r="AS20" s="251">
        <f t="shared" si="6"/>
        <v>43</v>
      </c>
      <c r="AT20" s="251">
        <f t="shared" si="6"/>
        <v>44</v>
      </c>
      <c r="AU20" s="251">
        <f t="shared" si="6"/>
        <v>45</v>
      </c>
      <c r="AV20" s="251">
        <f t="shared" si="6"/>
        <v>46</v>
      </c>
      <c r="AW20" s="251">
        <f t="shared" si="6"/>
        <v>47</v>
      </c>
      <c r="AX20" s="251">
        <f t="shared" si="6"/>
        <v>48</v>
      </c>
      <c r="AY20" s="251">
        <f t="shared" si="6"/>
        <v>49</v>
      </c>
      <c r="AZ20" s="251">
        <f t="shared" si="6"/>
        <v>50</v>
      </c>
      <c r="BA20" s="251">
        <f t="shared" si="6"/>
        <v>51</v>
      </c>
      <c r="BB20" s="251">
        <f t="shared" si="6"/>
        <v>52</v>
      </c>
      <c r="BC20" s="251">
        <f t="shared" si="6"/>
        <v>53</v>
      </c>
      <c r="BD20" s="251">
        <f t="shared" si="6"/>
        <v>54</v>
      </c>
      <c r="BE20" s="251">
        <f t="shared" si="6"/>
        <v>55</v>
      </c>
      <c r="BF20" s="251">
        <f t="shared" si="6"/>
        <v>56</v>
      </c>
      <c r="BG20" s="251">
        <f t="shared" si="6"/>
        <v>57</v>
      </c>
      <c r="BH20" s="251">
        <f t="shared" si="6"/>
        <v>58</v>
      </c>
      <c r="BI20" s="251">
        <f t="shared" si="6"/>
        <v>59</v>
      </c>
      <c r="BJ20" s="251">
        <f t="shared" si="6"/>
        <v>60</v>
      </c>
      <c r="BL20" s="7"/>
      <c r="BM20" s="7"/>
      <c r="BN20" s="7"/>
      <c r="BO20" s="7"/>
      <c r="BP20" s="7"/>
    </row>
    <row r="21" spans="1:86" s="237" customFormat="1">
      <c r="A21" s="248" t="s">
        <v>573</v>
      </c>
      <c r="B21" s="1"/>
      <c r="C21" s="249" t="s">
        <v>243</v>
      </c>
      <c r="D21" s="249" t="s">
        <v>242</v>
      </c>
      <c r="E21" s="249" t="s">
        <v>244</v>
      </c>
      <c r="F21" s="249" t="s">
        <v>245</v>
      </c>
      <c r="G21" s="249" t="s">
        <v>246</v>
      </c>
      <c r="H21" s="249" t="s">
        <v>95</v>
      </c>
      <c r="I21" s="249" t="s">
        <v>247</v>
      </c>
      <c r="J21" s="249" t="s">
        <v>248</v>
      </c>
      <c r="K21" s="249" t="s">
        <v>530</v>
      </c>
      <c r="L21" s="249" t="s">
        <v>279</v>
      </c>
      <c r="M21" s="249" t="s">
        <v>280</v>
      </c>
      <c r="N21" s="249" t="s">
        <v>249</v>
      </c>
      <c r="O21" s="249" t="s">
        <v>250</v>
      </c>
      <c r="P21" s="249" t="s">
        <v>538</v>
      </c>
      <c r="Q21" s="249" t="s">
        <v>539</v>
      </c>
      <c r="R21" s="249" t="s">
        <v>251</v>
      </c>
      <c r="S21" s="249" t="s">
        <v>253</v>
      </c>
      <c r="T21" s="249" t="s">
        <v>540</v>
      </c>
      <c r="U21" s="249" t="s">
        <v>541</v>
      </c>
      <c r="V21" s="249" t="s">
        <v>256</v>
      </c>
      <c r="W21" s="249" t="s">
        <v>252</v>
      </c>
      <c r="X21" s="249" t="s">
        <v>257</v>
      </c>
      <c r="Y21" s="249" t="s">
        <v>258</v>
      </c>
      <c r="Z21" s="249" t="s">
        <v>259</v>
      </c>
      <c r="AA21" s="249" t="s">
        <v>260</v>
      </c>
      <c r="AB21" s="249" t="s">
        <v>261</v>
      </c>
      <c r="AC21" s="249" t="s">
        <v>262</v>
      </c>
      <c r="AD21" s="249" t="s">
        <v>263</v>
      </c>
      <c r="AE21" s="250" t="s">
        <v>270</v>
      </c>
      <c r="AF21" s="250" t="s">
        <v>271</v>
      </c>
      <c r="AG21" s="250" t="s">
        <v>542</v>
      </c>
      <c r="AH21" s="250" t="s">
        <v>543</v>
      </c>
      <c r="AI21" s="250" t="s">
        <v>544</v>
      </c>
      <c r="AJ21" s="250" t="s">
        <v>545</v>
      </c>
      <c r="AK21" s="250" t="s">
        <v>546</v>
      </c>
      <c r="AL21" s="249" t="s">
        <v>547</v>
      </c>
      <c r="AM21" s="249" t="s">
        <v>548</v>
      </c>
      <c r="AN21" s="250" t="s">
        <v>264</v>
      </c>
      <c r="AO21" s="250" t="s">
        <v>265</v>
      </c>
      <c r="AP21" s="250" t="s">
        <v>110</v>
      </c>
      <c r="AQ21" s="249" t="s">
        <v>272</v>
      </c>
      <c r="AR21" s="249" t="s">
        <v>273</v>
      </c>
      <c r="AS21" s="249" t="s">
        <v>274</v>
      </c>
      <c r="AT21" s="249" t="s">
        <v>275</v>
      </c>
      <c r="AU21" s="249" t="s">
        <v>276</v>
      </c>
      <c r="AV21" s="250" t="s">
        <v>266</v>
      </c>
      <c r="AW21" s="250" t="s">
        <v>267</v>
      </c>
      <c r="AX21" s="250" t="s">
        <v>268</v>
      </c>
      <c r="AY21" s="250" t="s">
        <v>269</v>
      </c>
      <c r="AZ21" s="249" t="s">
        <v>570</v>
      </c>
      <c r="BA21" s="249" t="s">
        <v>482</v>
      </c>
      <c r="BB21" s="249">
        <v>1</v>
      </c>
      <c r="BC21" s="249">
        <v>7</v>
      </c>
      <c r="BD21" s="249">
        <v>3</v>
      </c>
      <c r="BE21" s="249">
        <v>2</v>
      </c>
      <c r="BF21" s="249">
        <v>5</v>
      </c>
      <c r="BG21" s="249">
        <v>8</v>
      </c>
      <c r="BH21" s="249">
        <v>4</v>
      </c>
      <c r="BI21" s="249"/>
      <c r="BJ21" s="249"/>
      <c r="BK21" s="1"/>
      <c r="BL21" s="238"/>
      <c r="BM21" s="238"/>
      <c r="BN21" s="238"/>
      <c r="BO21" s="238"/>
      <c r="BP21" s="238"/>
    </row>
    <row r="22" spans="1:86" s="237" customFormat="1">
      <c r="A22" s="244" t="s">
        <v>4</v>
      </c>
      <c r="B22" s="1"/>
      <c r="C22" s="4" t="str">
        <f>C8</f>
        <v>B</v>
      </c>
      <c r="D22" s="4" t="str">
        <f>D8</f>
        <v>b</v>
      </c>
      <c r="E22" s="4" t="str">
        <f>E8</f>
        <v>p</v>
      </c>
      <c r="F22" s="4" t="str">
        <f>F8</f>
        <v>m</v>
      </c>
      <c r="G22" s="4" t="str">
        <f>G8</f>
        <v>d</v>
      </c>
      <c r="H22" s="4" t="str">
        <f>H8</f>
        <v>t</v>
      </c>
      <c r="I22" s="4" t="str">
        <f>I8</f>
        <v>n</v>
      </c>
      <c r="J22" s="4" t="str">
        <f>J8</f>
        <v>l</v>
      </c>
      <c r="K22" s="252" t="s">
        <v>549</v>
      </c>
      <c r="L22" s="4" t="str">
        <f>L8</f>
        <v>g</v>
      </c>
      <c r="M22" s="4" t="str">
        <f>M8</f>
        <v>k</v>
      </c>
      <c r="N22" s="4" t="str">
        <f>N8</f>
        <v>ŋ</v>
      </c>
      <c r="O22" s="4" t="str">
        <f>O8</f>
        <v>h</v>
      </c>
      <c r="P22" s="4" t="str">
        <f>P8</f>
        <v>Z</v>
      </c>
      <c r="Q22" s="4" t="str">
        <f>Q8</f>
        <v>z</v>
      </c>
      <c r="R22" s="4" t="str">
        <f>R8</f>
        <v>c</v>
      </c>
      <c r="S22" s="4" t="str">
        <f>S8</f>
        <v>s</v>
      </c>
      <c r="T22" s="4" t="str">
        <f>T8</f>
        <v>J</v>
      </c>
      <c r="U22" s="4" t="str">
        <f>U8</f>
        <v>j</v>
      </c>
      <c r="V22" s="4" t="str">
        <f>V8</f>
        <v>C</v>
      </c>
      <c r="W22" s="4" t="str">
        <f>W8</f>
        <v>S</v>
      </c>
      <c r="X22" s="4" t="str">
        <f>X8</f>
        <v>a</v>
      </c>
      <c r="Y22" s="4" t="str">
        <f>Y8</f>
        <v>i</v>
      </c>
      <c r="Z22" s="4" t="str">
        <f>Z8</f>
        <v>w</v>
      </c>
      <c r="AA22" s="4" t="str">
        <f>AA8</f>
        <v>u</v>
      </c>
      <c r="AB22" s="4" t="str">
        <f>AB8</f>
        <v>e</v>
      </c>
      <c r="AC22" s="4" t="str">
        <f>AC8</f>
        <v>O</v>
      </c>
      <c r="AD22" s="4" t="str">
        <f>AD8</f>
        <v>ə</v>
      </c>
      <c r="AE22" s="4" t="str">
        <f>AE8</f>
        <v>I</v>
      </c>
      <c r="AF22" s="4" t="str">
        <f>AF8</f>
        <v>U</v>
      </c>
      <c r="AG22" s="4" t="s">
        <v>537</v>
      </c>
      <c r="AH22" s="4" t="str">
        <f>AH8</f>
        <v>f</v>
      </c>
      <c r="AI22" s="4" t="str">
        <f>AI8</f>
        <v>q</v>
      </c>
      <c r="AJ22" s="4" t="str">
        <f>AJ8</f>
        <v>r</v>
      </c>
      <c r="AK22" s="4" t="str">
        <f>AK8</f>
        <v>v</v>
      </c>
      <c r="AL22" s="4" t="str">
        <f>AL8</f>
        <v>x</v>
      </c>
      <c r="AM22" s="4" t="str">
        <f>AM8</f>
        <v>y</v>
      </c>
      <c r="AN22" s="4" t="str">
        <f>AN8</f>
        <v>M</v>
      </c>
      <c r="AO22" s="4" t="str">
        <f>AO8</f>
        <v>G</v>
      </c>
      <c r="AP22" s="4" t="str">
        <f>AP8</f>
        <v>N</v>
      </c>
      <c r="AQ22" s="4" t="str">
        <f>AQ8</f>
        <v>Y</v>
      </c>
      <c r="AR22" s="4" t="str">
        <f>AR8</f>
        <v>@</v>
      </c>
      <c r="AS22" s="4" t="str">
        <f>AS8</f>
        <v>A</v>
      </c>
      <c r="AT22" s="4" t="str">
        <f>AT8</f>
        <v>W</v>
      </c>
      <c r="AU22" s="4" t="str">
        <f>AU8</f>
        <v>H</v>
      </c>
      <c r="AV22" s="4" t="str">
        <f>AV8</f>
        <v>R</v>
      </c>
      <c r="AW22" s="4" t="str">
        <f>AW8</f>
        <v>F</v>
      </c>
      <c r="AX22" s="4" t="str">
        <f>AX8</f>
        <v>Q</v>
      </c>
      <c r="AY22" s="4" t="str">
        <f>AY8</f>
        <v>V</v>
      </c>
      <c r="AZ22" s="4" t="str">
        <f>BG8</f>
        <v>4</v>
      </c>
      <c r="BA22" s="4" t="str">
        <f>BH8</f>
        <v>8</v>
      </c>
      <c r="BB22" s="4" t="str">
        <f>BF8</f>
        <v>5</v>
      </c>
      <c r="BC22" s="4" t="str">
        <f>AZ8</f>
        <v>Ø</v>
      </c>
      <c r="BD22" s="4" t="str">
        <f>BA8</f>
        <v>L</v>
      </c>
      <c r="BE22" s="4" t="str">
        <f>BB8</f>
        <v>1</v>
      </c>
      <c r="BF22" s="4" t="str">
        <f>BC8</f>
        <v>7</v>
      </c>
      <c r="BG22" s="4" t="str">
        <f>BD8</f>
        <v>3</v>
      </c>
      <c r="BH22" s="4" t="str">
        <f>BE8</f>
        <v>2</v>
      </c>
      <c r="BI22" s="4"/>
      <c r="BJ22" s="4" t="str">
        <f>BJ8</f>
        <v>6</v>
      </c>
      <c r="BK22" s="1"/>
      <c r="BL22" s="238"/>
      <c r="BM22" s="238"/>
      <c r="BN22" s="238"/>
      <c r="BO22" s="238"/>
      <c r="BP22" s="238"/>
    </row>
    <row r="23" spans="1:86" s="237" customFormat="1">
      <c r="A23" s="245" t="s">
        <v>64</v>
      </c>
      <c r="B23" s="246"/>
      <c r="C23" s="247" t="str">
        <f>C9</f>
        <v>!</v>
      </c>
      <c r="D23" s="247" t="str">
        <f>D9</f>
        <v>1</v>
      </c>
      <c r="E23" s="247" t="str">
        <f>E9</f>
        <v>q</v>
      </c>
      <c r="F23" s="247" t="str">
        <f>F9</f>
        <v>a</v>
      </c>
      <c r="G23" s="247" t="str">
        <f>G9</f>
        <v>2</v>
      </c>
      <c r="H23" s="247" t="str">
        <f>H9</f>
        <v>w</v>
      </c>
      <c r="I23" s="247" t="str">
        <f>I9</f>
        <v>s</v>
      </c>
      <c r="J23" s="247" t="str">
        <f>J9</f>
        <v>x</v>
      </c>
      <c r="K23" s="247" t="str">
        <f>K9</f>
        <v>E</v>
      </c>
      <c r="L23" s="247" t="str">
        <f>L9</f>
        <v>e</v>
      </c>
      <c r="M23" s="247" t="str">
        <f>M9</f>
        <v>d</v>
      </c>
      <c r="N23" s="247" t="str">
        <f>N9</f>
        <v>N</v>
      </c>
      <c r="O23" s="247" t="str">
        <f>O9</f>
        <v>c</v>
      </c>
      <c r="P23" s="247" t="str">
        <f>P9</f>
        <v>Y</v>
      </c>
      <c r="Q23" s="247" t="str">
        <f>Q9</f>
        <v>y</v>
      </c>
      <c r="R23" s="247" t="str">
        <f>R9</f>
        <v>h</v>
      </c>
      <c r="S23" s="247" t="str">
        <f>S9</f>
        <v>n</v>
      </c>
      <c r="T23" s="247" t="str">
        <f>T9</f>
        <v>R</v>
      </c>
      <c r="U23" s="247" t="str">
        <f>U9</f>
        <v>r</v>
      </c>
      <c r="V23" s="247" t="str">
        <f>V9</f>
        <v>f</v>
      </c>
      <c r="W23" s="247" t="str">
        <f>W9</f>
        <v>v</v>
      </c>
      <c r="X23" s="247" t="str">
        <f>X9</f>
        <v>8</v>
      </c>
      <c r="Y23" s="247" t="str">
        <f>Y9</f>
        <v>u</v>
      </c>
      <c r="Z23" s="247" t="str">
        <f>Z9</f>
        <v>K</v>
      </c>
      <c r="AA23" s="247" t="str">
        <f>AA9</f>
        <v>j</v>
      </c>
      <c r="AB23" s="247" t="str">
        <f>AB9</f>
        <v>,</v>
      </c>
      <c r="AC23" s="247" t="str">
        <f>AC9</f>
        <v>i</v>
      </c>
      <c r="AD23" s="247" t="str">
        <f>AD9</f>
        <v>k</v>
      </c>
      <c r="AE23" s="247" t="str">
        <f>AE9</f>
        <v>9</v>
      </c>
      <c r="AF23" s="247" t="str">
        <f>AF9</f>
        <v>l</v>
      </c>
      <c r="AG23" s="247" t="str">
        <f>AG9</f>
        <v>*</v>
      </c>
      <c r="AH23" s="247" t="str">
        <f>AH9</f>
        <v>U</v>
      </c>
      <c r="AI23" s="247" t="str">
        <f>AI9</f>
        <v>J</v>
      </c>
      <c r="AJ23" s="247" t="str">
        <f>AJ9</f>
        <v>&lt;</v>
      </c>
      <c r="AK23" s="247" t="str">
        <f>AK9</f>
        <v>I</v>
      </c>
      <c r="AL23" s="247" t="str">
        <f>AL9</f>
        <v>(</v>
      </c>
      <c r="AM23" s="247" t="str">
        <f>AM9</f>
        <v>L</v>
      </c>
      <c r="AN23" s="247" t="str">
        <f>AN9</f>
        <v>m</v>
      </c>
      <c r="AO23" s="247" t="str">
        <f>AO9</f>
        <v>/</v>
      </c>
      <c r="AP23" s="247" t="str">
        <f>AP9</f>
        <v>p</v>
      </c>
      <c r="AQ23" s="247" t="str">
        <f>AQ9</f>
        <v>M</v>
      </c>
      <c r="AR23" s="247" t="str">
        <f>AR9</f>
        <v>0</v>
      </c>
      <c r="AS23" s="247" t="str">
        <f>AS9</f>
        <v>;</v>
      </c>
      <c r="AT23" s="247" t="str">
        <f>AT9</f>
        <v>O</v>
      </c>
      <c r="AU23" s="247" t="str">
        <f>AU9</f>
        <v>o</v>
      </c>
      <c r="AV23" s="247" t="str">
        <f>AV9</f>
        <v>b</v>
      </c>
      <c r="AW23" s="247" t="str">
        <f>AW9</f>
        <v>t</v>
      </c>
      <c r="AX23" s="247" t="str">
        <f>AX9</f>
        <v>g</v>
      </c>
      <c r="AY23" s="247" t="str">
        <f>AY9</f>
        <v>z</v>
      </c>
      <c r="AZ23" s="247" t="s">
        <v>569</v>
      </c>
      <c r="BA23" s="247" t="str">
        <f>BH9</f>
        <v>]</v>
      </c>
      <c r="BB23" s="247" t="s">
        <v>560</v>
      </c>
      <c r="BC23" s="247" t="str">
        <f>AZ9</f>
        <v>=</v>
      </c>
      <c r="BD23" s="247" t="str">
        <f>BA9</f>
        <v>-</v>
      </c>
      <c r="BE23" s="247" t="str">
        <f>BB9</f>
        <v>"</v>
      </c>
      <c r="BF23" s="247" t="str">
        <f>BC9</f>
        <v>5</v>
      </c>
      <c r="BG23" s="247" t="s">
        <v>293</v>
      </c>
      <c r="BH23" s="247" t="s">
        <v>314</v>
      </c>
      <c r="BI23" s="247"/>
      <c r="BJ23" s="247" t="str">
        <f>BJ9</f>
        <v>7</v>
      </c>
      <c r="BK23" s="1"/>
      <c r="BL23" s="238"/>
      <c r="BM23" s="238"/>
      <c r="BN23" s="238"/>
      <c r="BO23" s="238"/>
      <c r="BP23" s="238"/>
    </row>
    <row r="24" spans="1:86" s="237" customFormat="1">
      <c r="A24" s="243" t="s">
        <v>7</v>
      </c>
      <c r="B24" s="1"/>
      <c r="C24" s="242" t="str">
        <f>C17</f>
        <v>ㆠ</v>
      </c>
      <c r="D24" s="242" t="str">
        <f t="shared" ref="D24:AY24" si="7">D17</f>
        <v>ㄅ</v>
      </c>
      <c r="E24" s="242" t="str">
        <f t="shared" si="7"/>
        <v>ㄆ</v>
      </c>
      <c r="F24" s="242" t="str">
        <f t="shared" si="7"/>
        <v>ㄇ</v>
      </c>
      <c r="G24" s="242" t="str">
        <f t="shared" si="7"/>
        <v>ㄉ</v>
      </c>
      <c r="H24" s="242" t="str">
        <f t="shared" si="7"/>
        <v>ㄊ</v>
      </c>
      <c r="I24" s="242" t="str">
        <f t="shared" si="7"/>
        <v>ㄋ</v>
      </c>
      <c r="J24" s="242" t="str">
        <f t="shared" si="7"/>
        <v>ㄌ</v>
      </c>
      <c r="K24" s="242" t="str">
        <f t="shared" si="7"/>
        <v>ㆣ</v>
      </c>
      <c r="L24" s="242" t="str">
        <f t="shared" si="7"/>
        <v>ㄍ</v>
      </c>
      <c r="M24" s="242" t="str">
        <f t="shared" si="7"/>
        <v>ㄎ</v>
      </c>
      <c r="N24" s="242" t="str">
        <f t="shared" si="7"/>
        <v>ㄫ</v>
      </c>
      <c r="O24" s="242" t="str">
        <f t="shared" si="7"/>
        <v>ㄏ</v>
      </c>
      <c r="P24" s="242" t="str">
        <f t="shared" si="7"/>
        <v>ㆡ</v>
      </c>
      <c r="Q24" s="242" t="str">
        <f t="shared" si="7"/>
        <v>ㄗ</v>
      </c>
      <c r="R24" s="242" t="str">
        <f t="shared" si="7"/>
        <v>ㄘ</v>
      </c>
      <c r="S24" s="242" t="str">
        <f t="shared" si="7"/>
        <v>ㄙ</v>
      </c>
      <c r="T24" s="242" t="str">
        <f t="shared" si="7"/>
        <v>ㆢ</v>
      </c>
      <c r="U24" s="242" t="str">
        <f t="shared" si="7"/>
        <v>ㄐ</v>
      </c>
      <c r="V24" s="242" t="str">
        <f t="shared" si="7"/>
        <v>ㄑ</v>
      </c>
      <c r="W24" s="242" t="str">
        <f t="shared" si="7"/>
        <v>ㄒ</v>
      </c>
      <c r="X24" s="242" t="str">
        <f t="shared" si="7"/>
        <v>ㄚ</v>
      </c>
      <c r="Y24" s="242" t="str">
        <f t="shared" si="7"/>
        <v>ㄧ</v>
      </c>
      <c r="Z24" s="242" t="str">
        <f t="shared" si="7"/>
        <v>ㆨ</v>
      </c>
      <c r="AA24" s="242" t="str">
        <f t="shared" si="7"/>
        <v>ㄨ</v>
      </c>
      <c r="AB24" s="242" t="str">
        <f t="shared" si="7"/>
        <v>ㆤ</v>
      </c>
      <c r="AC24" s="242" t="str">
        <f t="shared" si="7"/>
        <v>ㆦ</v>
      </c>
      <c r="AD24" s="242" t="str">
        <f t="shared" si="7"/>
        <v>ㄜ</v>
      </c>
      <c r="AE24" s="242" t="str">
        <f t="shared" si="7"/>
        <v>ㄞ</v>
      </c>
      <c r="AF24" s="242" t="str">
        <f t="shared" si="7"/>
        <v>ㄠ</v>
      </c>
      <c r="AG24" s="242" t="str">
        <f t="shared" si="7"/>
        <v>ㆩ</v>
      </c>
      <c r="AH24" s="242" t="str">
        <f t="shared" si="7"/>
        <v>ㆪ</v>
      </c>
      <c r="AI24" s="242" t="str">
        <f t="shared" si="7"/>
        <v>ㆫ</v>
      </c>
      <c r="AJ24" s="242" t="str">
        <f t="shared" si="7"/>
        <v>ㆥ</v>
      </c>
      <c r="AK24" s="242" t="str">
        <f t="shared" si="7"/>
        <v>ㆧ</v>
      </c>
      <c r="AL24" s="242" t="str">
        <f t="shared" si="7"/>
        <v>ㆮ</v>
      </c>
      <c r="AM24" s="242" t="str">
        <f t="shared" si="7"/>
        <v>ㆯ</v>
      </c>
      <c r="AN24" s="242" t="str">
        <f t="shared" si="7"/>
        <v>ㆬ</v>
      </c>
      <c r="AO24" s="242" t="str">
        <f t="shared" si="7"/>
        <v>ㆭ</v>
      </c>
      <c r="AP24" s="242" t="str">
        <f t="shared" si="7"/>
        <v>ㄣ</v>
      </c>
      <c r="AQ24" s="242" t="str">
        <f t="shared" si="7"/>
        <v>ㆰ</v>
      </c>
      <c r="AR24" s="242" t="str">
        <f t="shared" si="7"/>
        <v>ㄢ</v>
      </c>
      <c r="AS24" s="242" t="str">
        <f t="shared" si="7"/>
        <v>ㄤ</v>
      </c>
      <c r="AT24" s="242" t="str">
        <f t="shared" si="7"/>
        <v>ㆱ</v>
      </c>
      <c r="AU24" s="242" t="str">
        <f t="shared" si="7"/>
        <v>ㆲ</v>
      </c>
      <c r="AV24" s="242" t="str">
        <f t="shared" si="7"/>
        <v>ㆴ</v>
      </c>
      <c r="AW24" s="242" t="str">
        <f t="shared" si="7"/>
        <v>ㆵ</v>
      </c>
      <c r="AX24" s="242" t="str">
        <f t="shared" si="7"/>
        <v>ㆻ</v>
      </c>
      <c r="AY24" s="242" t="str">
        <f t="shared" si="7"/>
        <v>ㆷ</v>
      </c>
      <c r="AZ24" s="242" t="str">
        <f>BG17</f>
        <v>四</v>
      </c>
      <c r="BA24" s="242" t="str">
        <f>BH17</f>
        <v>八</v>
      </c>
      <c r="BB24" s="242" t="str">
        <f>BF17</f>
        <v>五</v>
      </c>
      <c r="BC24" s="242" t="str">
        <f t="shared" ref="BC24:BH24" si="8">AZ17</f>
        <v>Ø</v>
      </c>
      <c r="BD24" s="242" t="str">
        <f t="shared" si="8"/>
        <v>ㄥ</v>
      </c>
      <c r="BE24" s="242" t="str">
        <f t="shared" si="8"/>
        <v>一</v>
      </c>
      <c r="BF24" s="242" t="str">
        <f t="shared" si="8"/>
        <v>七</v>
      </c>
      <c r="BG24" s="242" t="str">
        <f t="shared" si="8"/>
        <v>三</v>
      </c>
      <c r="BH24" s="242" t="str">
        <f t="shared" si="8"/>
        <v>二</v>
      </c>
      <c r="BI24" s="242"/>
      <c r="BJ24" s="242" t="str">
        <f>BJ17</f>
        <v>ʔ</v>
      </c>
      <c r="BK24" s="1"/>
      <c r="BL24" s="238"/>
      <c r="BM24" s="238"/>
      <c r="BN24" s="239"/>
      <c r="BO24" s="238"/>
      <c r="BP24" s="238"/>
    </row>
    <row r="25" spans="1:86" s="237" customForma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238"/>
      <c r="BM25" s="238"/>
      <c r="BN25" s="239"/>
      <c r="BO25" s="238"/>
      <c r="BP25" s="238"/>
    </row>
    <row r="26" spans="1:86">
      <c r="A26" s="1" t="s">
        <v>533</v>
      </c>
      <c r="C26" s="1" t="str">
        <f xml:space="preserve"> "!1qas2wxEedGYyhncRrfv8uKj,ikmp/btgz9lM0;Oo*UJ&lt;I(L:5346][7N"</f>
        <v>!1qas2wxEedGYyhncRrfv8uKj,ikmp/btgz9lM0;Oo*UJ&lt;I(L:5346][7N</v>
      </c>
      <c r="BL26" s="238" t="str" cm="1">
        <f t="array" ref="BL26:BN85" xml:space="preserve"> TRANSPOSE(C22:BJ24)</f>
        <v>B</v>
      </c>
      <c r="BM26" s="238" t="str">
        <v>!</v>
      </c>
      <c r="BN26" s="238" t="str">
        <v>ㆠ</v>
      </c>
      <c r="BO26" s="238"/>
      <c r="BP26" s="238"/>
      <c r="BR26" s="238">
        <v>1</v>
      </c>
      <c r="BS26" s="238" t="s">
        <v>38</v>
      </c>
      <c r="BT26" s="238" t="s">
        <v>38</v>
      </c>
      <c r="BU26" s="238" t="s">
        <v>223</v>
      </c>
      <c r="BV26" s="238" t="s">
        <v>37</v>
      </c>
      <c r="BX26" s="238">
        <v>1</v>
      </c>
      <c r="BY26" s="238" t="s">
        <v>57</v>
      </c>
      <c r="BZ26" s="238" t="s">
        <v>57</v>
      </c>
      <c r="CA26" s="238" t="s">
        <v>219</v>
      </c>
      <c r="CB26" s="238" t="s">
        <v>234</v>
      </c>
      <c r="CD26" s="238">
        <v>1</v>
      </c>
      <c r="CE26" s="7">
        <v>1</v>
      </c>
      <c r="CF26" s="7">
        <v>1</v>
      </c>
      <c r="CG26" s="7" t="s">
        <v>289</v>
      </c>
      <c r="CH26" s="7" t="s">
        <v>241</v>
      </c>
    </row>
    <row r="27" spans="1:86">
      <c r="BL27" s="238" t="str">
        <v>b</v>
      </c>
      <c r="BM27" s="238" t="str">
        <v>1</v>
      </c>
      <c r="BN27" s="238" t="str">
        <v>ㄅ</v>
      </c>
      <c r="BO27" s="238"/>
      <c r="BP27" s="238"/>
      <c r="BR27" s="238">
        <v>2</v>
      </c>
      <c r="BS27" s="238" t="s">
        <v>45</v>
      </c>
      <c r="BT27" s="238" t="s">
        <v>45</v>
      </c>
      <c r="BU27" s="238" t="s">
        <v>221</v>
      </c>
      <c r="BV27" s="238" t="s">
        <v>44</v>
      </c>
      <c r="BX27" s="238">
        <v>2</v>
      </c>
      <c r="BY27" s="238" t="s">
        <v>104</v>
      </c>
      <c r="BZ27" s="238" t="s">
        <v>104</v>
      </c>
      <c r="CA27" s="238" t="s">
        <v>141</v>
      </c>
      <c r="CB27" s="238" t="s">
        <v>103</v>
      </c>
      <c r="CD27" s="238">
        <v>2</v>
      </c>
      <c r="CE27" s="7">
        <v>7</v>
      </c>
      <c r="CF27" s="7">
        <v>7</v>
      </c>
      <c r="CG27" s="7">
        <v>5</v>
      </c>
      <c r="CH27" s="7" t="s">
        <v>236</v>
      </c>
    </row>
    <row r="28" spans="1:86">
      <c r="C28" s="3">
        <f xml:space="preserve"> COLUMN() -2</f>
        <v>1</v>
      </c>
      <c r="D28" s="3">
        <f t="shared" ref="D28:BJ28" si="9" xml:space="preserve"> COLUMN() -2</f>
        <v>2</v>
      </c>
      <c r="E28" s="3">
        <f t="shared" si="9"/>
        <v>3</v>
      </c>
      <c r="F28" s="3">
        <f t="shared" si="9"/>
        <v>4</v>
      </c>
      <c r="G28" s="3">
        <f t="shared" si="9"/>
        <v>5</v>
      </c>
      <c r="H28" s="3">
        <f t="shared" si="9"/>
        <v>6</v>
      </c>
      <c r="I28" s="3">
        <f t="shared" si="9"/>
        <v>7</v>
      </c>
      <c r="J28" s="3">
        <f t="shared" si="9"/>
        <v>8</v>
      </c>
      <c r="K28" s="3">
        <f t="shared" si="9"/>
        <v>9</v>
      </c>
      <c r="L28" s="3">
        <f t="shared" si="9"/>
        <v>10</v>
      </c>
      <c r="M28" s="3">
        <f t="shared" si="9"/>
        <v>11</v>
      </c>
      <c r="N28" s="3">
        <f t="shared" si="9"/>
        <v>12</v>
      </c>
      <c r="O28" s="3">
        <f t="shared" si="9"/>
        <v>13</v>
      </c>
      <c r="P28" s="3">
        <f t="shared" si="9"/>
        <v>14</v>
      </c>
      <c r="Q28" s="3">
        <f t="shared" si="9"/>
        <v>15</v>
      </c>
      <c r="R28" s="3">
        <f t="shared" si="9"/>
        <v>16</v>
      </c>
      <c r="S28" s="3">
        <f t="shared" si="9"/>
        <v>17</v>
      </c>
      <c r="T28" s="3">
        <f t="shared" si="9"/>
        <v>18</v>
      </c>
      <c r="U28" s="3">
        <f t="shared" si="9"/>
        <v>19</v>
      </c>
      <c r="V28" s="3">
        <f t="shared" si="9"/>
        <v>20</v>
      </c>
      <c r="W28" s="3">
        <f t="shared" si="9"/>
        <v>21</v>
      </c>
      <c r="X28" s="3">
        <f t="shared" si="9"/>
        <v>22</v>
      </c>
      <c r="Y28" s="3">
        <f t="shared" si="9"/>
        <v>23</v>
      </c>
      <c r="Z28" s="3">
        <f t="shared" si="9"/>
        <v>24</v>
      </c>
      <c r="AA28" s="3">
        <f t="shared" si="9"/>
        <v>25</v>
      </c>
      <c r="AB28" s="3">
        <f t="shared" si="9"/>
        <v>26</v>
      </c>
      <c r="AC28" s="3">
        <f t="shared" si="9"/>
        <v>27</v>
      </c>
      <c r="AD28" s="3">
        <f t="shared" si="9"/>
        <v>28</v>
      </c>
      <c r="AE28" s="3">
        <f t="shared" si="9"/>
        <v>29</v>
      </c>
      <c r="AF28" s="3">
        <f t="shared" si="9"/>
        <v>30</v>
      </c>
      <c r="AG28" s="3">
        <f t="shared" si="9"/>
        <v>31</v>
      </c>
      <c r="AH28" s="3">
        <f t="shared" si="9"/>
        <v>32</v>
      </c>
      <c r="AI28" s="3">
        <f t="shared" si="9"/>
        <v>33</v>
      </c>
      <c r="AJ28" s="3">
        <f t="shared" si="9"/>
        <v>34</v>
      </c>
      <c r="AK28" s="3">
        <f t="shared" si="9"/>
        <v>35</v>
      </c>
      <c r="AL28" s="3">
        <f t="shared" si="9"/>
        <v>36</v>
      </c>
      <c r="AM28" s="3">
        <f t="shared" si="9"/>
        <v>37</v>
      </c>
      <c r="AN28" s="3">
        <f t="shared" si="9"/>
        <v>38</v>
      </c>
      <c r="AO28" s="3">
        <f t="shared" si="9"/>
        <v>39</v>
      </c>
      <c r="AP28" s="3">
        <f t="shared" si="9"/>
        <v>40</v>
      </c>
      <c r="AQ28" s="3">
        <f t="shared" si="9"/>
        <v>41</v>
      </c>
      <c r="AR28" s="3">
        <f t="shared" si="9"/>
        <v>42</v>
      </c>
      <c r="AS28" s="3">
        <f t="shared" si="9"/>
        <v>43</v>
      </c>
      <c r="AT28" s="3">
        <f t="shared" si="9"/>
        <v>44</v>
      </c>
      <c r="AU28" s="3">
        <f t="shared" si="9"/>
        <v>45</v>
      </c>
      <c r="AV28" s="3">
        <f t="shared" si="9"/>
        <v>46</v>
      </c>
      <c r="AW28" s="3">
        <f t="shared" si="9"/>
        <v>47</v>
      </c>
      <c r="AX28" s="3">
        <f t="shared" si="9"/>
        <v>48</v>
      </c>
      <c r="AY28" s="3">
        <f t="shared" si="9"/>
        <v>49</v>
      </c>
      <c r="AZ28" s="3">
        <f t="shared" si="9"/>
        <v>50</v>
      </c>
      <c r="BA28" s="3">
        <f t="shared" si="9"/>
        <v>51</v>
      </c>
      <c r="BB28" s="3">
        <f t="shared" si="9"/>
        <v>52</v>
      </c>
      <c r="BC28" s="3">
        <f t="shared" si="9"/>
        <v>53</v>
      </c>
      <c r="BD28" s="3">
        <f t="shared" si="9"/>
        <v>54</v>
      </c>
      <c r="BE28" s="3">
        <f t="shared" si="9"/>
        <v>55</v>
      </c>
      <c r="BF28" s="3">
        <f t="shared" si="9"/>
        <v>56</v>
      </c>
      <c r="BG28" s="3">
        <f t="shared" si="9"/>
        <v>57</v>
      </c>
      <c r="BH28" s="3">
        <f t="shared" si="9"/>
        <v>58</v>
      </c>
      <c r="BI28" s="3">
        <f t="shared" si="9"/>
        <v>59</v>
      </c>
      <c r="BJ28" s="3">
        <f t="shared" si="9"/>
        <v>60</v>
      </c>
      <c r="BL28" s="238" t="str">
        <v>p</v>
      </c>
      <c r="BM28" s="238" t="str">
        <v>q</v>
      </c>
      <c r="BN28" s="239" t="str">
        <v>ㄆ</v>
      </c>
      <c r="BO28" s="238"/>
      <c r="BP28" s="238"/>
      <c r="BR28" s="238">
        <v>3</v>
      </c>
      <c r="BS28" s="238" t="s">
        <v>93</v>
      </c>
      <c r="BT28" s="238" t="s">
        <v>76</v>
      </c>
      <c r="BU28" s="238" t="s">
        <v>191</v>
      </c>
      <c r="BV28" s="238" t="s">
        <v>92</v>
      </c>
      <c r="BX28" s="238">
        <v>3</v>
      </c>
      <c r="BY28" s="238" t="s">
        <v>125</v>
      </c>
      <c r="BZ28" s="238" t="s">
        <v>195</v>
      </c>
      <c r="CA28" s="238" t="s">
        <v>118</v>
      </c>
      <c r="CB28" s="238" t="s">
        <v>124</v>
      </c>
      <c r="CD28" s="238">
        <v>3</v>
      </c>
      <c r="CE28" s="7">
        <v>3</v>
      </c>
      <c r="CF28" s="7">
        <v>3</v>
      </c>
      <c r="CG28" s="7">
        <v>3</v>
      </c>
      <c r="CH28" s="7" t="s">
        <v>237</v>
      </c>
    </row>
    <row r="29" spans="1:86">
      <c r="C29" s="241" t="str">
        <f xml:space="preserve"> MID($C$26, C28, 1)</f>
        <v>!</v>
      </c>
      <c r="D29" s="241" t="str">
        <f xml:space="preserve"> MID($C$26, D28, 1)</f>
        <v>1</v>
      </c>
      <c r="E29" s="241" t="str">
        <f xml:space="preserve"> MID($C$26, E28, 1)</f>
        <v>q</v>
      </c>
      <c r="F29" s="241" t="str">
        <f xml:space="preserve"> MID($C$26, F28, 1)</f>
        <v>a</v>
      </c>
      <c r="G29" s="241" t="str">
        <f xml:space="preserve"> MID($C$26, G28, 1)</f>
        <v>s</v>
      </c>
      <c r="H29" s="241" t="str">
        <f xml:space="preserve"> MID($C$26, H28, 1)</f>
        <v>2</v>
      </c>
      <c r="I29" s="241" t="str">
        <f xml:space="preserve"> MID($C$26, I28, 1)</f>
        <v>w</v>
      </c>
      <c r="J29" s="241" t="str">
        <f xml:space="preserve"> MID($C$26, J28, 1)</f>
        <v>x</v>
      </c>
      <c r="K29" s="241" t="str">
        <f xml:space="preserve"> MID($C$26, K28, 1)</f>
        <v>E</v>
      </c>
      <c r="L29" s="241" t="str">
        <f xml:space="preserve"> MID($C$26, L28, 1)</f>
        <v>e</v>
      </c>
      <c r="M29" s="241" t="str">
        <f xml:space="preserve"> MID($C$26, M28, 1)</f>
        <v>d</v>
      </c>
      <c r="N29" s="241" t="str">
        <f xml:space="preserve"> MID($C$26, N28, 1)</f>
        <v>G</v>
      </c>
      <c r="O29" s="241" t="str">
        <f xml:space="preserve"> MID($C$26, O28, 1)</f>
        <v>Y</v>
      </c>
      <c r="P29" s="241" t="str">
        <f xml:space="preserve"> MID($C$26, P28, 1)</f>
        <v>y</v>
      </c>
      <c r="Q29" s="241" t="str">
        <f xml:space="preserve"> MID($C$26, Q28, 1)</f>
        <v>h</v>
      </c>
      <c r="R29" s="241" t="str">
        <f xml:space="preserve"> MID($C$26, R28, 1)</f>
        <v>n</v>
      </c>
      <c r="S29" s="241" t="str">
        <f xml:space="preserve"> MID($C$26, S28, 1)</f>
        <v>c</v>
      </c>
      <c r="T29" s="241" t="str">
        <f xml:space="preserve"> MID($C$26, T28, 1)</f>
        <v>R</v>
      </c>
      <c r="U29" s="241" t="str">
        <f xml:space="preserve"> MID($C$26, U28, 1)</f>
        <v>r</v>
      </c>
      <c r="V29" s="241" t="str">
        <f xml:space="preserve"> MID($C$26, V28, 1)</f>
        <v>f</v>
      </c>
      <c r="W29" s="241" t="str">
        <f xml:space="preserve"> MID($C$26, W28, 1)</f>
        <v>v</v>
      </c>
      <c r="X29" s="241" t="str">
        <f xml:space="preserve"> MID($C$26, X28, 1)</f>
        <v>8</v>
      </c>
      <c r="Y29" s="241" t="str">
        <f xml:space="preserve"> MID($C$26, Y28, 1)</f>
        <v>u</v>
      </c>
      <c r="Z29" s="241" t="str">
        <f xml:space="preserve"> MID($C$26, Z28, 1)</f>
        <v>K</v>
      </c>
      <c r="AA29" s="241" t="str">
        <f xml:space="preserve"> MID($C$26, AA28, 1)</f>
        <v>j</v>
      </c>
      <c r="AB29" s="241" t="str">
        <f xml:space="preserve"> MID($C$26, AB28, 1)</f>
        <v>,</v>
      </c>
      <c r="AC29" s="241" t="str">
        <f xml:space="preserve"> MID($C$26, AC28, 1)</f>
        <v>i</v>
      </c>
      <c r="AD29" s="241" t="str">
        <f xml:space="preserve"> MID($C$26, AD28, 1)</f>
        <v>k</v>
      </c>
      <c r="AE29" s="241" t="str">
        <f xml:space="preserve"> MID($C$26, AE28, 1)</f>
        <v>m</v>
      </c>
      <c r="AF29" s="241" t="str">
        <f xml:space="preserve"> MID($C$26, AF28, 1)</f>
        <v>p</v>
      </c>
      <c r="AG29" s="241" t="str">
        <f xml:space="preserve"> MID($C$26, AG28, 1)</f>
        <v>/</v>
      </c>
      <c r="AH29" s="241" t="str">
        <f xml:space="preserve"> MID($C$26, AH28, 1)</f>
        <v>b</v>
      </c>
      <c r="AI29" s="241" t="str">
        <f xml:space="preserve"> MID($C$26, AI28, 1)</f>
        <v>t</v>
      </c>
      <c r="AJ29" s="241" t="str">
        <f xml:space="preserve"> MID($C$26, AJ28, 1)</f>
        <v>g</v>
      </c>
      <c r="AK29" s="241" t="str">
        <f xml:space="preserve"> MID($C$26, AK28, 1)</f>
        <v>z</v>
      </c>
      <c r="AL29" s="241" t="str">
        <f xml:space="preserve"> MID($C$26, AL28, 1)</f>
        <v>9</v>
      </c>
      <c r="AM29" s="241" t="str">
        <f xml:space="preserve"> MID($C$26, AM28, 1)</f>
        <v>l</v>
      </c>
      <c r="AN29" s="241" t="str">
        <f xml:space="preserve"> MID($C$26, AN28, 1)</f>
        <v>M</v>
      </c>
      <c r="AO29" s="241" t="str">
        <f xml:space="preserve"> MID($C$26, AO28, 1)</f>
        <v>0</v>
      </c>
      <c r="AP29" s="241" t="str">
        <f xml:space="preserve"> MID($C$26, AP28, 1)</f>
        <v>;</v>
      </c>
      <c r="AQ29" s="241" t="str">
        <f xml:space="preserve"> MID($C$26, AQ28, 1)</f>
        <v>O</v>
      </c>
      <c r="AR29" s="241" t="str">
        <f xml:space="preserve"> MID($C$26, AR28, 1)</f>
        <v>o</v>
      </c>
      <c r="AS29" s="241" t="str">
        <f xml:space="preserve"> MID($C$26, AS28, 1)</f>
        <v>*</v>
      </c>
      <c r="AT29" s="241" t="str">
        <f xml:space="preserve"> MID($C$26, AT28, 1)</f>
        <v>U</v>
      </c>
      <c r="AU29" s="241" t="str">
        <f xml:space="preserve"> MID($C$26, AU28, 1)</f>
        <v>J</v>
      </c>
      <c r="AV29" s="241" t="str">
        <f xml:space="preserve"> MID($C$26, AV28, 1)</f>
        <v>&lt;</v>
      </c>
      <c r="AW29" s="241" t="str">
        <f xml:space="preserve"> MID($C$26, AW28, 1)</f>
        <v>I</v>
      </c>
      <c r="AX29" s="241" t="str">
        <f xml:space="preserve"> MID($C$26, AX28, 1)</f>
        <v>(</v>
      </c>
      <c r="AY29" s="241" t="str">
        <f xml:space="preserve"> MID($C$26, AY28, 1)</f>
        <v>L</v>
      </c>
      <c r="AZ29" s="241" t="str">
        <f xml:space="preserve"> MID($C$26, AZ28, 1)</f>
        <v>:</v>
      </c>
      <c r="BA29" s="241" t="str">
        <f xml:space="preserve"> MID($C$26, BA28, 1)</f>
        <v>5</v>
      </c>
      <c r="BB29" s="241" t="str">
        <f xml:space="preserve"> MID($C$26, BB28, 1)</f>
        <v>3</v>
      </c>
      <c r="BC29" s="241" t="str">
        <f xml:space="preserve"> MID($C$26, BC28, 1)</f>
        <v>4</v>
      </c>
      <c r="BD29" s="241" t="str">
        <f xml:space="preserve"> MID($C$26, BD28, 1)</f>
        <v>6</v>
      </c>
      <c r="BE29" s="241" t="str">
        <f xml:space="preserve"> MID($C$26, BE28, 1)</f>
        <v>]</v>
      </c>
      <c r="BF29" s="241" t="str">
        <f xml:space="preserve"> MID($C$26, BF28, 1)</f>
        <v>[</v>
      </c>
      <c r="BG29" s="241" t="str">
        <f xml:space="preserve"> MID($C$26, BG28, 1)</f>
        <v>7</v>
      </c>
      <c r="BH29" s="241" t="str">
        <f xml:space="preserve"> MID($C$26, BH28, 1)</f>
        <v>N</v>
      </c>
      <c r="BI29" s="241" t="str">
        <f xml:space="preserve"> MID($C$26, BI28, 1)</f>
        <v/>
      </c>
      <c r="BJ29" s="241" t="str">
        <f xml:space="preserve"> MID($C$26, BJ28, 1)</f>
        <v/>
      </c>
      <c r="BL29" s="238" t="str">
        <v>m</v>
      </c>
      <c r="BM29" s="238" t="str">
        <v>a</v>
      </c>
      <c r="BN29" s="238" t="str">
        <v>ㄇ</v>
      </c>
      <c r="BO29" s="238"/>
      <c r="BP29" s="238"/>
      <c r="BR29" s="238">
        <v>4</v>
      </c>
      <c r="BS29" s="238" t="s">
        <v>188</v>
      </c>
      <c r="BT29" s="238" t="s">
        <v>188</v>
      </c>
      <c r="BU29" s="238" t="s">
        <v>57</v>
      </c>
      <c r="BV29" s="238" t="s">
        <v>128</v>
      </c>
      <c r="BX29" s="238">
        <v>4</v>
      </c>
      <c r="BY29" s="238" t="s">
        <v>141</v>
      </c>
      <c r="BZ29" s="238" t="s">
        <v>141</v>
      </c>
      <c r="CA29" s="238" t="s">
        <v>187</v>
      </c>
      <c r="CB29" s="238" t="s">
        <v>140</v>
      </c>
      <c r="CD29" s="238">
        <v>4</v>
      </c>
      <c r="CE29" s="7">
        <v>2</v>
      </c>
      <c r="CF29" s="7">
        <v>2</v>
      </c>
      <c r="CG29" s="7">
        <v>4</v>
      </c>
      <c r="CH29" s="7" t="s">
        <v>238</v>
      </c>
    </row>
    <row r="30" spans="1:86">
      <c r="BL30" s="238" t="str">
        <v>d</v>
      </c>
      <c r="BM30" s="238" t="str">
        <v>2</v>
      </c>
      <c r="BN30" s="238" t="str">
        <v>ㄉ</v>
      </c>
      <c r="BO30" s="238"/>
      <c r="BP30" s="238"/>
      <c r="BR30" s="238">
        <v>5</v>
      </c>
      <c r="BS30" s="238" t="s">
        <v>189</v>
      </c>
      <c r="BT30" s="238" t="s">
        <v>189</v>
      </c>
      <c r="BU30" s="238" t="s">
        <v>176</v>
      </c>
      <c r="BV30" s="238" t="s">
        <v>130</v>
      </c>
      <c r="BX30" s="238">
        <v>5</v>
      </c>
      <c r="BY30" s="238" t="s">
        <v>180</v>
      </c>
      <c r="BZ30" s="238" t="s">
        <v>180</v>
      </c>
      <c r="CA30" s="238" t="s">
        <v>224</v>
      </c>
      <c r="CB30" s="238" t="s">
        <v>179</v>
      </c>
      <c r="CD30" s="238">
        <v>5</v>
      </c>
      <c r="CE30" s="7">
        <v>5</v>
      </c>
      <c r="CF30" s="7">
        <v>5</v>
      </c>
      <c r="CG30" s="7">
        <v>6</v>
      </c>
      <c r="CH30" s="7" t="s">
        <v>239</v>
      </c>
    </row>
    <row r="31" spans="1:86" s="237" customForma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238" t="str">
        <v>t</v>
      </c>
      <c r="BM31" s="238" t="str">
        <v>w</v>
      </c>
      <c r="BN31" s="239" t="str">
        <v>ㄊ</v>
      </c>
      <c r="BO31" s="238"/>
      <c r="BP31" s="238"/>
    </row>
    <row r="32" spans="1:86">
      <c r="A32" s="1" t="s">
        <v>0</v>
      </c>
      <c r="BL32" s="238" t="str">
        <v>n</v>
      </c>
      <c r="BM32" s="238" t="str">
        <v>s</v>
      </c>
      <c r="BN32" s="238" t="str">
        <v>ㄋ</v>
      </c>
      <c r="BO32" s="238"/>
      <c r="BP32" s="238"/>
      <c r="BR32" s="238">
        <v>6</v>
      </c>
      <c r="BS32" s="238" t="s">
        <v>193</v>
      </c>
      <c r="BT32" s="238" t="s">
        <v>193</v>
      </c>
      <c r="BU32" s="238" t="s">
        <v>220</v>
      </c>
      <c r="BV32" s="238" t="s">
        <v>46</v>
      </c>
      <c r="BX32" s="238">
        <v>6</v>
      </c>
      <c r="BY32" s="238" t="s">
        <v>106</v>
      </c>
      <c r="BZ32" s="238" t="s">
        <v>75</v>
      </c>
      <c r="CA32" s="238" t="s">
        <v>104</v>
      </c>
      <c r="CB32" s="238" t="s">
        <v>105</v>
      </c>
      <c r="CD32" s="238">
        <v>6</v>
      </c>
      <c r="CE32" s="7">
        <v>8</v>
      </c>
      <c r="CF32" s="7">
        <v>8</v>
      </c>
      <c r="CG32" s="7" t="s">
        <v>232</v>
      </c>
      <c r="CH32" s="7" t="s">
        <v>235</v>
      </c>
    </row>
    <row r="33" spans="1:86">
      <c r="C33" s="1" t="str">
        <f xml:space="preserve"> "- xlit|BbpmdtnlGgkŋZzcsJjCShaiwueOəIUdfqrvxyMGNY@AWHRFQV7325841L&amp;*|!1qa2wsxEedGYyhnRrfvc8uKj,ik9l*UJ&lt;I(Lm/pM0;Oobtgz53467][N.-|"</f>
        <v>- xlit|BbpmdtnlGgkŋZzcsJjCShaiwueOəIUdfqrvxyMGNY@AWHRFQV7325841L&amp;*|!1qa2wsxEedGYyhnRrfvc8uKj,ik9l*UJ&lt;I(Lm/pM0;Oobtgz53467][N.-|</v>
      </c>
      <c r="BL33" s="238" t="str">
        <v>l</v>
      </c>
      <c r="BM33" s="238" t="str">
        <v>x</v>
      </c>
      <c r="BN33" s="238" t="str">
        <v>ㄌ</v>
      </c>
      <c r="BO33" s="238"/>
      <c r="BP33" s="238"/>
      <c r="BR33" s="238">
        <v>7</v>
      </c>
      <c r="BS33" s="238" t="s">
        <v>510</v>
      </c>
      <c r="BT33" s="238" t="s">
        <v>71</v>
      </c>
      <c r="BU33" s="238" t="s">
        <v>195</v>
      </c>
      <c r="BV33" s="238" t="s">
        <v>94</v>
      </c>
      <c r="BX33" s="238">
        <v>7</v>
      </c>
      <c r="BY33" s="238" t="s">
        <v>190</v>
      </c>
      <c r="BZ33" s="238" t="s">
        <v>10</v>
      </c>
      <c r="CA33" s="238" t="s">
        <v>133</v>
      </c>
      <c r="CB33" s="238" t="s">
        <v>142</v>
      </c>
      <c r="CD33" s="238">
        <v>7</v>
      </c>
      <c r="CE33" s="7">
        <v>4</v>
      </c>
      <c r="CF33" s="7">
        <v>4</v>
      </c>
      <c r="CG33" s="7" t="s">
        <v>233</v>
      </c>
      <c r="CH33" s="7" t="s">
        <v>240</v>
      </c>
    </row>
    <row r="34" spans="1:86">
      <c r="A34" s="1" t="s">
        <v>1</v>
      </c>
      <c r="B34" s="1">
        <f xml:space="preserve"> SEARCH("|", C33)</f>
        <v>7</v>
      </c>
      <c r="BL34" s="238" t="str">
        <v>Ğ</v>
      </c>
      <c r="BM34" s="238" t="str">
        <v>E</v>
      </c>
      <c r="BN34" s="238" t="str">
        <v>ㆣ</v>
      </c>
      <c r="BO34" s="238"/>
      <c r="BP34" s="238"/>
      <c r="BR34" s="238">
        <v>8</v>
      </c>
      <c r="BS34" s="238" t="s">
        <v>168</v>
      </c>
      <c r="BT34" s="238" t="s">
        <v>168</v>
      </c>
      <c r="BU34" s="238" t="s">
        <v>196</v>
      </c>
      <c r="BV34" s="238" t="s">
        <v>167</v>
      </c>
      <c r="BX34" s="238">
        <v>8</v>
      </c>
      <c r="BY34" s="238" t="s">
        <v>178</v>
      </c>
      <c r="BZ34" s="238" t="s">
        <v>154</v>
      </c>
      <c r="CA34" s="238" t="s">
        <v>188</v>
      </c>
      <c r="CB34" s="238" t="s">
        <v>177</v>
      </c>
      <c r="CD34" s="238">
        <v>8</v>
      </c>
      <c r="CE34" s="7">
        <v>0</v>
      </c>
      <c r="CF34" s="7">
        <v>0</v>
      </c>
      <c r="CG34" s="7">
        <v>7</v>
      </c>
      <c r="CH34" s="7" t="s">
        <v>62</v>
      </c>
    </row>
    <row r="35" spans="1:86">
      <c r="A35" s="1" t="s">
        <v>2</v>
      </c>
      <c r="B35" s="1">
        <f xml:space="preserve"> SEARCH("|", C33, B34+1)</f>
        <v>67</v>
      </c>
      <c r="BL35" s="238" t="str">
        <v>g</v>
      </c>
      <c r="BM35" s="238" t="str">
        <v>e</v>
      </c>
      <c r="BN35" s="238" t="str">
        <v>ㄍ</v>
      </c>
      <c r="BO35" s="238"/>
      <c r="BP35" s="238"/>
      <c r="BR35" s="238">
        <v>9</v>
      </c>
      <c r="BS35" s="238" t="s">
        <v>80</v>
      </c>
      <c r="BT35" s="238" t="s">
        <v>97</v>
      </c>
      <c r="BU35" s="238" t="s">
        <v>69</v>
      </c>
      <c r="BV35" s="238" t="s">
        <v>80</v>
      </c>
      <c r="BX35" s="238">
        <v>9</v>
      </c>
      <c r="BY35" s="238" t="s">
        <v>518</v>
      </c>
      <c r="BZ35" s="238" t="s">
        <v>153</v>
      </c>
      <c r="CA35" s="238" t="s">
        <v>45</v>
      </c>
      <c r="CB35" s="238" t="s">
        <v>109</v>
      </c>
      <c r="CD35" s="238">
        <v>9</v>
      </c>
      <c r="CE35" s="7" t="s">
        <v>119</v>
      </c>
      <c r="CF35" s="7" t="s">
        <v>119</v>
      </c>
      <c r="CG35" s="7" t="s">
        <v>153</v>
      </c>
      <c r="CH35" s="7" t="s">
        <v>181</v>
      </c>
    </row>
    <row r="36" spans="1:86">
      <c r="A36" s="1" t="s">
        <v>3</v>
      </c>
      <c r="B36" s="1">
        <f xml:space="preserve"> SEARCH("|",C33, B35+1)</f>
        <v>127</v>
      </c>
      <c r="BL36" s="238" t="str">
        <v>k</v>
      </c>
      <c r="BM36" s="238" t="str">
        <v>d</v>
      </c>
      <c r="BN36" s="239" t="str">
        <v>ㄎ</v>
      </c>
      <c r="BO36" s="238"/>
      <c r="BP36" s="238"/>
      <c r="BR36" s="238">
        <v>10</v>
      </c>
      <c r="BS36" s="238" t="s">
        <v>133</v>
      </c>
      <c r="BT36" s="238" t="s">
        <v>133</v>
      </c>
      <c r="BU36" s="238" t="s">
        <v>180</v>
      </c>
      <c r="BV36" s="238" t="s">
        <v>96</v>
      </c>
      <c r="BX36" s="238">
        <v>10</v>
      </c>
      <c r="BY36" s="238" t="s">
        <v>183</v>
      </c>
      <c r="BZ36" s="238" t="s">
        <v>115</v>
      </c>
      <c r="CA36" s="238" t="s">
        <v>225</v>
      </c>
      <c r="CB36" s="238" t="s">
        <v>182</v>
      </c>
    </row>
    <row r="37" spans="1:86" s="237" customForma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238" t="str">
        <v>ŋ</v>
      </c>
      <c r="BM37" s="238" t="str">
        <v>N</v>
      </c>
      <c r="BN37" s="239" t="str">
        <v>ㄫ</v>
      </c>
      <c r="BO37" s="238"/>
      <c r="BP37" s="238"/>
    </row>
    <row r="38" spans="1:86" s="237" customFormat="1">
      <c r="A38" s="1" t="s">
        <v>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238" t="str">
        <v>h</v>
      </c>
      <c r="BM38" s="238" t="str">
        <v>c</v>
      </c>
      <c r="BN38" s="239" t="str">
        <v>ㄏ</v>
      </c>
      <c r="BO38" s="238"/>
      <c r="BP38" s="238"/>
      <c r="BR38" s="238">
        <v>21</v>
      </c>
      <c r="BS38" s="238" t="s">
        <v>517</v>
      </c>
      <c r="BT38" s="238" t="s">
        <v>112</v>
      </c>
      <c r="BU38" s="238" t="s">
        <v>194</v>
      </c>
      <c r="BV38" s="238" t="s">
        <v>171</v>
      </c>
      <c r="BX38" s="238">
        <v>21</v>
      </c>
      <c r="BY38" s="238" t="s">
        <v>108</v>
      </c>
      <c r="BZ38" s="238" t="s">
        <v>116</v>
      </c>
      <c r="CA38" s="238" t="s">
        <v>190</v>
      </c>
      <c r="CB38" s="238" t="s">
        <v>107</v>
      </c>
    </row>
    <row r="39" spans="1:86" s="237" customFormat="1">
      <c r="A39" s="1"/>
      <c r="B39" s="1"/>
      <c r="C39" s="1" t="str">
        <f xml:space="preserve"> "- xlit|!1qa2wsxEedGYyhnRrfvc8uKj,ik9l*UJ&lt;I(Lm/pM0;Oobtgz53467][N.-|ㆠㄅㄆㄇㄉㄊㄋㄌㆣㄍㄎㄫㆡㄗㄘㄙㆢㄐㄑㄒㄏㄚㄧㆨㄨㆤㆦㄜㄞㄠㆩㆪㆫㆥㆧㆮㆯㆬㆭㄣㆰㄢㄤㆱㆲㆴㆵㆻㆷ˫˪ˋˊ八四一ㄥ入ñ|"</f>
        <v>- xlit|!1qa2wsxEedGYyhnRrfvc8uKj,ik9l*UJ&lt;I(Lm/pM0;Oobtgz53467][N.-|ㆠㄅㄆㄇㄉㄊㄋㄌㆣㄍㄎㄫㆡㄗㄘㄙㆢㄐㄑㄒㄏㄚㄧㆨㄨㆤㆦㄜㄞㄠㆩㆪㆫㆥㆧㆮㆯㆬㆭㄣㆰㄢㄤㆱㆲㆴㆵㆻㆷ˫˪ˋˊ八四一ㄥ入ñ|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238" t="str">
        <v>Z</v>
      </c>
      <c r="BM39" s="238" t="str">
        <v>Y</v>
      </c>
      <c r="BN39" s="239" t="str">
        <v>ㆡ</v>
      </c>
      <c r="BO39" s="238"/>
      <c r="BP39" s="238"/>
      <c r="BX39" s="238">
        <v>22</v>
      </c>
      <c r="BY39" s="238" t="s">
        <v>523</v>
      </c>
      <c r="BZ39" s="238" t="s">
        <v>185</v>
      </c>
      <c r="CA39" s="238" t="s">
        <v>229</v>
      </c>
      <c r="CB39" s="238" t="s">
        <v>39</v>
      </c>
    </row>
    <row r="40" spans="1:86" s="237" customFormat="1">
      <c r="A40" s="1" t="s">
        <v>1</v>
      </c>
      <c r="B40" s="1">
        <f xml:space="preserve"> SEARCH("|", C39)</f>
        <v>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238" t="str">
        <v>z</v>
      </c>
      <c r="BM40" s="238" t="str">
        <v>y</v>
      </c>
      <c r="BN40" s="239" t="str">
        <v>ㄗ</v>
      </c>
      <c r="BO40" s="238"/>
      <c r="BP40" s="238"/>
      <c r="BX40" s="238">
        <v>23</v>
      </c>
      <c r="BY40" s="238" t="s">
        <v>524</v>
      </c>
      <c r="BZ40" s="238" t="s">
        <v>186</v>
      </c>
      <c r="CA40" s="238" t="s">
        <v>73</v>
      </c>
      <c r="CB40" s="238" t="s">
        <v>86</v>
      </c>
    </row>
    <row r="41" spans="1:86" s="237" customFormat="1">
      <c r="A41" s="1" t="s">
        <v>2</v>
      </c>
      <c r="B41" s="1">
        <f xml:space="preserve"> SEARCH("|", C39, B40+1)</f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238" t="str">
        <v>c</v>
      </c>
      <c r="BM41" s="238" t="str">
        <v>h</v>
      </c>
      <c r="BN41" s="239" t="str">
        <v>ㄘ</v>
      </c>
      <c r="BO41" s="238"/>
      <c r="BP41" s="238"/>
      <c r="BX41" s="238">
        <v>24</v>
      </c>
      <c r="BY41" s="238" t="s">
        <v>525</v>
      </c>
      <c r="BZ41" s="238" t="s">
        <v>191</v>
      </c>
      <c r="CA41" s="238" t="s">
        <v>117</v>
      </c>
      <c r="CB41" s="238" t="s">
        <v>122</v>
      </c>
    </row>
    <row r="42" spans="1:86" s="237" customFormat="1">
      <c r="A42" s="1" t="s">
        <v>3</v>
      </c>
      <c r="B42" s="1">
        <f xml:space="preserve"> SEARCH("|",C39, B41+1)</f>
        <v>127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238" t="str">
        <v>s</v>
      </c>
      <c r="BM42" s="238" t="str">
        <v>n</v>
      </c>
      <c r="BN42" s="238" t="str">
        <v>ㄙ</v>
      </c>
      <c r="BO42" s="238"/>
      <c r="BP42" s="238"/>
      <c r="BX42" s="238">
        <v>25</v>
      </c>
      <c r="BY42" s="238" t="s">
        <v>526</v>
      </c>
      <c r="BZ42" s="238" t="s">
        <v>192</v>
      </c>
      <c r="CA42" s="238" t="s">
        <v>230</v>
      </c>
      <c r="CB42" s="238" t="s">
        <v>162</v>
      </c>
    </row>
    <row r="43" spans="1:86" s="237" customForma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238" t="str">
        <v>J</v>
      </c>
      <c r="BM43" s="238" t="str">
        <v>R</v>
      </c>
      <c r="BN43" s="239" t="str">
        <v>ㆢ</v>
      </c>
      <c r="BO43" s="238"/>
      <c r="BP43" s="238"/>
    </row>
    <row r="44" spans="1:86" s="237" customForma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238" t="str">
        <v>j</v>
      </c>
      <c r="BM44" s="238" t="str">
        <v>r</v>
      </c>
      <c r="BN44" s="239" t="str">
        <v>ㄐ</v>
      </c>
      <c r="BO44" s="238"/>
      <c r="BP44" s="238"/>
    </row>
    <row r="45" spans="1:86" s="237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238" t="str">
        <v>C</v>
      </c>
      <c r="BM45" s="238" t="str">
        <v>f</v>
      </c>
      <c r="BN45" s="239" t="str">
        <v>ㄑ</v>
      </c>
      <c r="BO45" s="238"/>
      <c r="BP45" s="238"/>
    </row>
    <row r="46" spans="1:86" s="237" customForma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238" t="str">
        <v>S</v>
      </c>
      <c r="BM46" s="238" t="str">
        <v>v</v>
      </c>
      <c r="BN46" s="239" t="str">
        <v>ㄒ</v>
      </c>
      <c r="BO46" s="238"/>
      <c r="BP46" s="238"/>
    </row>
    <row r="47" spans="1:86" s="237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238" t="str">
        <v>a</v>
      </c>
      <c r="BM47" s="238" t="str">
        <v>8</v>
      </c>
      <c r="BN47" s="239" t="str">
        <v>ㄚ</v>
      </c>
      <c r="BO47" s="238"/>
      <c r="BP47" s="238"/>
    </row>
    <row r="48" spans="1:86" s="237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238" t="str">
        <v>i</v>
      </c>
      <c r="BM48" s="238" t="str">
        <v>u</v>
      </c>
      <c r="BN48" s="239" t="str">
        <v>ㄧ</v>
      </c>
      <c r="BO48" s="238"/>
      <c r="BP48" s="238"/>
    </row>
    <row r="49" spans="1:68" s="237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238" t="str">
        <v>w</v>
      </c>
      <c r="BM49" s="238" t="str">
        <v>K</v>
      </c>
      <c r="BN49" s="239" t="str">
        <v>ㆨ</v>
      </c>
      <c r="BO49" s="238"/>
      <c r="BP49" s="238"/>
    </row>
    <row r="50" spans="1:68" s="237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238" t="str">
        <v>u</v>
      </c>
      <c r="BM50" s="238" t="str">
        <v>j</v>
      </c>
      <c r="BN50" s="239" t="str">
        <v>ㄨ</v>
      </c>
      <c r="BO50" s="238"/>
      <c r="BP50" s="238"/>
    </row>
    <row r="51" spans="1:68" s="237" customForma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238" t="str">
        <v>e</v>
      </c>
      <c r="BM51" s="238" t="str">
        <v>,</v>
      </c>
      <c r="BN51" s="239" t="str">
        <v>ㆤ</v>
      </c>
      <c r="BO51" s="238"/>
      <c r="BP51" s="238"/>
    </row>
    <row r="52" spans="1:68">
      <c r="BL52" s="237" t="str">
        <v>O</v>
      </c>
      <c r="BM52" s="237" t="str">
        <v>i</v>
      </c>
      <c r="BN52" s="237" t="str">
        <v>ㆦ</v>
      </c>
    </row>
    <row r="53" spans="1:68">
      <c r="BL53" s="237" t="str">
        <v>ə</v>
      </c>
      <c r="BM53" s="237" t="str">
        <v>k</v>
      </c>
      <c r="BN53" s="237" t="str">
        <v>ㄜ</v>
      </c>
    </row>
    <row r="54" spans="1:68">
      <c r="BL54" s="237" t="str">
        <v>I</v>
      </c>
      <c r="BM54" s="237" t="str">
        <v>9</v>
      </c>
      <c r="BN54" s="237" t="str">
        <v>ㄞ</v>
      </c>
    </row>
    <row r="55" spans="1:68">
      <c r="BL55" s="237" t="str">
        <v>U</v>
      </c>
      <c r="BM55" s="237" t="str">
        <v>l</v>
      </c>
      <c r="BN55" s="237" t="str">
        <v>ㄠ</v>
      </c>
    </row>
    <row r="56" spans="1:68">
      <c r="BL56" s="237" t="str">
        <v>D</v>
      </c>
      <c r="BM56" s="237" t="str">
        <v>*</v>
      </c>
      <c r="BN56" s="237" t="str">
        <v>ㆩ</v>
      </c>
    </row>
    <row r="57" spans="1:68">
      <c r="BL57" s="237" t="str">
        <v>f</v>
      </c>
      <c r="BM57" s="237" t="str">
        <v>U</v>
      </c>
      <c r="BN57" s="237" t="str">
        <v>ㆪ</v>
      </c>
    </row>
    <row r="58" spans="1:68" s="237" customForma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238" t="str">
        <v>q</v>
      </c>
      <c r="BM58" s="238" t="str">
        <v>J</v>
      </c>
      <c r="BN58" s="238" t="str">
        <v>ㆫ</v>
      </c>
      <c r="BO58" s="238"/>
      <c r="BP58" s="238"/>
    </row>
    <row r="59" spans="1:68" s="237" customForma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238" t="str">
        <v>r</v>
      </c>
      <c r="BM59" s="238" t="str">
        <v>&lt;</v>
      </c>
      <c r="BN59" s="238" t="str">
        <v>ㆥ</v>
      </c>
      <c r="BO59" s="238"/>
      <c r="BP59" s="238"/>
    </row>
    <row r="60" spans="1:68" s="237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238" t="str">
        <v>v</v>
      </c>
      <c r="BM60" s="238" t="str">
        <v>I</v>
      </c>
      <c r="BN60" s="238" t="str">
        <v>ㆧ</v>
      </c>
      <c r="BO60" s="238"/>
      <c r="BP60" s="238"/>
    </row>
    <row r="61" spans="1:68" s="237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238" t="str">
        <v>x</v>
      </c>
      <c r="BM61" s="238" t="str">
        <v>(</v>
      </c>
      <c r="BN61" s="239" t="str">
        <v>ㆮ</v>
      </c>
      <c r="BO61" s="238"/>
      <c r="BP61" s="238"/>
    </row>
    <row r="62" spans="1:68" s="237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238" t="str">
        <v>y</v>
      </c>
      <c r="BM62" s="238" t="str">
        <v>L</v>
      </c>
      <c r="BN62" s="239" t="str">
        <v>ㆯ</v>
      </c>
      <c r="BO62" s="238"/>
      <c r="BP62" s="238"/>
    </row>
    <row r="63" spans="1:68" s="237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238" t="str">
        <v>M</v>
      </c>
      <c r="BM63" s="238" t="str">
        <v>m</v>
      </c>
      <c r="BN63" s="239" t="str">
        <v>ㆬ</v>
      </c>
      <c r="BO63" s="238"/>
      <c r="BP63" s="238"/>
    </row>
    <row r="64" spans="1:68" s="237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238" t="str">
        <v>G</v>
      </c>
      <c r="BM64" s="238" t="str">
        <v>/</v>
      </c>
      <c r="BN64" s="239" t="str">
        <v>ㆭ</v>
      </c>
      <c r="BO64" s="238"/>
      <c r="BP64" s="238"/>
    </row>
    <row r="65" spans="1:68" s="237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238" t="str">
        <v>N</v>
      </c>
      <c r="BM65" s="238" t="str">
        <v>p</v>
      </c>
      <c r="BN65" s="239" t="str">
        <v>ㄣ</v>
      </c>
      <c r="BO65" s="238"/>
      <c r="BP65" s="238"/>
    </row>
    <row r="66" spans="1:68" s="237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238" t="str">
        <v>Y</v>
      </c>
      <c r="BM66" s="238" t="str">
        <v>M</v>
      </c>
      <c r="BN66" s="239" t="str">
        <v>ㆰ</v>
      </c>
      <c r="BO66" s="238"/>
      <c r="BP66" s="238"/>
    </row>
    <row r="67" spans="1:68">
      <c r="BL67" s="237" t="str">
        <v>@</v>
      </c>
      <c r="BM67" s="237" t="str">
        <v>0</v>
      </c>
      <c r="BN67" s="237" t="str">
        <v>ㄢ</v>
      </c>
    </row>
    <row r="68" spans="1:68">
      <c r="BL68" s="237" t="str">
        <v>A</v>
      </c>
      <c r="BM68" s="237" t="str">
        <v>;</v>
      </c>
      <c r="BN68" s="237" t="str">
        <v>ㄤ</v>
      </c>
    </row>
    <row r="69" spans="1:68">
      <c r="BL69" s="237" t="str">
        <v>W</v>
      </c>
      <c r="BM69" s="237" t="str">
        <v>O</v>
      </c>
      <c r="BN69" s="237" t="str">
        <v>ㆱ</v>
      </c>
    </row>
    <row r="70" spans="1:68">
      <c r="BL70" s="237" t="str">
        <v>H</v>
      </c>
      <c r="BM70" s="237" t="str">
        <v>o</v>
      </c>
      <c r="BN70" s="237" t="str">
        <v>ㆲ</v>
      </c>
    </row>
    <row r="71" spans="1:68">
      <c r="BL71" s="237" t="str">
        <v>R</v>
      </c>
      <c r="BM71" s="237" t="str">
        <v>b</v>
      </c>
      <c r="BN71" s="237" t="str">
        <v>ㆴ</v>
      </c>
    </row>
    <row r="72" spans="1:68">
      <c r="BL72" s="237" t="str">
        <v>F</v>
      </c>
      <c r="BM72" s="237" t="str">
        <v>t</v>
      </c>
      <c r="BN72" s="237" t="str">
        <v>ㆵ</v>
      </c>
    </row>
    <row r="73" spans="1:68" s="237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238" t="str">
        <v>Q</v>
      </c>
      <c r="BM73" s="238" t="str">
        <v>g</v>
      </c>
      <c r="BN73" s="238" t="str">
        <v>ㆻ</v>
      </c>
      <c r="BO73" s="238"/>
      <c r="BP73" s="238"/>
    </row>
    <row r="74" spans="1:68" s="237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238" t="str">
        <v>V</v>
      </c>
      <c r="BM74" s="238" t="str">
        <v>z</v>
      </c>
      <c r="BN74" s="238" t="str">
        <v>ㆷ</v>
      </c>
      <c r="BO74" s="238"/>
      <c r="BP74" s="238"/>
    </row>
    <row r="75" spans="1:68">
      <c r="BL75" s="237" t="str">
        <v>4</v>
      </c>
      <c r="BM75" s="237" t="str">
        <v>-</v>
      </c>
      <c r="BN75" s="237" t="str">
        <v>四</v>
      </c>
    </row>
    <row r="76" spans="1:68">
      <c r="BL76" s="237" t="str">
        <v>8</v>
      </c>
      <c r="BM76" s="237" t="str">
        <v>]</v>
      </c>
      <c r="BN76" s="237" t="str">
        <v>八</v>
      </c>
    </row>
    <row r="77" spans="1:68">
      <c r="BL77" s="237" t="str">
        <v>5</v>
      </c>
      <c r="BM77" s="237" t="str">
        <v>"</v>
      </c>
      <c r="BN77" s="237" t="str">
        <v>五</v>
      </c>
    </row>
    <row r="78" spans="1:68">
      <c r="BL78" s="237" t="str">
        <v>Ø</v>
      </c>
      <c r="BM78" s="237" t="str">
        <v>=</v>
      </c>
      <c r="BN78" s="237" t="str">
        <v>Ø</v>
      </c>
    </row>
    <row r="79" spans="1:68">
      <c r="BL79" s="237" t="str">
        <v>L</v>
      </c>
      <c r="BM79" s="237" t="str">
        <v>-</v>
      </c>
      <c r="BN79" s="237" t="str">
        <v>ㄥ</v>
      </c>
    </row>
    <row r="80" spans="1:68">
      <c r="BL80" s="237" t="str">
        <v>1</v>
      </c>
      <c r="BM80" s="237" t="str">
        <v>"</v>
      </c>
      <c r="BN80" s="237" t="str">
        <v>一</v>
      </c>
    </row>
    <row r="81" spans="64:66">
      <c r="BL81" s="237" t="str">
        <v>7</v>
      </c>
      <c r="BM81" s="237" t="str">
        <v>5</v>
      </c>
      <c r="BN81" s="237" t="str">
        <v>七</v>
      </c>
    </row>
    <row r="82" spans="64:66">
      <c r="BL82" s="237" t="str">
        <v>3</v>
      </c>
      <c r="BM82" s="237" t="str">
        <v>]</v>
      </c>
      <c r="BN82" s="237" t="str">
        <v>三</v>
      </c>
    </row>
    <row r="83" spans="64:66">
      <c r="BL83" s="237" t="str">
        <v>2</v>
      </c>
      <c r="BM83" s="237" t="str">
        <v>[</v>
      </c>
      <c r="BN83" s="237" t="str">
        <v>二</v>
      </c>
    </row>
    <row r="84" spans="64:66">
      <c r="BL84" s="237">
        <v>0</v>
      </c>
      <c r="BM84" s="237">
        <v>0</v>
      </c>
      <c r="BN84" s="237">
        <v>0</v>
      </c>
    </row>
    <row r="85" spans="64:66">
      <c r="BL85" s="237" t="str">
        <v>6</v>
      </c>
      <c r="BM85" s="237" t="str">
        <v>7</v>
      </c>
      <c r="BN85" s="237" t="str">
        <v>ʔ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6294-CC81-4CA6-8F3B-4D8F28532425}">
  <dimension ref="A1:CH76"/>
  <sheetViews>
    <sheetView zoomScale="70" zoomScaleNormal="70" workbookViewId="0">
      <selection activeCell="G29" sqref="G29"/>
    </sheetView>
  </sheetViews>
  <sheetFormatPr defaultRowHeight="25.5" outlineLevelRow="1"/>
  <cols>
    <col min="1" max="1" width="10" style="1" customWidth="1"/>
    <col min="2" max="2" width="6" style="1" customWidth="1"/>
    <col min="3" max="62" width="5.3984375" style="1" customWidth="1"/>
    <col min="63" max="63" width="8.796875" style="1"/>
    <col min="64" max="64" width="8.796875" style="237"/>
    <col min="65" max="68" width="10.3984375" style="237" customWidth="1"/>
    <col min="69" max="69" width="8.796875" style="237"/>
    <col min="70" max="70" width="6.5" style="237" bestFit="1" customWidth="1"/>
    <col min="71" max="72" width="11.19921875" style="237" bestFit="1" customWidth="1"/>
    <col min="73" max="73" width="6.5" style="237" bestFit="1" customWidth="1"/>
    <col min="74" max="74" width="11.19921875" style="237" bestFit="1" customWidth="1"/>
    <col min="75" max="75" width="8.796875" style="237"/>
    <col min="76" max="76" width="6.5" style="237" bestFit="1" customWidth="1"/>
    <col min="77" max="78" width="11.19921875" style="237" bestFit="1" customWidth="1"/>
    <col min="79" max="79" width="6.5" style="237" bestFit="1" customWidth="1"/>
    <col min="80" max="80" width="11.19921875" style="237" bestFit="1" customWidth="1"/>
    <col min="81" max="81" width="8.796875" style="237"/>
    <col min="82" max="82" width="6.5" style="237" bestFit="1" customWidth="1"/>
    <col min="83" max="84" width="11.19921875" style="237" bestFit="1" customWidth="1"/>
    <col min="85" max="85" width="6.5" style="237" bestFit="1" customWidth="1"/>
    <col min="86" max="86" width="11.19921875" style="237" bestFit="1" customWidth="1"/>
    <col min="87" max="16384" width="8.796875" style="1"/>
  </cols>
  <sheetData>
    <row r="1" spans="1:86">
      <c r="A1" s="1" t="s">
        <v>536</v>
      </c>
    </row>
    <row r="2" spans="1:86">
      <c r="BL2" s="236" t="s">
        <v>286</v>
      </c>
      <c r="BM2" s="236" t="e" cm="1">
        <f t="array" ref="BM2">TRANSPOSE(#REF!)</f>
        <v>#REF!</v>
      </c>
      <c r="BN2" s="236"/>
      <c r="BO2" s="236"/>
      <c r="BP2" s="236"/>
      <c r="BR2" s="236" t="s">
        <v>184</v>
      </c>
      <c r="BS2" s="236" t="s">
        <v>531</v>
      </c>
      <c r="BT2" s="236" t="s">
        <v>201</v>
      </c>
      <c r="BU2" s="236" t="s">
        <v>509</v>
      </c>
      <c r="BV2" s="236" t="s">
        <v>208</v>
      </c>
      <c r="BX2" s="236" t="s">
        <v>184</v>
      </c>
      <c r="BY2" s="236" t="s">
        <v>531</v>
      </c>
      <c r="BZ2" s="236" t="s">
        <v>201</v>
      </c>
      <c r="CA2" s="236" t="s">
        <v>509</v>
      </c>
      <c r="CB2" s="236" t="s">
        <v>208</v>
      </c>
      <c r="CD2" s="236" t="s">
        <v>184</v>
      </c>
      <c r="CE2" s="236" t="s">
        <v>531</v>
      </c>
      <c r="CF2" s="236" t="s">
        <v>201</v>
      </c>
      <c r="CG2" s="236" t="s">
        <v>509</v>
      </c>
      <c r="CH2" s="236" t="s">
        <v>208</v>
      </c>
    </row>
    <row r="3" spans="1:86">
      <c r="A3" s="1" t="s">
        <v>533</v>
      </c>
      <c r="C3" s="1" t="str">
        <f xml:space="preserve"> "!1qas2wxEedGYyhncRrfv8uKj,ikmp/btgz9lM0;Oo*UJ&lt;I(L:5346][7N"</f>
        <v>!1qas2wxEedGYyhncRrfv8uKj,ikmp/btgz9lM0;Oo*UJ&lt;I(L:5346][7N</v>
      </c>
      <c r="BL3" s="238" t="str" cm="1">
        <f t="array" ref="BL3:BN62" xml:space="preserve"> TRANSPOSE(C39:BJ41)</f>
        <v>B</v>
      </c>
      <c r="BM3" s="238" t="str">
        <v>!</v>
      </c>
      <c r="BN3" s="238" t="str">
        <v>ㆠ</v>
      </c>
      <c r="BO3" s="238"/>
      <c r="BP3" s="238"/>
      <c r="BR3" s="238">
        <v>1</v>
      </c>
      <c r="BS3" s="238" t="s">
        <v>38</v>
      </c>
      <c r="BT3" s="238" t="s">
        <v>38</v>
      </c>
      <c r="BU3" s="238" t="s">
        <v>223</v>
      </c>
      <c r="BV3" s="238" t="s">
        <v>37</v>
      </c>
      <c r="BX3" s="238">
        <v>1</v>
      </c>
      <c r="BY3" s="238" t="s">
        <v>57</v>
      </c>
      <c r="BZ3" s="238" t="s">
        <v>57</v>
      </c>
      <c r="CA3" s="238" t="s">
        <v>219</v>
      </c>
      <c r="CB3" s="238" t="s">
        <v>234</v>
      </c>
      <c r="CD3" s="238">
        <v>1</v>
      </c>
      <c r="CE3" s="7">
        <v>1</v>
      </c>
      <c r="CF3" s="7">
        <v>1</v>
      </c>
      <c r="CG3" s="7" t="s">
        <v>289</v>
      </c>
      <c r="CH3" s="7" t="s">
        <v>241</v>
      </c>
    </row>
    <row r="4" spans="1:86">
      <c r="BL4" s="238" t="str">
        <v>b</v>
      </c>
      <c r="BM4" s="238" t="str">
        <v>1</v>
      </c>
      <c r="BN4" s="238" t="str">
        <v>ㄅ</v>
      </c>
      <c r="BO4" s="238"/>
      <c r="BP4" s="238"/>
      <c r="BR4" s="238">
        <v>2</v>
      </c>
      <c r="BS4" s="238" t="s">
        <v>45</v>
      </c>
      <c r="BT4" s="238" t="s">
        <v>45</v>
      </c>
      <c r="BU4" s="238" t="s">
        <v>221</v>
      </c>
      <c r="BV4" s="238" t="s">
        <v>44</v>
      </c>
      <c r="BX4" s="238">
        <v>2</v>
      </c>
      <c r="BY4" s="238" t="s">
        <v>104</v>
      </c>
      <c r="BZ4" s="238" t="s">
        <v>104</v>
      </c>
      <c r="CA4" s="238" t="s">
        <v>141</v>
      </c>
      <c r="CB4" s="238" t="s">
        <v>103</v>
      </c>
      <c r="CD4" s="238">
        <v>2</v>
      </c>
      <c r="CE4" s="7">
        <v>7</v>
      </c>
      <c r="CF4" s="7">
        <v>7</v>
      </c>
      <c r="CG4" s="7">
        <v>5</v>
      </c>
      <c r="CH4" s="7" t="s">
        <v>236</v>
      </c>
    </row>
    <row r="5" spans="1:86">
      <c r="C5" s="3">
        <f xml:space="preserve"> COLUMN() -2</f>
        <v>1</v>
      </c>
      <c r="D5" s="3">
        <f t="shared" ref="D5:BJ5" si="0" xml:space="preserve"> COLUMN() -2</f>
        <v>2</v>
      </c>
      <c r="E5" s="3">
        <f t="shared" si="0"/>
        <v>3</v>
      </c>
      <c r="F5" s="3">
        <f t="shared" si="0"/>
        <v>4</v>
      </c>
      <c r="G5" s="3">
        <f t="shared" si="0"/>
        <v>5</v>
      </c>
      <c r="H5" s="3">
        <f t="shared" si="0"/>
        <v>6</v>
      </c>
      <c r="I5" s="3">
        <f t="shared" si="0"/>
        <v>7</v>
      </c>
      <c r="J5" s="3">
        <f t="shared" si="0"/>
        <v>8</v>
      </c>
      <c r="K5" s="3">
        <f t="shared" si="0"/>
        <v>9</v>
      </c>
      <c r="L5" s="3">
        <f t="shared" si="0"/>
        <v>10</v>
      </c>
      <c r="M5" s="3">
        <f t="shared" si="0"/>
        <v>11</v>
      </c>
      <c r="N5" s="3">
        <f t="shared" si="0"/>
        <v>12</v>
      </c>
      <c r="O5" s="3">
        <f t="shared" si="0"/>
        <v>13</v>
      </c>
      <c r="P5" s="3">
        <f t="shared" si="0"/>
        <v>14</v>
      </c>
      <c r="Q5" s="3">
        <f t="shared" si="0"/>
        <v>15</v>
      </c>
      <c r="R5" s="3">
        <f t="shared" si="0"/>
        <v>16</v>
      </c>
      <c r="S5" s="3">
        <f t="shared" si="0"/>
        <v>17</v>
      </c>
      <c r="T5" s="3">
        <f t="shared" si="0"/>
        <v>18</v>
      </c>
      <c r="U5" s="3">
        <f t="shared" si="0"/>
        <v>19</v>
      </c>
      <c r="V5" s="3">
        <f t="shared" si="0"/>
        <v>20</v>
      </c>
      <c r="W5" s="3">
        <f t="shared" si="0"/>
        <v>21</v>
      </c>
      <c r="X5" s="3">
        <f t="shared" si="0"/>
        <v>22</v>
      </c>
      <c r="Y5" s="3">
        <f t="shared" si="0"/>
        <v>23</v>
      </c>
      <c r="Z5" s="3">
        <f t="shared" si="0"/>
        <v>24</v>
      </c>
      <c r="AA5" s="3">
        <f t="shared" si="0"/>
        <v>25</v>
      </c>
      <c r="AB5" s="3">
        <f t="shared" si="0"/>
        <v>26</v>
      </c>
      <c r="AC5" s="3">
        <f t="shared" si="0"/>
        <v>27</v>
      </c>
      <c r="AD5" s="3">
        <f t="shared" si="0"/>
        <v>28</v>
      </c>
      <c r="AE5" s="3">
        <f t="shared" si="0"/>
        <v>29</v>
      </c>
      <c r="AF5" s="3">
        <f t="shared" si="0"/>
        <v>30</v>
      </c>
      <c r="AG5" s="3">
        <f t="shared" si="0"/>
        <v>31</v>
      </c>
      <c r="AH5" s="3">
        <f t="shared" si="0"/>
        <v>32</v>
      </c>
      <c r="AI5" s="3">
        <f t="shared" si="0"/>
        <v>33</v>
      </c>
      <c r="AJ5" s="3">
        <f t="shared" si="0"/>
        <v>34</v>
      </c>
      <c r="AK5" s="3">
        <f t="shared" si="0"/>
        <v>35</v>
      </c>
      <c r="AL5" s="3">
        <f t="shared" si="0"/>
        <v>36</v>
      </c>
      <c r="AM5" s="3">
        <f t="shared" si="0"/>
        <v>37</v>
      </c>
      <c r="AN5" s="3">
        <f t="shared" si="0"/>
        <v>38</v>
      </c>
      <c r="AO5" s="3">
        <f t="shared" si="0"/>
        <v>39</v>
      </c>
      <c r="AP5" s="3">
        <f t="shared" si="0"/>
        <v>40</v>
      </c>
      <c r="AQ5" s="3">
        <f t="shared" si="0"/>
        <v>41</v>
      </c>
      <c r="AR5" s="3">
        <f t="shared" si="0"/>
        <v>42</v>
      </c>
      <c r="AS5" s="3">
        <f t="shared" si="0"/>
        <v>43</v>
      </c>
      <c r="AT5" s="3">
        <f t="shared" si="0"/>
        <v>44</v>
      </c>
      <c r="AU5" s="3">
        <f t="shared" si="0"/>
        <v>45</v>
      </c>
      <c r="AV5" s="3">
        <f t="shared" si="0"/>
        <v>46</v>
      </c>
      <c r="AW5" s="3">
        <f t="shared" si="0"/>
        <v>47</v>
      </c>
      <c r="AX5" s="3">
        <f t="shared" si="0"/>
        <v>48</v>
      </c>
      <c r="AY5" s="3">
        <f t="shared" si="0"/>
        <v>49</v>
      </c>
      <c r="AZ5" s="3">
        <f t="shared" si="0"/>
        <v>50</v>
      </c>
      <c r="BA5" s="3">
        <f t="shared" si="0"/>
        <v>51</v>
      </c>
      <c r="BB5" s="3">
        <f t="shared" si="0"/>
        <v>52</v>
      </c>
      <c r="BC5" s="3">
        <f t="shared" si="0"/>
        <v>53</v>
      </c>
      <c r="BD5" s="3">
        <f t="shared" si="0"/>
        <v>54</v>
      </c>
      <c r="BE5" s="3">
        <f t="shared" si="0"/>
        <v>55</v>
      </c>
      <c r="BF5" s="3">
        <f t="shared" si="0"/>
        <v>56</v>
      </c>
      <c r="BG5" s="3">
        <f t="shared" si="0"/>
        <v>57</v>
      </c>
      <c r="BH5" s="3">
        <f t="shared" si="0"/>
        <v>58</v>
      </c>
      <c r="BI5" s="3">
        <f t="shared" si="0"/>
        <v>59</v>
      </c>
      <c r="BJ5" s="3">
        <f t="shared" si="0"/>
        <v>60</v>
      </c>
      <c r="BL5" s="238" t="str">
        <v>p</v>
      </c>
      <c r="BM5" s="238" t="str">
        <v>q</v>
      </c>
      <c r="BN5" s="239" t="str">
        <v>ㄆ</v>
      </c>
      <c r="BO5" s="238"/>
      <c r="BP5" s="238"/>
      <c r="BR5" s="238">
        <v>3</v>
      </c>
      <c r="BS5" s="238" t="s">
        <v>93</v>
      </c>
      <c r="BT5" s="238" t="s">
        <v>76</v>
      </c>
      <c r="BU5" s="238" t="s">
        <v>191</v>
      </c>
      <c r="BV5" s="238" t="s">
        <v>92</v>
      </c>
      <c r="BX5" s="238">
        <v>3</v>
      </c>
      <c r="BY5" s="238" t="s">
        <v>125</v>
      </c>
      <c r="BZ5" s="238" t="s">
        <v>195</v>
      </c>
      <c r="CA5" s="238" t="s">
        <v>118</v>
      </c>
      <c r="CB5" s="238" t="s">
        <v>124</v>
      </c>
      <c r="CD5" s="238">
        <v>3</v>
      </c>
      <c r="CE5" s="7">
        <v>3</v>
      </c>
      <c r="CF5" s="7">
        <v>3</v>
      </c>
      <c r="CG5" s="7">
        <v>3</v>
      </c>
      <c r="CH5" s="7" t="s">
        <v>237</v>
      </c>
    </row>
    <row r="6" spans="1:86">
      <c r="C6" s="241" t="str">
        <f xml:space="preserve"> MID($C$3, C5, 1)</f>
        <v>!</v>
      </c>
      <c r="D6" s="241" t="str">
        <f t="shared" ref="D6:BJ6" si="1" xml:space="preserve"> MID($C$3, D5, 1)</f>
        <v>1</v>
      </c>
      <c r="E6" s="241" t="str">
        <f t="shared" si="1"/>
        <v>q</v>
      </c>
      <c r="F6" s="241" t="str">
        <f t="shared" si="1"/>
        <v>a</v>
      </c>
      <c r="G6" s="241" t="str">
        <f t="shared" si="1"/>
        <v>s</v>
      </c>
      <c r="H6" s="241" t="str">
        <f t="shared" si="1"/>
        <v>2</v>
      </c>
      <c r="I6" s="241" t="str">
        <f t="shared" si="1"/>
        <v>w</v>
      </c>
      <c r="J6" s="241" t="str">
        <f t="shared" si="1"/>
        <v>x</v>
      </c>
      <c r="K6" s="241" t="str">
        <f t="shared" si="1"/>
        <v>E</v>
      </c>
      <c r="L6" s="241" t="str">
        <f t="shared" si="1"/>
        <v>e</v>
      </c>
      <c r="M6" s="241" t="str">
        <f t="shared" si="1"/>
        <v>d</v>
      </c>
      <c r="N6" s="241" t="str">
        <f t="shared" si="1"/>
        <v>G</v>
      </c>
      <c r="O6" s="241" t="str">
        <f t="shared" si="1"/>
        <v>Y</v>
      </c>
      <c r="P6" s="241" t="str">
        <f t="shared" si="1"/>
        <v>y</v>
      </c>
      <c r="Q6" s="241" t="str">
        <f t="shared" si="1"/>
        <v>h</v>
      </c>
      <c r="R6" s="241" t="str">
        <f t="shared" si="1"/>
        <v>n</v>
      </c>
      <c r="S6" s="241" t="str">
        <f t="shared" si="1"/>
        <v>c</v>
      </c>
      <c r="T6" s="241" t="str">
        <f t="shared" si="1"/>
        <v>R</v>
      </c>
      <c r="U6" s="241" t="str">
        <f t="shared" si="1"/>
        <v>r</v>
      </c>
      <c r="V6" s="241" t="str">
        <f t="shared" si="1"/>
        <v>f</v>
      </c>
      <c r="W6" s="241" t="str">
        <f t="shared" si="1"/>
        <v>v</v>
      </c>
      <c r="X6" s="241" t="str">
        <f t="shared" si="1"/>
        <v>8</v>
      </c>
      <c r="Y6" s="241" t="str">
        <f t="shared" si="1"/>
        <v>u</v>
      </c>
      <c r="Z6" s="241" t="str">
        <f t="shared" si="1"/>
        <v>K</v>
      </c>
      <c r="AA6" s="241" t="str">
        <f t="shared" si="1"/>
        <v>j</v>
      </c>
      <c r="AB6" s="241" t="str">
        <f t="shared" si="1"/>
        <v>,</v>
      </c>
      <c r="AC6" s="241" t="str">
        <f t="shared" si="1"/>
        <v>i</v>
      </c>
      <c r="AD6" s="241" t="str">
        <f t="shared" si="1"/>
        <v>k</v>
      </c>
      <c r="AE6" s="241" t="str">
        <f t="shared" si="1"/>
        <v>m</v>
      </c>
      <c r="AF6" s="241" t="str">
        <f t="shared" si="1"/>
        <v>p</v>
      </c>
      <c r="AG6" s="241" t="str">
        <f t="shared" si="1"/>
        <v>/</v>
      </c>
      <c r="AH6" s="241" t="str">
        <f t="shared" si="1"/>
        <v>b</v>
      </c>
      <c r="AI6" s="241" t="str">
        <f t="shared" si="1"/>
        <v>t</v>
      </c>
      <c r="AJ6" s="241" t="str">
        <f t="shared" si="1"/>
        <v>g</v>
      </c>
      <c r="AK6" s="241" t="str">
        <f t="shared" si="1"/>
        <v>z</v>
      </c>
      <c r="AL6" s="241" t="str">
        <f t="shared" si="1"/>
        <v>9</v>
      </c>
      <c r="AM6" s="241" t="str">
        <f t="shared" si="1"/>
        <v>l</v>
      </c>
      <c r="AN6" s="241" t="str">
        <f t="shared" si="1"/>
        <v>M</v>
      </c>
      <c r="AO6" s="241" t="str">
        <f t="shared" si="1"/>
        <v>0</v>
      </c>
      <c r="AP6" s="241" t="str">
        <f t="shared" si="1"/>
        <v>;</v>
      </c>
      <c r="AQ6" s="241" t="str">
        <f t="shared" si="1"/>
        <v>O</v>
      </c>
      <c r="AR6" s="241" t="str">
        <f t="shared" si="1"/>
        <v>o</v>
      </c>
      <c r="AS6" s="241" t="str">
        <f t="shared" si="1"/>
        <v>*</v>
      </c>
      <c r="AT6" s="241" t="str">
        <f t="shared" si="1"/>
        <v>U</v>
      </c>
      <c r="AU6" s="241" t="str">
        <f t="shared" si="1"/>
        <v>J</v>
      </c>
      <c r="AV6" s="241" t="str">
        <f t="shared" si="1"/>
        <v>&lt;</v>
      </c>
      <c r="AW6" s="241" t="str">
        <f t="shared" si="1"/>
        <v>I</v>
      </c>
      <c r="AX6" s="241" t="str">
        <f t="shared" si="1"/>
        <v>(</v>
      </c>
      <c r="AY6" s="241" t="str">
        <f t="shared" si="1"/>
        <v>L</v>
      </c>
      <c r="AZ6" s="241" t="str">
        <f t="shared" si="1"/>
        <v>:</v>
      </c>
      <c r="BA6" s="241" t="str">
        <f t="shared" si="1"/>
        <v>5</v>
      </c>
      <c r="BB6" s="241" t="str">
        <f t="shared" si="1"/>
        <v>3</v>
      </c>
      <c r="BC6" s="241" t="str">
        <f t="shared" si="1"/>
        <v>4</v>
      </c>
      <c r="BD6" s="241" t="str">
        <f t="shared" si="1"/>
        <v>6</v>
      </c>
      <c r="BE6" s="241" t="str">
        <f t="shared" si="1"/>
        <v>]</v>
      </c>
      <c r="BF6" s="241" t="str">
        <f t="shared" si="1"/>
        <v>[</v>
      </c>
      <c r="BG6" s="241" t="str">
        <f t="shared" si="1"/>
        <v>7</v>
      </c>
      <c r="BH6" s="241" t="str">
        <f t="shared" si="1"/>
        <v>N</v>
      </c>
      <c r="BI6" s="241" t="str">
        <f t="shared" si="1"/>
        <v/>
      </c>
      <c r="BJ6" s="241" t="str">
        <f t="shared" si="1"/>
        <v/>
      </c>
      <c r="BL6" s="238" t="str">
        <v>m</v>
      </c>
      <c r="BM6" s="238" t="str">
        <v>a</v>
      </c>
      <c r="BN6" s="238" t="str">
        <v>ㄇ</v>
      </c>
      <c r="BO6" s="238"/>
      <c r="BP6" s="238"/>
      <c r="BR6" s="238">
        <v>4</v>
      </c>
      <c r="BS6" s="238" t="s">
        <v>188</v>
      </c>
      <c r="BT6" s="238" t="s">
        <v>188</v>
      </c>
      <c r="BU6" s="238" t="s">
        <v>57</v>
      </c>
      <c r="BV6" s="238" t="s">
        <v>128</v>
      </c>
      <c r="BX6" s="238">
        <v>4</v>
      </c>
      <c r="BY6" s="238" t="s">
        <v>141</v>
      </c>
      <c r="BZ6" s="238" t="s">
        <v>141</v>
      </c>
      <c r="CA6" s="238" t="s">
        <v>187</v>
      </c>
      <c r="CB6" s="238" t="s">
        <v>140</v>
      </c>
      <c r="CD6" s="238">
        <v>4</v>
      </c>
      <c r="CE6" s="7">
        <v>2</v>
      </c>
      <c r="CF6" s="7">
        <v>2</v>
      </c>
      <c r="CG6" s="7">
        <v>4</v>
      </c>
      <c r="CH6" s="7" t="s">
        <v>238</v>
      </c>
    </row>
    <row r="7" spans="1:86">
      <c r="BL7" s="238" t="str">
        <v>d</v>
      </c>
      <c r="BM7" s="238" t="str">
        <v>2</v>
      </c>
      <c r="BN7" s="238" t="str">
        <v>ㄉ</v>
      </c>
      <c r="BO7" s="238"/>
      <c r="BP7" s="238"/>
      <c r="BR7" s="238">
        <v>5</v>
      </c>
      <c r="BS7" s="238" t="s">
        <v>189</v>
      </c>
      <c r="BT7" s="238" t="s">
        <v>189</v>
      </c>
      <c r="BU7" s="238" t="s">
        <v>176</v>
      </c>
      <c r="BV7" s="238" t="s">
        <v>130</v>
      </c>
      <c r="BX7" s="238">
        <v>5</v>
      </c>
      <c r="BY7" s="238" t="s">
        <v>180</v>
      </c>
      <c r="BZ7" s="238" t="s">
        <v>180</v>
      </c>
      <c r="CA7" s="238" t="s">
        <v>224</v>
      </c>
      <c r="CB7" s="238" t="s">
        <v>179</v>
      </c>
      <c r="CD7" s="238">
        <v>5</v>
      </c>
      <c r="CE7" s="7">
        <v>5</v>
      </c>
      <c r="CF7" s="7">
        <v>5</v>
      </c>
      <c r="CG7" s="7">
        <v>6</v>
      </c>
      <c r="CH7" s="7" t="s">
        <v>239</v>
      </c>
    </row>
    <row r="8" spans="1:86">
      <c r="A8" s="1" t="s">
        <v>0</v>
      </c>
      <c r="BL8" s="238" t="str">
        <v>t</v>
      </c>
      <c r="BM8" s="238" t="str">
        <v>w</v>
      </c>
      <c r="BN8" s="238" t="str">
        <v>ㄊ</v>
      </c>
      <c r="BO8" s="238"/>
      <c r="BP8" s="238"/>
      <c r="BR8" s="238">
        <v>6</v>
      </c>
      <c r="BS8" s="238" t="s">
        <v>193</v>
      </c>
      <c r="BT8" s="238" t="s">
        <v>193</v>
      </c>
      <c r="BU8" s="238" t="s">
        <v>220</v>
      </c>
      <c r="BV8" s="238" t="s">
        <v>46</v>
      </c>
      <c r="BX8" s="238">
        <v>6</v>
      </c>
      <c r="BY8" s="238" t="s">
        <v>106</v>
      </c>
      <c r="BZ8" s="238" t="s">
        <v>75</v>
      </c>
      <c r="CA8" s="238" t="s">
        <v>104</v>
      </c>
      <c r="CB8" s="238" t="s">
        <v>105</v>
      </c>
      <c r="CD8" s="238">
        <v>6</v>
      </c>
      <c r="CE8" s="7">
        <v>8</v>
      </c>
      <c r="CF8" s="7">
        <v>8</v>
      </c>
      <c r="CG8" s="7" t="s">
        <v>232</v>
      </c>
      <c r="CH8" s="7" t="s">
        <v>235</v>
      </c>
    </row>
    <row r="9" spans="1:86">
      <c r="C9" s="1" t="str">
        <f xml:space="preserve"> "- xlit|BbpmdtnlGgkŋZzcsJjCShaiwueOəIUdfqrvxyMGNY@AWHRFQV7325841L&amp;*|!1qa2wsxEedGYyhnRrfvc8uKj,ik9l*UJ&lt;I(Lm/pM0;Oobtgz53467][N.-|"</f>
        <v>- xlit|BbpmdtnlGgkŋZzcsJjCShaiwueOəIUdfqrvxyMGNY@AWHRFQV7325841L&amp;*|!1qa2wsxEedGYyhnRrfvc8uKj,ik9l*UJ&lt;I(Lm/pM0;Oobtgz53467][N.-|</v>
      </c>
      <c r="BL9" s="238" t="str">
        <v>n</v>
      </c>
      <c r="BM9" s="238" t="str">
        <v>s</v>
      </c>
      <c r="BN9" s="238" t="str">
        <v>ㄋ</v>
      </c>
      <c r="BO9" s="238"/>
      <c r="BP9" s="238"/>
      <c r="BR9" s="238">
        <v>7</v>
      </c>
      <c r="BS9" s="238" t="s">
        <v>510</v>
      </c>
      <c r="BT9" s="238" t="s">
        <v>71</v>
      </c>
      <c r="BU9" s="238" t="s">
        <v>195</v>
      </c>
      <c r="BV9" s="238" t="s">
        <v>94</v>
      </c>
      <c r="BX9" s="238">
        <v>7</v>
      </c>
      <c r="BY9" s="238" t="s">
        <v>190</v>
      </c>
      <c r="BZ9" s="238" t="s">
        <v>10</v>
      </c>
      <c r="CA9" s="238" t="s">
        <v>133</v>
      </c>
      <c r="CB9" s="238" t="s">
        <v>142</v>
      </c>
      <c r="CD9" s="238">
        <v>7</v>
      </c>
      <c r="CE9" s="7">
        <v>4</v>
      </c>
      <c r="CF9" s="7">
        <v>4</v>
      </c>
      <c r="CG9" s="7" t="s">
        <v>233</v>
      </c>
      <c r="CH9" s="7" t="s">
        <v>240</v>
      </c>
    </row>
    <row r="10" spans="1:86">
      <c r="A10" s="1" t="s">
        <v>1</v>
      </c>
      <c r="B10" s="1">
        <f xml:space="preserve"> SEARCH("|", C9)</f>
        <v>7</v>
      </c>
      <c r="BL10" s="238" t="str">
        <v>l</v>
      </c>
      <c r="BM10" s="238" t="str">
        <v>x</v>
      </c>
      <c r="BN10" s="238" t="str">
        <v>ㄌ</v>
      </c>
      <c r="BO10" s="238"/>
      <c r="BP10" s="238"/>
      <c r="BR10" s="238">
        <v>8</v>
      </c>
      <c r="BS10" s="238" t="s">
        <v>168</v>
      </c>
      <c r="BT10" s="238" t="s">
        <v>168</v>
      </c>
      <c r="BU10" s="238" t="s">
        <v>196</v>
      </c>
      <c r="BV10" s="238" t="s">
        <v>167</v>
      </c>
      <c r="BX10" s="238">
        <v>8</v>
      </c>
      <c r="BY10" s="238" t="s">
        <v>178</v>
      </c>
      <c r="BZ10" s="238" t="s">
        <v>154</v>
      </c>
      <c r="CA10" s="238" t="s">
        <v>188</v>
      </c>
      <c r="CB10" s="238" t="s">
        <v>177</v>
      </c>
      <c r="CD10" s="238">
        <v>8</v>
      </c>
      <c r="CE10" s="7">
        <v>0</v>
      </c>
      <c r="CF10" s="7">
        <v>0</v>
      </c>
      <c r="CG10" s="7">
        <v>7</v>
      </c>
      <c r="CH10" s="7" t="s">
        <v>62</v>
      </c>
    </row>
    <row r="11" spans="1:86">
      <c r="A11" s="1" t="s">
        <v>2</v>
      </c>
      <c r="B11" s="1">
        <f xml:space="preserve"> SEARCH("|", C9, B10+1)</f>
        <v>67</v>
      </c>
      <c r="BL11" s="238" t="str">
        <v>Ğ</v>
      </c>
      <c r="BM11" s="238" t="str">
        <v>E</v>
      </c>
      <c r="BN11" s="238" t="str">
        <v>ㆣ</v>
      </c>
      <c r="BO11" s="238"/>
      <c r="BP11" s="238"/>
      <c r="BR11" s="238">
        <v>9</v>
      </c>
      <c r="BS11" s="238" t="s">
        <v>80</v>
      </c>
      <c r="BT11" s="238" t="s">
        <v>97</v>
      </c>
      <c r="BU11" s="238" t="s">
        <v>69</v>
      </c>
      <c r="BV11" s="238" t="s">
        <v>80</v>
      </c>
      <c r="BX11" s="238">
        <v>9</v>
      </c>
      <c r="BY11" s="238" t="s">
        <v>518</v>
      </c>
      <c r="BZ11" s="238" t="s">
        <v>153</v>
      </c>
      <c r="CA11" s="238" t="s">
        <v>45</v>
      </c>
      <c r="CB11" s="238" t="s">
        <v>109</v>
      </c>
      <c r="CD11" s="238">
        <v>9</v>
      </c>
      <c r="CE11" s="7" t="s">
        <v>119</v>
      </c>
      <c r="CF11" s="7" t="s">
        <v>119</v>
      </c>
      <c r="CG11" s="7" t="s">
        <v>153</v>
      </c>
      <c r="CH11" s="7" t="s">
        <v>181</v>
      </c>
    </row>
    <row r="12" spans="1:86">
      <c r="A12" s="1" t="s">
        <v>3</v>
      </c>
      <c r="B12" s="1">
        <f xml:space="preserve"> SEARCH("|",C9, B11+1)</f>
        <v>127</v>
      </c>
      <c r="BL12" s="238" t="str">
        <v>g</v>
      </c>
      <c r="BM12" s="238" t="str">
        <v>e</v>
      </c>
      <c r="BN12" s="239" t="str">
        <v>ㄍ</v>
      </c>
      <c r="BO12" s="238"/>
      <c r="BP12" s="238"/>
      <c r="BR12" s="238">
        <v>10</v>
      </c>
      <c r="BS12" s="238" t="s">
        <v>133</v>
      </c>
      <c r="BT12" s="238" t="s">
        <v>133</v>
      </c>
      <c r="BU12" s="238" t="s">
        <v>180</v>
      </c>
      <c r="BV12" s="238" t="s">
        <v>96</v>
      </c>
      <c r="BX12" s="238">
        <v>10</v>
      </c>
      <c r="BY12" s="238" t="s">
        <v>183</v>
      </c>
      <c r="BZ12" s="238" t="s">
        <v>115</v>
      </c>
      <c r="CA12" s="238" t="s">
        <v>225</v>
      </c>
      <c r="CB12" s="238" t="s">
        <v>182</v>
      </c>
    </row>
    <row r="13" spans="1:86" outlineLevel="1">
      <c r="BL13" s="238" t="str">
        <v>k</v>
      </c>
      <c r="BM13" s="238" t="str">
        <v>d</v>
      </c>
      <c r="BN13" s="238" t="str">
        <v>ㄎ</v>
      </c>
      <c r="BO13" s="238"/>
      <c r="BP13" s="238"/>
      <c r="BR13" s="238">
        <v>11</v>
      </c>
      <c r="BS13" s="238" t="s">
        <v>511</v>
      </c>
      <c r="BT13" s="238" t="s">
        <v>118</v>
      </c>
      <c r="BU13" s="238" t="s">
        <v>185</v>
      </c>
      <c r="BV13" s="238" t="s">
        <v>132</v>
      </c>
      <c r="BX13" s="238">
        <v>11</v>
      </c>
      <c r="BY13" s="238" t="s">
        <v>519</v>
      </c>
      <c r="BZ13" s="238" t="s">
        <v>70</v>
      </c>
      <c r="CA13" s="238" t="s">
        <v>38</v>
      </c>
      <c r="CB13" s="238" t="s">
        <v>173</v>
      </c>
    </row>
    <row r="14" spans="1:86" outlineLevel="1">
      <c r="C14" s="1" t="str">
        <f xml:space="preserve"> MID(C9, B10+1,  B11-B10-1)</f>
        <v>BbpmdtnlGgkŋZzcsJjCShaiwueOəIUdfqrvxyMGNY@AWHRFQV7325841L&amp;*</v>
      </c>
      <c r="BL14" s="238" t="str">
        <v>ŋ</v>
      </c>
      <c r="BM14" s="238" t="str">
        <v>G</v>
      </c>
      <c r="BN14" s="238" t="str">
        <v>ㄫ</v>
      </c>
      <c r="BO14" s="238"/>
      <c r="BP14" s="238"/>
      <c r="BR14" s="238">
        <v>12</v>
      </c>
      <c r="BS14" s="238" t="s">
        <v>447</v>
      </c>
      <c r="BT14" s="238" t="s">
        <v>217</v>
      </c>
      <c r="BU14" s="238" t="s">
        <v>115</v>
      </c>
      <c r="BV14" s="238" t="s">
        <v>158</v>
      </c>
      <c r="BX14" s="238">
        <v>12</v>
      </c>
      <c r="BY14" s="238" t="s">
        <v>520</v>
      </c>
      <c r="BZ14" s="238" t="s">
        <v>114</v>
      </c>
      <c r="CA14" s="238" t="s">
        <v>193</v>
      </c>
      <c r="CB14" s="238" t="s">
        <v>99</v>
      </c>
    </row>
    <row r="15" spans="1:86" outlineLevel="1">
      <c r="C15" s="1" t="str">
        <f xml:space="preserve"> MID(C9, B11+1,  B12-B11-1)</f>
        <v>!1qa2wsxEedGYyhnRrfvc8uKj,ik9l*UJ&lt;I(Lm/pM0;Oobtgz53467][N.-</v>
      </c>
      <c r="BL15" s="238" t="str">
        <v>Z</v>
      </c>
      <c r="BM15" s="238" t="str">
        <v>Y</v>
      </c>
      <c r="BN15" s="238" t="str">
        <v>ㆡ</v>
      </c>
      <c r="BO15" s="238"/>
      <c r="BP15" s="238"/>
      <c r="BR15" s="238">
        <v>13</v>
      </c>
      <c r="BS15" s="238" t="s">
        <v>187</v>
      </c>
      <c r="BT15" s="238" t="s">
        <v>187</v>
      </c>
      <c r="BU15" s="238" t="s">
        <v>72</v>
      </c>
      <c r="BV15" s="238" t="s">
        <v>84</v>
      </c>
      <c r="BX15" s="238">
        <v>13</v>
      </c>
      <c r="BY15" s="238" t="s">
        <v>521</v>
      </c>
      <c r="BZ15" s="238" t="s">
        <v>67</v>
      </c>
      <c r="CA15" s="238" t="s">
        <v>97</v>
      </c>
      <c r="CB15" s="238" t="s">
        <v>136</v>
      </c>
    </row>
    <row r="16" spans="1:86" outlineLevel="1">
      <c r="BL16" s="238" t="str">
        <v>z</v>
      </c>
      <c r="BM16" s="238" t="str">
        <v>y</v>
      </c>
      <c r="BN16" s="239" t="str">
        <v>ㄗ</v>
      </c>
      <c r="BO16" s="238"/>
      <c r="BP16" s="238"/>
      <c r="BR16" s="238">
        <v>14</v>
      </c>
      <c r="BS16" s="238" t="s">
        <v>512</v>
      </c>
      <c r="BT16" s="238" t="s">
        <v>102</v>
      </c>
      <c r="BU16" s="238" t="s">
        <v>197</v>
      </c>
      <c r="BV16" s="238" t="s">
        <v>101</v>
      </c>
      <c r="BX16" s="238">
        <v>14</v>
      </c>
      <c r="BY16" s="238" t="s">
        <v>522</v>
      </c>
      <c r="BZ16" s="238" t="s">
        <v>151</v>
      </c>
      <c r="CA16" s="238" t="s">
        <v>102</v>
      </c>
      <c r="CB16" s="238" t="s">
        <v>165</v>
      </c>
    </row>
    <row r="17" spans="1:80" outlineLevel="1">
      <c r="C17" s="3">
        <f xml:space="preserve"> COLUMN() -2</f>
        <v>1</v>
      </c>
      <c r="D17" s="3">
        <f t="shared" ref="D17:BJ17" si="2" xml:space="preserve"> COLUMN() -2</f>
        <v>2</v>
      </c>
      <c r="E17" s="3">
        <f t="shared" si="2"/>
        <v>3</v>
      </c>
      <c r="F17" s="3">
        <f t="shared" si="2"/>
        <v>4</v>
      </c>
      <c r="G17" s="3">
        <f t="shared" si="2"/>
        <v>5</v>
      </c>
      <c r="H17" s="3">
        <f t="shared" si="2"/>
        <v>6</v>
      </c>
      <c r="I17" s="3">
        <f t="shared" si="2"/>
        <v>7</v>
      </c>
      <c r="J17" s="3">
        <f t="shared" si="2"/>
        <v>8</v>
      </c>
      <c r="K17" s="3">
        <f t="shared" si="2"/>
        <v>9</v>
      </c>
      <c r="L17" s="3">
        <f t="shared" si="2"/>
        <v>10</v>
      </c>
      <c r="M17" s="3">
        <f t="shared" si="2"/>
        <v>11</v>
      </c>
      <c r="N17" s="3">
        <f t="shared" si="2"/>
        <v>12</v>
      </c>
      <c r="O17" s="3">
        <f t="shared" si="2"/>
        <v>13</v>
      </c>
      <c r="P17" s="3">
        <f t="shared" si="2"/>
        <v>14</v>
      </c>
      <c r="Q17" s="3">
        <f t="shared" si="2"/>
        <v>15</v>
      </c>
      <c r="R17" s="3">
        <f t="shared" si="2"/>
        <v>16</v>
      </c>
      <c r="S17" s="3">
        <f t="shared" si="2"/>
        <v>17</v>
      </c>
      <c r="T17" s="3">
        <f t="shared" si="2"/>
        <v>18</v>
      </c>
      <c r="U17" s="3">
        <f t="shared" si="2"/>
        <v>19</v>
      </c>
      <c r="V17" s="3">
        <f t="shared" si="2"/>
        <v>20</v>
      </c>
      <c r="W17" s="3">
        <f t="shared" si="2"/>
        <v>21</v>
      </c>
      <c r="X17" s="3">
        <f t="shared" si="2"/>
        <v>22</v>
      </c>
      <c r="Y17" s="3">
        <f t="shared" si="2"/>
        <v>23</v>
      </c>
      <c r="Z17" s="3">
        <f t="shared" si="2"/>
        <v>24</v>
      </c>
      <c r="AA17" s="3">
        <f t="shared" si="2"/>
        <v>25</v>
      </c>
      <c r="AB17" s="3">
        <f t="shared" si="2"/>
        <v>26</v>
      </c>
      <c r="AC17" s="3">
        <f t="shared" si="2"/>
        <v>27</v>
      </c>
      <c r="AD17" s="3">
        <f t="shared" si="2"/>
        <v>28</v>
      </c>
      <c r="AE17" s="3">
        <f t="shared" si="2"/>
        <v>29</v>
      </c>
      <c r="AF17" s="3">
        <f t="shared" si="2"/>
        <v>30</v>
      </c>
      <c r="AG17" s="3">
        <f t="shared" si="2"/>
        <v>31</v>
      </c>
      <c r="AH17" s="3">
        <f t="shared" si="2"/>
        <v>32</v>
      </c>
      <c r="AI17" s="3">
        <f t="shared" si="2"/>
        <v>33</v>
      </c>
      <c r="AJ17" s="3">
        <f t="shared" si="2"/>
        <v>34</v>
      </c>
      <c r="AK17" s="3">
        <f t="shared" si="2"/>
        <v>35</v>
      </c>
      <c r="AL17" s="3">
        <f t="shared" si="2"/>
        <v>36</v>
      </c>
      <c r="AM17" s="3">
        <f t="shared" si="2"/>
        <v>37</v>
      </c>
      <c r="AN17" s="3">
        <f t="shared" si="2"/>
        <v>38</v>
      </c>
      <c r="AO17" s="3">
        <f t="shared" si="2"/>
        <v>39</v>
      </c>
      <c r="AP17" s="3">
        <f t="shared" si="2"/>
        <v>40</v>
      </c>
      <c r="AQ17" s="3">
        <f t="shared" si="2"/>
        <v>41</v>
      </c>
      <c r="AR17" s="3">
        <f t="shared" si="2"/>
        <v>42</v>
      </c>
      <c r="AS17" s="3">
        <f t="shared" si="2"/>
        <v>43</v>
      </c>
      <c r="AT17" s="3">
        <f t="shared" si="2"/>
        <v>44</v>
      </c>
      <c r="AU17" s="3">
        <f t="shared" si="2"/>
        <v>45</v>
      </c>
      <c r="AV17" s="3">
        <f t="shared" si="2"/>
        <v>46</v>
      </c>
      <c r="AW17" s="3">
        <f t="shared" si="2"/>
        <v>47</v>
      </c>
      <c r="AX17" s="3">
        <f t="shared" si="2"/>
        <v>48</v>
      </c>
      <c r="AY17" s="3">
        <f t="shared" si="2"/>
        <v>49</v>
      </c>
      <c r="AZ17" s="3">
        <f t="shared" si="2"/>
        <v>50</v>
      </c>
      <c r="BA17" s="3">
        <f t="shared" si="2"/>
        <v>51</v>
      </c>
      <c r="BB17" s="3">
        <f t="shared" si="2"/>
        <v>52</v>
      </c>
      <c r="BC17" s="3">
        <f t="shared" si="2"/>
        <v>53</v>
      </c>
      <c r="BD17" s="3">
        <f t="shared" si="2"/>
        <v>54</v>
      </c>
      <c r="BE17" s="3">
        <f t="shared" si="2"/>
        <v>55</v>
      </c>
      <c r="BF17" s="3">
        <f t="shared" si="2"/>
        <v>56</v>
      </c>
      <c r="BG17" s="3">
        <f t="shared" si="2"/>
        <v>57</v>
      </c>
      <c r="BH17" s="3">
        <f t="shared" si="2"/>
        <v>58</v>
      </c>
      <c r="BI17" s="3">
        <f t="shared" si="2"/>
        <v>59</v>
      </c>
      <c r="BJ17" s="3">
        <f t="shared" si="2"/>
        <v>60</v>
      </c>
      <c r="BL17" s="238" t="str">
        <v>c</v>
      </c>
      <c r="BM17" s="238" t="str">
        <v>h</v>
      </c>
      <c r="BN17" s="239" t="str">
        <v>ㄘ</v>
      </c>
      <c r="BO17" s="238"/>
      <c r="BP17" s="238"/>
      <c r="BR17" s="238">
        <v>15</v>
      </c>
      <c r="BS17" s="238" t="s">
        <v>513</v>
      </c>
      <c r="BT17" s="238" t="s">
        <v>139</v>
      </c>
      <c r="BU17" s="238" t="s">
        <v>170</v>
      </c>
      <c r="BV17" s="238" t="s">
        <v>138</v>
      </c>
      <c r="BX17" s="238">
        <v>15</v>
      </c>
      <c r="BY17" s="238" t="s">
        <v>59</v>
      </c>
      <c r="BZ17" s="238" t="s">
        <v>74</v>
      </c>
      <c r="CA17" s="238" t="s">
        <v>226</v>
      </c>
      <c r="CB17" s="238" t="s">
        <v>58</v>
      </c>
    </row>
    <row r="18" spans="1:80" s="237" customFormat="1" outlineLevel="1">
      <c r="A18" s="244" t="s">
        <v>4</v>
      </c>
      <c r="B18" s="1"/>
      <c r="C18" s="4" t="str">
        <f xml:space="preserve"> MID( $C$14,C$17,1)</f>
        <v>B</v>
      </c>
      <c r="D18" s="4" t="str">
        <f t="shared" ref="D18:BJ18" si="3" xml:space="preserve"> MID( $C$14,D$17,1)</f>
        <v>b</v>
      </c>
      <c r="E18" s="4" t="str">
        <f t="shared" si="3"/>
        <v>p</v>
      </c>
      <c r="F18" s="4" t="str">
        <f t="shared" si="3"/>
        <v>m</v>
      </c>
      <c r="G18" s="4" t="str">
        <f t="shared" si="3"/>
        <v>d</v>
      </c>
      <c r="H18" s="4" t="str">
        <f t="shared" si="3"/>
        <v>t</v>
      </c>
      <c r="I18" s="4" t="str">
        <f t="shared" si="3"/>
        <v>n</v>
      </c>
      <c r="J18" s="4" t="str">
        <f t="shared" si="3"/>
        <v>l</v>
      </c>
      <c r="K18" s="4" t="str">
        <f t="shared" si="3"/>
        <v>G</v>
      </c>
      <c r="L18" s="4" t="str">
        <f t="shared" si="3"/>
        <v>g</v>
      </c>
      <c r="M18" s="4" t="str">
        <f t="shared" si="3"/>
        <v>k</v>
      </c>
      <c r="N18" s="4" t="str">
        <f t="shared" si="3"/>
        <v>ŋ</v>
      </c>
      <c r="O18" s="4" t="str">
        <f t="shared" si="3"/>
        <v>Z</v>
      </c>
      <c r="P18" s="4" t="str">
        <f t="shared" si="3"/>
        <v>z</v>
      </c>
      <c r="Q18" s="4" t="str">
        <f t="shared" si="3"/>
        <v>c</v>
      </c>
      <c r="R18" s="4" t="str">
        <f t="shared" si="3"/>
        <v>s</v>
      </c>
      <c r="S18" s="4" t="str">
        <f t="shared" si="3"/>
        <v>J</v>
      </c>
      <c r="T18" s="4" t="str">
        <f t="shared" si="3"/>
        <v>j</v>
      </c>
      <c r="U18" s="4" t="str">
        <f t="shared" si="3"/>
        <v>C</v>
      </c>
      <c r="V18" s="4" t="str">
        <f t="shared" si="3"/>
        <v>S</v>
      </c>
      <c r="W18" s="4" t="str">
        <f t="shared" si="3"/>
        <v>h</v>
      </c>
      <c r="X18" s="4" t="str">
        <f t="shared" si="3"/>
        <v>a</v>
      </c>
      <c r="Y18" s="4" t="str">
        <f t="shared" si="3"/>
        <v>i</v>
      </c>
      <c r="Z18" s="4" t="str">
        <f t="shared" si="3"/>
        <v>w</v>
      </c>
      <c r="AA18" s="4" t="str">
        <f t="shared" si="3"/>
        <v>u</v>
      </c>
      <c r="AB18" s="4" t="str">
        <f t="shared" si="3"/>
        <v>e</v>
      </c>
      <c r="AC18" s="4" t="str">
        <f t="shared" si="3"/>
        <v>O</v>
      </c>
      <c r="AD18" s="4" t="str">
        <f t="shared" si="3"/>
        <v>ə</v>
      </c>
      <c r="AE18" s="4" t="str">
        <f t="shared" si="3"/>
        <v>I</v>
      </c>
      <c r="AF18" s="4" t="str">
        <f t="shared" si="3"/>
        <v>U</v>
      </c>
      <c r="AG18" s="4" t="str">
        <f t="shared" si="3"/>
        <v>d</v>
      </c>
      <c r="AH18" s="4" t="str">
        <f t="shared" si="3"/>
        <v>f</v>
      </c>
      <c r="AI18" s="4" t="str">
        <f t="shared" si="3"/>
        <v>q</v>
      </c>
      <c r="AJ18" s="4" t="str">
        <f t="shared" si="3"/>
        <v>r</v>
      </c>
      <c r="AK18" s="4" t="str">
        <f t="shared" si="3"/>
        <v>v</v>
      </c>
      <c r="AL18" s="4" t="str">
        <f t="shared" si="3"/>
        <v>x</v>
      </c>
      <c r="AM18" s="4" t="str">
        <f t="shared" si="3"/>
        <v>y</v>
      </c>
      <c r="AN18" s="4" t="str">
        <f t="shared" si="3"/>
        <v>M</v>
      </c>
      <c r="AO18" s="4" t="str">
        <f t="shared" si="3"/>
        <v>G</v>
      </c>
      <c r="AP18" s="4" t="str">
        <f t="shared" si="3"/>
        <v>N</v>
      </c>
      <c r="AQ18" s="4" t="str">
        <f t="shared" si="3"/>
        <v>Y</v>
      </c>
      <c r="AR18" s="4" t="str">
        <f t="shared" si="3"/>
        <v>@</v>
      </c>
      <c r="AS18" s="4" t="str">
        <f t="shared" si="3"/>
        <v>A</v>
      </c>
      <c r="AT18" s="4" t="str">
        <f t="shared" si="3"/>
        <v>W</v>
      </c>
      <c r="AU18" s="4" t="str">
        <f t="shared" si="3"/>
        <v>H</v>
      </c>
      <c r="AV18" s="4" t="str">
        <f t="shared" si="3"/>
        <v>R</v>
      </c>
      <c r="AW18" s="4" t="str">
        <f t="shared" si="3"/>
        <v>F</v>
      </c>
      <c r="AX18" s="4" t="str">
        <f t="shared" si="3"/>
        <v>Q</v>
      </c>
      <c r="AY18" s="4" t="str">
        <f t="shared" si="3"/>
        <v>V</v>
      </c>
      <c r="AZ18" s="4" t="str">
        <f t="shared" si="3"/>
        <v>7</v>
      </c>
      <c r="BA18" s="4" t="str">
        <f t="shared" si="3"/>
        <v>3</v>
      </c>
      <c r="BB18" s="4" t="str">
        <f t="shared" si="3"/>
        <v>2</v>
      </c>
      <c r="BC18" s="4" t="str">
        <f t="shared" si="3"/>
        <v>5</v>
      </c>
      <c r="BD18" s="4" t="str">
        <f t="shared" si="3"/>
        <v>8</v>
      </c>
      <c r="BE18" s="4" t="str">
        <f t="shared" si="3"/>
        <v>4</v>
      </c>
      <c r="BF18" s="4" t="str">
        <f t="shared" si="3"/>
        <v>1</v>
      </c>
      <c r="BG18" s="4" t="str">
        <f t="shared" si="3"/>
        <v>L</v>
      </c>
      <c r="BH18" s="4" t="str">
        <f t="shared" si="3"/>
        <v>&amp;</v>
      </c>
      <c r="BI18" s="4" t="str">
        <f t="shared" si="3"/>
        <v>*</v>
      </c>
      <c r="BJ18" s="4" t="str">
        <f t="shared" si="3"/>
        <v/>
      </c>
      <c r="BK18" s="1"/>
      <c r="BL18" s="238" t="str">
        <v>s</v>
      </c>
      <c r="BM18" s="238" t="str">
        <v>n</v>
      </c>
      <c r="BN18" s="239" t="str">
        <v>ㄙ</v>
      </c>
      <c r="BO18" s="238"/>
      <c r="BP18" s="238"/>
      <c r="BR18" s="238">
        <v>16</v>
      </c>
      <c r="BS18" s="238" t="s">
        <v>176</v>
      </c>
      <c r="BT18" s="238" t="s">
        <v>176</v>
      </c>
      <c r="BU18" s="238" t="s">
        <v>189</v>
      </c>
      <c r="BV18" s="238" t="s">
        <v>175</v>
      </c>
      <c r="BX18" s="238">
        <v>16</v>
      </c>
      <c r="BY18" s="238" t="s">
        <v>145</v>
      </c>
      <c r="BZ18" s="238" t="s">
        <v>73</v>
      </c>
      <c r="CA18" s="238" t="s">
        <v>168</v>
      </c>
      <c r="CB18" s="238" t="s">
        <v>144</v>
      </c>
    </row>
    <row r="19" spans="1:80" s="237" customFormat="1" outlineLevel="1">
      <c r="A19" s="245" t="s">
        <v>64</v>
      </c>
      <c r="B19" s="246"/>
      <c r="C19" s="247" t="str">
        <f xml:space="preserve"> MID($C$15,C$17,1)</f>
        <v>!</v>
      </c>
      <c r="D19" s="247" t="str">
        <f t="shared" ref="D19:BJ19" si="4" xml:space="preserve"> MID($C$15,D$17,1)</f>
        <v>1</v>
      </c>
      <c r="E19" s="247" t="str">
        <f t="shared" si="4"/>
        <v>q</v>
      </c>
      <c r="F19" s="247" t="str">
        <f t="shared" si="4"/>
        <v>a</v>
      </c>
      <c r="G19" s="247" t="str">
        <f t="shared" si="4"/>
        <v>2</v>
      </c>
      <c r="H19" s="247" t="str">
        <f t="shared" si="4"/>
        <v>w</v>
      </c>
      <c r="I19" s="247" t="str">
        <f t="shared" si="4"/>
        <v>s</v>
      </c>
      <c r="J19" s="247" t="str">
        <f t="shared" si="4"/>
        <v>x</v>
      </c>
      <c r="K19" s="247" t="str">
        <f t="shared" si="4"/>
        <v>E</v>
      </c>
      <c r="L19" s="247" t="str">
        <f t="shared" si="4"/>
        <v>e</v>
      </c>
      <c r="M19" s="247" t="str">
        <f t="shared" si="4"/>
        <v>d</v>
      </c>
      <c r="N19" s="247" t="str">
        <f t="shared" si="4"/>
        <v>G</v>
      </c>
      <c r="O19" s="247" t="str">
        <f t="shared" si="4"/>
        <v>Y</v>
      </c>
      <c r="P19" s="247" t="str">
        <f t="shared" si="4"/>
        <v>y</v>
      </c>
      <c r="Q19" s="247" t="str">
        <f t="shared" si="4"/>
        <v>h</v>
      </c>
      <c r="R19" s="247" t="str">
        <f t="shared" si="4"/>
        <v>n</v>
      </c>
      <c r="S19" s="247" t="str">
        <f t="shared" si="4"/>
        <v>R</v>
      </c>
      <c r="T19" s="247" t="str">
        <f t="shared" si="4"/>
        <v>r</v>
      </c>
      <c r="U19" s="247" t="str">
        <f t="shared" si="4"/>
        <v>f</v>
      </c>
      <c r="V19" s="247" t="str">
        <f t="shared" si="4"/>
        <v>v</v>
      </c>
      <c r="W19" s="247" t="str">
        <f t="shared" si="4"/>
        <v>c</v>
      </c>
      <c r="X19" s="247" t="str">
        <f t="shared" si="4"/>
        <v>8</v>
      </c>
      <c r="Y19" s="247" t="str">
        <f t="shared" si="4"/>
        <v>u</v>
      </c>
      <c r="Z19" s="247" t="str">
        <f t="shared" si="4"/>
        <v>K</v>
      </c>
      <c r="AA19" s="247" t="str">
        <f t="shared" si="4"/>
        <v>j</v>
      </c>
      <c r="AB19" s="247" t="str">
        <f t="shared" si="4"/>
        <v>,</v>
      </c>
      <c r="AC19" s="247" t="str">
        <f t="shared" si="4"/>
        <v>i</v>
      </c>
      <c r="AD19" s="247" t="str">
        <f t="shared" si="4"/>
        <v>k</v>
      </c>
      <c r="AE19" s="247" t="str">
        <f t="shared" si="4"/>
        <v>9</v>
      </c>
      <c r="AF19" s="247" t="str">
        <f t="shared" si="4"/>
        <v>l</v>
      </c>
      <c r="AG19" s="247" t="str">
        <f t="shared" si="4"/>
        <v>*</v>
      </c>
      <c r="AH19" s="247" t="str">
        <f t="shared" si="4"/>
        <v>U</v>
      </c>
      <c r="AI19" s="247" t="str">
        <f t="shared" si="4"/>
        <v>J</v>
      </c>
      <c r="AJ19" s="247" t="str">
        <f t="shared" si="4"/>
        <v>&lt;</v>
      </c>
      <c r="AK19" s="247" t="str">
        <f t="shared" si="4"/>
        <v>I</v>
      </c>
      <c r="AL19" s="247" t="str">
        <f t="shared" si="4"/>
        <v>(</v>
      </c>
      <c r="AM19" s="247" t="str">
        <f t="shared" si="4"/>
        <v>L</v>
      </c>
      <c r="AN19" s="247" t="str">
        <f t="shared" si="4"/>
        <v>m</v>
      </c>
      <c r="AO19" s="247" t="str">
        <f t="shared" si="4"/>
        <v>/</v>
      </c>
      <c r="AP19" s="247" t="str">
        <f t="shared" si="4"/>
        <v>p</v>
      </c>
      <c r="AQ19" s="247" t="str">
        <f t="shared" si="4"/>
        <v>M</v>
      </c>
      <c r="AR19" s="247" t="str">
        <f t="shared" si="4"/>
        <v>0</v>
      </c>
      <c r="AS19" s="247" t="str">
        <f t="shared" si="4"/>
        <v>;</v>
      </c>
      <c r="AT19" s="247" t="str">
        <f t="shared" si="4"/>
        <v>O</v>
      </c>
      <c r="AU19" s="247" t="str">
        <f t="shared" si="4"/>
        <v>o</v>
      </c>
      <c r="AV19" s="247" t="str">
        <f t="shared" si="4"/>
        <v>b</v>
      </c>
      <c r="AW19" s="247" t="str">
        <f t="shared" si="4"/>
        <v>t</v>
      </c>
      <c r="AX19" s="247" t="str">
        <f t="shared" si="4"/>
        <v>g</v>
      </c>
      <c r="AY19" s="247" t="str">
        <f t="shared" si="4"/>
        <v>z</v>
      </c>
      <c r="AZ19" s="247" t="str">
        <f t="shared" si="4"/>
        <v>5</v>
      </c>
      <c r="BA19" s="247" t="str">
        <f t="shared" si="4"/>
        <v>3</v>
      </c>
      <c r="BB19" s="247" t="str">
        <f t="shared" si="4"/>
        <v>4</v>
      </c>
      <c r="BC19" s="247" t="str">
        <f t="shared" si="4"/>
        <v>6</v>
      </c>
      <c r="BD19" s="247" t="str">
        <f t="shared" si="4"/>
        <v>7</v>
      </c>
      <c r="BE19" s="247" t="str">
        <f t="shared" si="4"/>
        <v>]</v>
      </c>
      <c r="BF19" s="247" t="str">
        <f t="shared" si="4"/>
        <v>[</v>
      </c>
      <c r="BG19" s="247" t="str">
        <f t="shared" si="4"/>
        <v>N</v>
      </c>
      <c r="BH19" s="247" t="str">
        <f t="shared" si="4"/>
        <v>.</v>
      </c>
      <c r="BI19" s="247" t="str">
        <f t="shared" si="4"/>
        <v>-</v>
      </c>
      <c r="BJ19" s="247" t="str">
        <f t="shared" si="4"/>
        <v/>
      </c>
      <c r="BK19" s="1"/>
      <c r="BL19" s="238" t="str">
        <v>J</v>
      </c>
      <c r="BM19" s="238" t="str">
        <v>R</v>
      </c>
      <c r="BN19" s="239" t="str">
        <v>ㆢ</v>
      </c>
      <c r="BO19" s="238"/>
      <c r="BP19" s="238"/>
      <c r="BR19" s="238">
        <v>17</v>
      </c>
      <c r="BS19" s="238" t="s">
        <v>170</v>
      </c>
      <c r="BT19" s="238" t="s">
        <v>170</v>
      </c>
      <c r="BU19" s="238" t="s">
        <v>139</v>
      </c>
      <c r="BV19" s="238" t="s">
        <v>169</v>
      </c>
      <c r="BX19" s="238">
        <v>17</v>
      </c>
      <c r="BY19" s="238" t="s">
        <v>161</v>
      </c>
      <c r="BZ19" s="238" t="s">
        <v>72</v>
      </c>
      <c r="CA19" s="238" t="s">
        <v>154</v>
      </c>
      <c r="CB19" s="238" t="s">
        <v>160</v>
      </c>
    </row>
    <row r="20" spans="1:80" s="237" customFormat="1" outlineLevel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238" t="str">
        <v>j</v>
      </c>
      <c r="BM20" s="238" t="str">
        <v>r</v>
      </c>
      <c r="BN20" s="239" t="str">
        <v>ㄐ</v>
      </c>
      <c r="BO20" s="238"/>
      <c r="BP20" s="238"/>
      <c r="BR20" s="238">
        <v>18</v>
      </c>
      <c r="BS20" s="238" t="s">
        <v>514</v>
      </c>
      <c r="BT20" s="238" t="s">
        <v>117</v>
      </c>
      <c r="BU20" s="238" t="s">
        <v>70</v>
      </c>
      <c r="BV20" s="238" t="s">
        <v>82</v>
      </c>
      <c r="BX20" s="238">
        <v>18</v>
      </c>
      <c r="BY20" s="238" t="s">
        <v>61</v>
      </c>
      <c r="BZ20" s="238" t="s">
        <v>218</v>
      </c>
      <c r="CA20" s="238" t="s">
        <v>227</v>
      </c>
      <c r="CB20" s="238" t="s">
        <v>60</v>
      </c>
    </row>
    <row r="21" spans="1:80" s="237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238" t="str">
        <v>C</v>
      </c>
      <c r="BM21" s="238" t="str">
        <v>f</v>
      </c>
      <c r="BN21" s="239" t="str">
        <v>ㄑ</v>
      </c>
      <c r="BO21" s="238"/>
      <c r="BP21" s="238"/>
      <c r="BR21" s="238">
        <v>19</v>
      </c>
      <c r="BS21" s="238" t="s">
        <v>515</v>
      </c>
      <c r="BT21" s="238" t="s">
        <v>148</v>
      </c>
      <c r="BU21" s="238" t="s">
        <v>192</v>
      </c>
      <c r="BV21" s="238" t="s">
        <v>98</v>
      </c>
      <c r="BX21" s="238">
        <v>19</v>
      </c>
      <c r="BY21" s="238" t="s">
        <v>147</v>
      </c>
      <c r="BZ21" s="238" t="s">
        <v>111</v>
      </c>
      <c r="CA21" s="238" t="s">
        <v>228</v>
      </c>
      <c r="CB21" s="238" t="s">
        <v>146</v>
      </c>
    </row>
    <row r="22" spans="1:80" s="237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238" t="str">
        <v>S</v>
      </c>
      <c r="BM22" s="238" t="str">
        <v>v</v>
      </c>
      <c r="BN22" s="239" t="str">
        <v>ㄒ</v>
      </c>
      <c r="BO22" s="238"/>
      <c r="BP22" s="238"/>
      <c r="BR22" s="238">
        <v>20</v>
      </c>
      <c r="BS22" s="238" t="s">
        <v>516</v>
      </c>
      <c r="BT22" s="238" t="s">
        <v>150</v>
      </c>
      <c r="BU22" s="238" t="s">
        <v>186</v>
      </c>
      <c r="BV22" s="238" t="s">
        <v>134</v>
      </c>
      <c r="BX22" s="238">
        <v>20</v>
      </c>
      <c r="BY22" s="238" t="s">
        <v>91</v>
      </c>
      <c r="BZ22" s="238" t="s">
        <v>68</v>
      </c>
      <c r="CA22" s="238" t="s">
        <v>75</v>
      </c>
      <c r="CB22" s="238" t="s">
        <v>90</v>
      </c>
    </row>
    <row r="23" spans="1:80" s="237" customFormat="1">
      <c r="A23" s="1" t="s">
        <v>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238" t="str">
        <v>h</v>
      </c>
      <c r="BM23" s="238" t="str">
        <v>c</v>
      </c>
      <c r="BN23" s="239" t="str">
        <v>ㄏ</v>
      </c>
      <c r="BO23" s="238"/>
      <c r="BP23" s="238"/>
      <c r="BR23" s="238">
        <v>21</v>
      </c>
      <c r="BS23" s="238" t="s">
        <v>517</v>
      </c>
      <c r="BT23" s="238" t="s">
        <v>112</v>
      </c>
      <c r="BU23" s="238" t="s">
        <v>194</v>
      </c>
      <c r="BV23" s="238" t="s">
        <v>171</v>
      </c>
      <c r="BX23" s="238">
        <v>21</v>
      </c>
      <c r="BY23" s="238" t="s">
        <v>108</v>
      </c>
      <c r="BZ23" s="238" t="s">
        <v>116</v>
      </c>
      <c r="CA23" s="238" t="s">
        <v>190</v>
      </c>
      <c r="CB23" s="238" t="s">
        <v>107</v>
      </c>
    </row>
    <row r="24" spans="1:80" s="237" customFormat="1">
      <c r="A24" s="1"/>
      <c r="B24" s="1"/>
      <c r="C24" s="1" t="str">
        <f xml:space="preserve"> "- xlit|!1qa2wsxEedGYyhnRrfvc8uKj,ik9l*UJ&lt;I(Lm/pM0;Oobtgz53467][N.-|ㆠㄅㄆㄇㄉㄊㄋㄌㆣㄍㄎㄫㆡㄗㄘㄙㆢㄐㄑㄒㄏㄚㄧㆨㄨㆤㆦㄜㄞㄠㆩㆪㆫㆥㆧㆮㆯㆬㆭㄣㆰㄢㄤㆱㆲㆴㆵㆻㆷ˫˪ˋˊ八四一ㄥ入ñ|"</f>
        <v>- xlit|!1qa2wsxEedGYyhnRrfvc8uKj,ik9l*UJ&lt;I(Lm/pM0;Oobtgz53467][N.-|ㆠㄅㄆㄇㄉㄊㄋㄌㆣㄍㄎㄫㆡㄗㄘㄙㆢㄐㄑㄒㄏㄚㄧㆨㄨㆤㆦㄜㄞㄠㆩㆪㆫㆥㆧㆮㆯㆬㆭㄣㆰㄢㄤㆱㆲㆴㆵㆻㆷ˫˪ˋˊ八四一ㄥ入ñ|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238" t="str">
        <v>a</v>
      </c>
      <c r="BM24" s="238" t="str">
        <v>8</v>
      </c>
      <c r="BN24" s="239" t="str">
        <v>ㄚ</v>
      </c>
      <c r="BO24" s="238"/>
      <c r="BP24" s="238"/>
      <c r="BX24" s="238">
        <v>22</v>
      </c>
      <c r="BY24" s="238" t="s">
        <v>523</v>
      </c>
      <c r="BZ24" s="238" t="s">
        <v>185</v>
      </c>
      <c r="CA24" s="238" t="s">
        <v>229</v>
      </c>
      <c r="CB24" s="238" t="s">
        <v>39</v>
      </c>
    </row>
    <row r="25" spans="1:80" s="237" customFormat="1">
      <c r="A25" s="1" t="s">
        <v>1</v>
      </c>
      <c r="B25" s="1">
        <f xml:space="preserve"> SEARCH("|", C24)</f>
        <v>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238" t="str">
        <v>i</v>
      </c>
      <c r="BM25" s="238" t="str">
        <v>u</v>
      </c>
      <c r="BN25" s="239" t="str">
        <v>ㄧ</v>
      </c>
      <c r="BO25" s="238"/>
      <c r="BP25" s="238"/>
      <c r="BX25" s="238">
        <v>23</v>
      </c>
      <c r="BY25" s="238" t="s">
        <v>524</v>
      </c>
      <c r="BZ25" s="238" t="s">
        <v>186</v>
      </c>
      <c r="CA25" s="238" t="s">
        <v>73</v>
      </c>
      <c r="CB25" s="238" t="s">
        <v>86</v>
      </c>
    </row>
    <row r="26" spans="1:80" s="237" customFormat="1">
      <c r="A26" s="1" t="s">
        <v>2</v>
      </c>
      <c r="B26" s="1">
        <f xml:space="preserve"> SEARCH("|", C24, B25+1)</f>
        <v>67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238" t="str">
        <v>w</v>
      </c>
      <c r="BM26" s="238" t="str">
        <v>K</v>
      </c>
      <c r="BN26" s="239" t="str">
        <v>ㆨ</v>
      </c>
      <c r="BO26" s="238"/>
      <c r="BP26" s="238"/>
      <c r="BX26" s="238">
        <v>24</v>
      </c>
      <c r="BY26" s="238" t="s">
        <v>525</v>
      </c>
      <c r="BZ26" s="238" t="s">
        <v>191</v>
      </c>
      <c r="CA26" s="238" t="s">
        <v>117</v>
      </c>
      <c r="CB26" s="238" t="s">
        <v>122</v>
      </c>
    </row>
    <row r="27" spans="1:80" s="237" customFormat="1">
      <c r="A27" s="1" t="s">
        <v>3</v>
      </c>
      <c r="B27" s="1">
        <f xml:space="preserve"> SEARCH("|",C24, B26+1)</f>
        <v>127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238" t="str">
        <v>u</v>
      </c>
      <c r="BM27" s="238" t="str">
        <v>j</v>
      </c>
      <c r="BN27" s="238" t="str">
        <v>ㄨ</v>
      </c>
      <c r="BO27" s="238"/>
      <c r="BP27" s="238"/>
      <c r="BX27" s="238">
        <v>25</v>
      </c>
      <c r="BY27" s="238" t="s">
        <v>526</v>
      </c>
      <c r="BZ27" s="238" t="s">
        <v>192</v>
      </c>
      <c r="CA27" s="238" t="s">
        <v>230</v>
      </c>
      <c r="CB27" s="238" t="s">
        <v>162</v>
      </c>
    </row>
    <row r="28" spans="1:80" s="237" customFormat="1" outlineLevel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238" t="str">
        <v>e</v>
      </c>
      <c r="BM28" s="238" t="str">
        <v>,</v>
      </c>
      <c r="BN28" s="238" t="str">
        <v>ㆤ</v>
      </c>
      <c r="BO28" s="238"/>
      <c r="BP28" s="238"/>
      <c r="BX28" s="238">
        <v>26</v>
      </c>
      <c r="BY28" s="238" t="s">
        <v>527</v>
      </c>
      <c r="BZ28" s="238" t="s">
        <v>194</v>
      </c>
      <c r="CA28" s="238" t="s">
        <v>74</v>
      </c>
      <c r="CB28" s="238" t="s">
        <v>88</v>
      </c>
    </row>
    <row r="29" spans="1:80" s="237" customFormat="1" outlineLevel="1">
      <c r="A29" s="1"/>
      <c r="B29" s="1"/>
      <c r="C29" s="1" t="str">
        <f xml:space="preserve"> MID(C24, B25+1,  B26-B25-1)</f>
        <v>!1qa2wsxEedGYyhnRrfvc8uKj,ik9l*UJ&lt;I(Lm/pM0;Oobtgz53467][N.-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238" t="str">
        <v>O</v>
      </c>
      <c r="BM29" s="238" t="str">
        <v>i</v>
      </c>
      <c r="BN29" s="238" t="str">
        <v>ㆦ</v>
      </c>
      <c r="BO29" s="238"/>
      <c r="BP29" s="238"/>
      <c r="BX29" s="238">
        <v>27</v>
      </c>
      <c r="BY29" s="238" t="s">
        <v>528</v>
      </c>
      <c r="BZ29" s="238" t="s">
        <v>196</v>
      </c>
      <c r="CA29" s="238" t="s">
        <v>231</v>
      </c>
      <c r="CB29" s="238" t="s">
        <v>41</v>
      </c>
    </row>
    <row r="30" spans="1:80" s="237" customFormat="1" outlineLevel="1">
      <c r="A30" s="1"/>
      <c r="B30" s="1"/>
      <c r="C30" s="1" t="str">
        <f xml:space="preserve"> MID(C24, B26+1,  B27-B26-1)</f>
        <v>ㆠㄅㄆㄇㄉㄊㄋㄌㆣㄍㄎㄫㆡㄗㄘㄙㆢㄐㄑㄒㄏㄚㄧㆨㄨㆤㆦㄜㄞㄠㆩㆪㆫㆥㆧㆮㆯㆬㆭㄣㆰㄢㄤㆱㆲㆴㆵㆻㆷ˫˪ˋˊ八四一ㄥ入ñ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238" t="str">
        <v>ə</v>
      </c>
      <c r="BM30" s="238" t="str">
        <v>k</v>
      </c>
      <c r="BN30" s="238" t="str">
        <v>ㄜ</v>
      </c>
      <c r="BO30" s="238"/>
      <c r="BP30" s="238"/>
      <c r="BX30" s="238">
        <v>28</v>
      </c>
      <c r="BY30" s="238" t="s">
        <v>529</v>
      </c>
      <c r="BZ30" s="238" t="s">
        <v>197</v>
      </c>
      <c r="CA30" s="238" t="s">
        <v>119</v>
      </c>
      <c r="CB30" s="238" t="s">
        <v>126</v>
      </c>
    </row>
    <row r="31" spans="1:80" s="237" customFormat="1" outlineLevel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238" t="str">
        <v>I</v>
      </c>
      <c r="BM31" s="238" t="str">
        <v>9</v>
      </c>
      <c r="BN31" s="238" t="str">
        <v>ㄞ</v>
      </c>
      <c r="BO31" s="238"/>
      <c r="BP31" s="238"/>
    </row>
    <row r="32" spans="1:80" s="237" customFormat="1" outlineLevel="1">
      <c r="A32" s="1"/>
      <c r="B32" s="1"/>
      <c r="C32" s="3">
        <f xml:space="preserve"> COLUMN() -2</f>
        <v>1</v>
      </c>
      <c r="D32" s="3">
        <f t="shared" ref="D32:BJ32" si="5" xml:space="preserve"> COLUMN() -2</f>
        <v>2</v>
      </c>
      <c r="E32" s="3">
        <f t="shared" si="5"/>
        <v>3</v>
      </c>
      <c r="F32" s="3">
        <f t="shared" si="5"/>
        <v>4</v>
      </c>
      <c r="G32" s="3">
        <f t="shared" si="5"/>
        <v>5</v>
      </c>
      <c r="H32" s="3">
        <f t="shared" si="5"/>
        <v>6</v>
      </c>
      <c r="I32" s="3">
        <f t="shared" si="5"/>
        <v>7</v>
      </c>
      <c r="J32" s="3">
        <f t="shared" si="5"/>
        <v>8</v>
      </c>
      <c r="K32" s="3">
        <f t="shared" si="5"/>
        <v>9</v>
      </c>
      <c r="L32" s="3">
        <f t="shared" si="5"/>
        <v>10</v>
      </c>
      <c r="M32" s="3">
        <f t="shared" si="5"/>
        <v>11</v>
      </c>
      <c r="N32" s="3">
        <f t="shared" si="5"/>
        <v>12</v>
      </c>
      <c r="O32" s="3">
        <f t="shared" si="5"/>
        <v>13</v>
      </c>
      <c r="P32" s="3">
        <f t="shared" si="5"/>
        <v>14</v>
      </c>
      <c r="Q32" s="3">
        <f t="shared" si="5"/>
        <v>15</v>
      </c>
      <c r="R32" s="3">
        <f t="shared" si="5"/>
        <v>16</v>
      </c>
      <c r="S32" s="3">
        <f t="shared" si="5"/>
        <v>17</v>
      </c>
      <c r="T32" s="3">
        <f t="shared" si="5"/>
        <v>18</v>
      </c>
      <c r="U32" s="3">
        <f t="shared" si="5"/>
        <v>19</v>
      </c>
      <c r="V32" s="3">
        <f t="shared" si="5"/>
        <v>20</v>
      </c>
      <c r="W32" s="3">
        <f t="shared" si="5"/>
        <v>21</v>
      </c>
      <c r="X32" s="3">
        <f t="shared" si="5"/>
        <v>22</v>
      </c>
      <c r="Y32" s="3">
        <f t="shared" si="5"/>
        <v>23</v>
      </c>
      <c r="Z32" s="3">
        <f t="shared" si="5"/>
        <v>24</v>
      </c>
      <c r="AA32" s="3">
        <f t="shared" si="5"/>
        <v>25</v>
      </c>
      <c r="AB32" s="3">
        <f t="shared" si="5"/>
        <v>26</v>
      </c>
      <c r="AC32" s="3">
        <f t="shared" si="5"/>
        <v>27</v>
      </c>
      <c r="AD32" s="3">
        <f t="shared" si="5"/>
        <v>28</v>
      </c>
      <c r="AE32" s="3">
        <f t="shared" si="5"/>
        <v>29</v>
      </c>
      <c r="AF32" s="3">
        <f t="shared" si="5"/>
        <v>30</v>
      </c>
      <c r="AG32" s="3">
        <f t="shared" si="5"/>
        <v>31</v>
      </c>
      <c r="AH32" s="3">
        <f t="shared" si="5"/>
        <v>32</v>
      </c>
      <c r="AI32" s="3">
        <f t="shared" si="5"/>
        <v>33</v>
      </c>
      <c r="AJ32" s="3">
        <f t="shared" si="5"/>
        <v>34</v>
      </c>
      <c r="AK32" s="3">
        <f t="shared" si="5"/>
        <v>35</v>
      </c>
      <c r="AL32" s="3">
        <f t="shared" si="5"/>
        <v>36</v>
      </c>
      <c r="AM32" s="3">
        <f t="shared" si="5"/>
        <v>37</v>
      </c>
      <c r="AN32" s="3">
        <f t="shared" si="5"/>
        <v>38</v>
      </c>
      <c r="AO32" s="3">
        <f t="shared" si="5"/>
        <v>39</v>
      </c>
      <c r="AP32" s="3">
        <f t="shared" si="5"/>
        <v>40</v>
      </c>
      <c r="AQ32" s="3">
        <f t="shared" si="5"/>
        <v>41</v>
      </c>
      <c r="AR32" s="3">
        <f t="shared" si="5"/>
        <v>42</v>
      </c>
      <c r="AS32" s="3">
        <f t="shared" si="5"/>
        <v>43</v>
      </c>
      <c r="AT32" s="3">
        <f t="shared" si="5"/>
        <v>44</v>
      </c>
      <c r="AU32" s="3">
        <f t="shared" si="5"/>
        <v>45</v>
      </c>
      <c r="AV32" s="3">
        <f t="shared" si="5"/>
        <v>46</v>
      </c>
      <c r="AW32" s="3">
        <f t="shared" si="5"/>
        <v>47</v>
      </c>
      <c r="AX32" s="3">
        <f t="shared" si="5"/>
        <v>48</v>
      </c>
      <c r="AY32" s="3">
        <f t="shared" si="5"/>
        <v>49</v>
      </c>
      <c r="AZ32" s="3">
        <f t="shared" si="5"/>
        <v>50</v>
      </c>
      <c r="BA32" s="3">
        <f t="shared" si="5"/>
        <v>51</v>
      </c>
      <c r="BB32" s="3">
        <f t="shared" si="5"/>
        <v>52</v>
      </c>
      <c r="BC32" s="3">
        <f t="shared" si="5"/>
        <v>53</v>
      </c>
      <c r="BD32" s="3">
        <f t="shared" si="5"/>
        <v>54</v>
      </c>
      <c r="BE32" s="3">
        <f t="shared" si="5"/>
        <v>55</v>
      </c>
      <c r="BF32" s="3">
        <f t="shared" si="5"/>
        <v>56</v>
      </c>
      <c r="BG32" s="3">
        <f t="shared" si="5"/>
        <v>57</v>
      </c>
      <c r="BH32" s="3">
        <f t="shared" si="5"/>
        <v>58</v>
      </c>
      <c r="BI32" s="3">
        <f t="shared" si="5"/>
        <v>59</v>
      </c>
      <c r="BJ32" s="3">
        <f t="shared" si="5"/>
        <v>60</v>
      </c>
      <c r="BK32" s="1"/>
      <c r="BL32" s="238" t="str">
        <v>U</v>
      </c>
      <c r="BM32" s="238" t="str">
        <v>l</v>
      </c>
      <c r="BN32" s="238" t="str">
        <v>ㄠ</v>
      </c>
      <c r="BO32" s="238"/>
      <c r="BP32" s="238"/>
    </row>
    <row r="33" spans="1:68" s="237" customFormat="1" outlineLevel="1">
      <c r="A33" s="244" t="s">
        <v>4</v>
      </c>
      <c r="B33" s="1"/>
      <c r="C33" s="4" t="str">
        <f xml:space="preserve"> MID($C$29,C$32,1)</f>
        <v>!</v>
      </c>
      <c r="D33" s="4" t="str">
        <f t="shared" ref="D33:BJ33" si="6" xml:space="preserve"> MID($C$29,D$32,1)</f>
        <v>1</v>
      </c>
      <c r="E33" s="4" t="str">
        <f t="shared" si="6"/>
        <v>q</v>
      </c>
      <c r="F33" s="4" t="str">
        <f t="shared" si="6"/>
        <v>a</v>
      </c>
      <c r="G33" s="4" t="str">
        <f t="shared" si="6"/>
        <v>2</v>
      </c>
      <c r="H33" s="4" t="str">
        <f t="shared" si="6"/>
        <v>w</v>
      </c>
      <c r="I33" s="4" t="str">
        <f t="shared" si="6"/>
        <v>s</v>
      </c>
      <c r="J33" s="4" t="str">
        <f t="shared" si="6"/>
        <v>x</v>
      </c>
      <c r="K33" s="4" t="str">
        <f t="shared" si="6"/>
        <v>E</v>
      </c>
      <c r="L33" s="4" t="str">
        <f t="shared" si="6"/>
        <v>e</v>
      </c>
      <c r="M33" s="4" t="str">
        <f t="shared" si="6"/>
        <v>d</v>
      </c>
      <c r="N33" s="4" t="str">
        <f t="shared" si="6"/>
        <v>G</v>
      </c>
      <c r="O33" s="4" t="str">
        <f t="shared" si="6"/>
        <v>Y</v>
      </c>
      <c r="P33" s="4" t="str">
        <f t="shared" si="6"/>
        <v>y</v>
      </c>
      <c r="Q33" s="4" t="str">
        <f t="shared" si="6"/>
        <v>h</v>
      </c>
      <c r="R33" s="4" t="str">
        <f t="shared" si="6"/>
        <v>n</v>
      </c>
      <c r="S33" s="4" t="str">
        <f t="shared" si="6"/>
        <v>R</v>
      </c>
      <c r="T33" s="4" t="str">
        <f t="shared" si="6"/>
        <v>r</v>
      </c>
      <c r="U33" s="4" t="str">
        <f t="shared" si="6"/>
        <v>f</v>
      </c>
      <c r="V33" s="4" t="str">
        <f t="shared" si="6"/>
        <v>v</v>
      </c>
      <c r="W33" s="4" t="str">
        <f t="shared" si="6"/>
        <v>c</v>
      </c>
      <c r="X33" s="4" t="str">
        <f t="shared" si="6"/>
        <v>8</v>
      </c>
      <c r="Y33" s="4" t="str">
        <f t="shared" si="6"/>
        <v>u</v>
      </c>
      <c r="Z33" s="4" t="str">
        <f t="shared" si="6"/>
        <v>K</v>
      </c>
      <c r="AA33" s="4" t="str">
        <f t="shared" si="6"/>
        <v>j</v>
      </c>
      <c r="AB33" s="4" t="str">
        <f t="shared" si="6"/>
        <v>,</v>
      </c>
      <c r="AC33" s="4" t="str">
        <f t="shared" si="6"/>
        <v>i</v>
      </c>
      <c r="AD33" s="4" t="str">
        <f t="shared" si="6"/>
        <v>k</v>
      </c>
      <c r="AE33" s="4" t="str">
        <f t="shared" si="6"/>
        <v>9</v>
      </c>
      <c r="AF33" s="4" t="str">
        <f t="shared" si="6"/>
        <v>l</v>
      </c>
      <c r="AG33" s="4" t="str">
        <f t="shared" si="6"/>
        <v>*</v>
      </c>
      <c r="AH33" s="4" t="str">
        <f t="shared" si="6"/>
        <v>U</v>
      </c>
      <c r="AI33" s="4" t="str">
        <f t="shared" si="6"/>
        <v>J</v>
      </c>
      <c r="AJ33" s="4" t="str">
        <f t="shared" si="6"/>
        <v>&lt;</v>
      </c>
      <c r="AK33" s="4" t="str">
        <f t="shared" si="6"/>
        <v>I</v>
      </c>
      <c r="AL33" s="4" t="str">
        <f t="shared" si="6"/>
        <v>(</v>
      </c>
      <c r="AM33" s="4" t="str">
        <f t="shared" si="6"/>
        <v>L</v>
      </c>
      <c r="AN33" s="4" t="str">
        <f t="shared" si="6"/>
        <v>m</v>
      </c>
      <c r="AO33" s="4" t="str">
        <f t="shared" si="6"/>
        <v>/</v>
      </c>
      <c r="AP33" s="4" t="str">
        <f t="shared" si="6"/>
        <v>p</v>
      </c>
      <c r="AQ33" s="4" t="str">
        <f t="shared" si="6"/>
        <v>M</v>
      </c>
      <c r="AR33" s="4" t="str">
        <f t="shared" si="6"/>
        <v>0</v>
      </c>
      <c r="AS33" s="4" t="str">
        <f t="shared" si="6"/>
        <v>;</v>
      </c>
      <c r="AT33" s="4" t="str">
        <f t="shared" si="6"/>
        <v>O</v>
      </c>
      <c r="AU33" s="4" t="str">
        <f t="shared" si="6"/>
        <v>o</v>
      </c>
      <c r="AV33" s="4" t="str">
        <f t="shared" si="6"/>
        <v>b</v>
      </c>
      <c r="AW33" s="4" t="str">
        <f t="shared" si="6"/>
        <v>t</v>
      </c>
      <c r="AX33" s="4" t="str">
        <f t="shared" si="6"/>
        <v>g</v>
      </c>
      <c r="AY33" s="4" t="str">
        <f t="shared" si="6"/>
        <v>z</v>
      </c>
      <c r="AZ33" s="4" t="str">
        <f t="shared" si="6"/>
        <v>5</v>
      </c>
      <c r="BA33" s="4" t="str">
        <f t="shared" si="6"/>
        <v>3</v>
      </c>
      <c r="BB33" s="4" t="str">
        <f t="shared" si="6"/>
        <v>4</v>
      </c>
      <c r="BC33" s="4" t="str">
        <f t="shared" si="6"/>
        <v>6</v>
      </c>
      <c r="BD33" s="4" t="str">
        <f t="shared" si="6"/>
        <v>7</v>
      </c>
      <c r="BE33" s="4" t="str">
        <f t="shared" si="6"/>
        <v>]</v>
      </c>
      <c r="BF33" s="4" t="str">
        <f t="shared" si="6"/>
        <v>[</v>
      </c>
      <c r="BG33" s="4" t="str">
        <f t="shared" si="6"/>
        <v>N</v>
      </c>
      <c r="BH33" s="4" t="str">
        <f t="shared" si="6"/>
        <v>.</v>
      </c>
      <c r="BI33" s="4" t="str">
        <f t="shared" si="6"/>
        <v>-</v>
      </c>
      <c r="BJ33" s="4" t="str">
        <f t="shared" si="6"/>
        <v/>
      </c>
      <c r="BK33" s="1"/>
      <c r="BL33" s="238" t="str">
        <v>D</v>
      </c>
      <c r="BM33" s="238" t="str">
        <v>*</v>
      </c>
      <c r="BN33" s="238" t="str">
        <v>ㆩ</v>
      </c>
      <c r="BO33" s="238"/>
      <c r="BP33" s="238"/>
    </row>
    <row r="34" spans="1:68" s="237" customFormat="1" outlineLevel="1">
      <c r="A34" s="243" t="s">
        <v>7</v>
      </c>
      <c r="B34" s="1"/>
      <c r="C34" s="242" t="str">
        <f xml:space="preserve"> MID($C$30,C$32,1)</f>
        <v>ㆠ</v>
      </c>
      <c r="D34" s="242" t="str">
        <f t="shared" ref="D34:BJ34" si="7" xml:space="preserve"> MID($C$30,D$32,1)</f>
        <v>ㄅ</v>
      </c>
      <c r="E34" s="242" t="str">
        <f t="shared" si="7"/>
        <v>ㄆ</v>
      </c>
      <c r="F34" s="242" t="str">
        <f t="shared" si="7"/>
        <v>ㄇ</v>
      </c>
      <c r="G34" s="242" t="str">
        <f t="shared" si="7"/>
        <v>ㄉ</v>
      </c>
      <c r="H34" s="242" t="str">
        <f t="shared" si="7"/>
        <v>ㄊ</v>
      </c>
      <c r="I34" s="242" t="str">
        <f t="shared" si="7"/>
        <v>ㄋ</v>
      </c>
      <c r="J34" s="242" t="str">
        <f t="shared" si="7"/>
        <v>ㄌ</v>
      </c>
      <c r="K34" s="242" t="str">
        <f t="shared" si="7"/>
        <v>ㆣ</v>
      </c>
      <c r="L34" s="242" t="str">
        <f t="shared" si="7"/>
        <v>ㄍ</v>
      </c>
      <c r="M34" s="242" t="str">
        <f t="shared" si="7"/>
        <v>ㄎ</v>
      </c>
      <c r="N34" s="242" t="str">
        <f t="shared" si="7"/>
        <v>ㄫ</v>
      </c>
      <c r="O34" s="242" t="str">
        <f t="shared" si="7"/>
        <v>ㆡ</v>
      </c>
      <c r="P34" s="242" t="str">
        <f t="shared" si="7"/>
        <v>ㄗ</v>
      </c>
      <c r="Q34" s="242" t="str">
        <f t="shared" si="7"/>
        <v>ㄘ</v>
      </c>
      <c r="R34" s="242" t="str">
        <f t="shared" si="7"/>
        <v>ㄙ</v>
      </c>
      <c r="S34" s="242" t="str">
        <f t="shared" si="7"/>
        <v>ㆢ</v>
      </c>
      <c r="T34" s="242" t="str">
        <f t="shared" si="7"/>
        <v>ㄐ</v>
      </c>
      <c r="U34" s="242" t="str">
        <f t="shared" si="7"/>
        <v>ㄑ</v>
      </c>
      <c r="V34" s="242" t="str">
        <f t="shared" si="7"/>
        <v>ㄒ</v>
      </c>
      <c r="W34" s="242" t="str">
        <f t="shared" si="7"/>
        <v>ㄏ</v>
      </c>
      <c r="X34" s="242" t="str">
        <f t="shared" si="7"/>
        <v>ㄚ</v>
      </c>
      <c r="Y34" s="242" t="str">
        <f t="shared" si="7"/>
        <v>ㄧ</v>
      </c>
      <c r="Z34" s="242" t="str">
        <f t="shared" si="7"/>
        <v>ㆨ</v>
      </c>
      <c r="AA34" s="242" t="str">
        <f t="shared" si="7"/>
        <v>ㄨ</v>
      </c>
      <c r="AB34" s="242" t="str">
        <f t="shared" si="7"/>
        <v>ㆤ</v>
      </c>
      <c r="AC34" s="242" t="str">
        <f t="shared" si="7"/>
        <v>ㆦ</v>
      </c>
      <c r="AD34" s="242" t="str">
        <f t="shared" si="7"/>
        <v>ㄜ</v>
      </c>
      <c r="AE34" s="242" t="str">
        <f t="shared" si="7"/>
        <v>ㄞ</v>
      </c>
      <c r="AF34" s="242" t="str">
        <f t="shared" si="7"/>
        <v>ㄠ</v>
      </c>
      <c r="AG34" s="242" t="str">
        <f t="shared" si="7"/>
        <v>ㆩ</v>
      </c>
      <c r="AH34" s="242" t="str">
        <f t="shared" si="7"/>
        <v>ㆪ</v>
      </c>
      <c r="AI34" s="242" t="str">
        <f t="shared" si="7"/>
        <v>ㆫ</v>
      </c>
      <c r="AJ34" s="242" t="str">
        <f t="shared" si="7"/>
        <v>ㆥ</v>
      </c>
      <c r="AK34" s="242" t="str">
        <f t="shared" si="7"/>
        <v>ㆧ</v>
      </c>
      <c r="AL34" s="242" t="str">
        <f t="shared" si="7"/>
        <v>ㆮ</v>
      </c>
      <c r="AM34" s="242" t="str">
        <f t="shared" si="7"/>
        <v>ㆯ</v>
      </c>
      <c r="AN34" s="242" t="str">
        <f t="shared" si="7"/>
        <v>ㆬ</v>
      </c>
      <c r="AO34" s="242" t="str">
        <f t="shared" si="7"/>
        <v>ㆭ</v>
      </c>
      <c r="AP34" s="242" t="str">
        <f t="shared" si="7"/>
        <v>ㄣ</v>
      </c>
      <c r="AQ34" s="242" t="str">
        <f t="shared" si="7"/>
        <v>ㆰ</v>
      </c>
      <c r="AR34" s="242" t="str">
        <f t="shared" si="7"/>
        <v>ㄢ</v>
      </c>
      <c r="AS34" s="242" t="str">
        <f t="shared" si="7"/>
        <v>ㄤ</v>
      </c>
      <c r="AT34" s="242" t="str">
        <f t="shared" si="7"/>
        <v>ㆱ</v>
      </c>
      <c r="AU34" s="242" t="str">
        <f t="shared" si="7"/>
        <v>ㆲ</v>
      </c>
      <c r="AV34" s="242" t="str">
        <f t="shared" si="7"/>
        <v>ㆴ</v>
      </c>
      <c r="AW34" s="242" t="str">
        <f t="shared" si="7"/>
        <v>ㆵ</v>
      </c>
      <c r="AX34" s="242" t="str">
        <f t="shared" si="7"/>
        <v>ㆻ</v>
      </c>
      <c r="AY34" s="242" t="str">
        <f t="shared" si="7"/>
        <v>ㆷ</v>
      </c>
      <c r="AZ34" s="242" t="str">
        <f t="shared" si="7"/>
        <v>˫</v>
      </c>
      <c r="BA34" s="242" t="str">
        <f t="shared" si="7"/>
        <v>˪</v>
      </c>
      <c r="BB34" s="242" t="str">
        <f t="shared" si="7"/>
        <v>ˋ</v>
      </c>
      <c r="BC34" s="242" t="str">
        <f t="shared" si="7"/>
        <v>ˊ</v>
      </c>
      <c r="BD34" s="242" t="str">
        <f t="shared" si="7"/>
        <v>八</v>
      </c>
      <c r="BE34" s="242" t="str">
        <f t="shared" si="7"/>
        <v>四</v>
      </c>
      <c r="BF34" s="242" t="str">
        <f t="shared" si="7"/>
        <v>一</v>
      </c>
      <c r="BG34" s="242" t="str">
        <f t="shared" si="7"/>
        <v>ㄥ</v>
      </c>
      <c r="BH34" s="242" t="str">
        <f t="shared" si="7"/>
        <v>入</v>
      </c>
      <c r="BI34" s="242" t="str">
        <f t="shared" si="7"/>
        <v>ñ</v>
      </c>
      <c r="BJ34" s="242" t="str">
        <f t="shared" si="7"/>
        <v/>
      </c>
      <c r="BK34" s="1"/>
      <c r="BL34" s="238" t="str">
        <v>f</v>
      </c>
      <c r="BM34" s="238" t="str">
        <v>U</v>
      </c>
      <c r="BN34" s="238" t="str">
        <v>ㆪ</v>
      </c>
      <c r="BO34" s="238"/>
      <c r="BP34" s="238"/>
    </row>
    <row r="35" spans="1:68" s="237" customFormat="1" outlineLevel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238" t="str">
        <v>q</v>
      </c>
      <c r="BM35" s="238" t="str">
        <v>J</v>
      </c>
      <c r="BN35" s="238" t="str">
        <v>ㆫ</v>
      </c>
      <c r="BO35" s="238"/>
      <c r="BP35" s="238"/>
    </row>
    <row r="36" spans="1:68" s="237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238" t="str">
        <v>r</v>
      </c>
      <c r="BM36" s="238" t="str">
        <v>&lt;</v>
      </c>
      <c r="BN36" s="238" t="str">
        <v>ㆥ</v>
      </c>
      <c r="BO36" s="238"/>
      <c r="BP36" s="238"/>
    </row>
    <row r="37" spans="1:68" s="234" customFormat="1">
      <c r="C37" s="251">
        <f xml:space="preserve"> COLUMN() -2</f>
        <v>1</v>
      </c>
      <c r="D37" s="251">
        <f t="shared" ref="D37:BJ37" si="8" xml:space="preserve"> COLUMN() -2</f>
        <v>2</v>
      </c>
      <c r="E37" s="251">
        <f t="shared" si="8"/>
        <v>3</v>
      </c>
      <c r="F37" s="251">
        <f t="shared" si="8"/>
        <v>4</v>
      </c>
      <c r="G37" s="251">
        <f t="shared" si="8"/>
        <v>5</v>
      </c>
      <c r="H37" s="251">
        <f t="shared" si="8"/>
        <v>6</v>
      </c>
      <c r="I37" s="251">
        <f t="shared" si="8"/>
        <v>7</v>
      </c>
      <c r="J37" s="251">
        <f t="shared" si="8"/>
        <v>8</v>
      </c>
      <c r="K37" s="251">
        <f t="shared" si="8"/>
        <v>9</v>
      </c>
      <c r="L37" s="251">
        <f t="shared" si="8"/>
        <v>10</v>
      </c>
      <c r="M37" s="251">
        <f t="shared" si="8"/>
        <v>11</v>
      </c>
      <c r="N37" s="251">
        <f t="shared" si="8"/>
        <v>12</v>
      </c>
      <c r="O37" s="251">
        <f t="shared" si="8"/>
        <v>13</v>
      </c>
      <c r="P37" s="251">
        <f t="shared" si="8"/>
        <v>14</v>
      </c>
      <c r="Q37" s="251">
        <f t="shared" si="8"/>
        <v>15</v>
      </c>
      <c r="R37" s="251">
        <f t="shared" si="8"/>
        <v>16</v>
      </c>
      <c r="S37" s="251">
        <f t="shared" si="8"/>
        <v>17</v>
      </c>
      <c r="T37" s="251">
        <f t="shared" si="8"/>
        <v>18</v>
      </c>
      <c r="U37" s="251">
        <f t="shared" si="8"/>
        <v>19</v>
      </c>
      <c r="V37" s="251">
        <f t="shared" si="8"/>
        <v>20</v>
      </c>
      <c r="W37" s="251">
        <f t="shared" si="8"/>
        <v>21</v>
      </c>
      <c r="X37" s="251">
        <f t="shared" si="8"/>
        <v>22</v>
      </c>
      <c r="Y37" s="251">
        <f t="shared" si="8"/>
        <v>23</v>
      </c>
      <c r="Z37" s="251">
        <f t="shared" si="8"/>
        <v>24</v>
      </c>
      <c r="AA37" s="251">
        <f t="shared" si="8"/>
        <v>25</v>
      </c>
      <c r="AB37" s="251">
        <f t="shared" si="8"/>
        <v>26</v>
      </c>
      <c r="AC37" s="251">
        <f t="shared" si="8"/>
        <v>27</v>
      </c>
      <c r="AD37" s="251">
        <f t="shared" si="8"/>
        <v>28</v>
      </c>
      <c r="AE37" s="251">
        <f t="shared" si="8"/>
        <v>29</v>
      </c>
      <c r="AF37" s="251">
        <f t="shared" si="8"/>
        <v>30</v>
      </c>
      <c r="AG37" s="251">
        <f t="shared" si="8"/>
        <v>31</v>
      </c>
      <c r="AH37" s="251">
        <f t="shared" si="8"/>
        <v>32</v>
      </c>
      <c r="AI37" s="251">
        <f t="shared" si="8"/>
        <v>33</v>
      </c>
      <c r="AJ37" s="251">
        <f t="shared" si="8"/>
        <v>34</v>
      </c>
      <c r="AK37" s="251">
        <f t="shared" si="8"/>
        <v>35</v>
      </c>
      <c r="AL37" s="251">
        <f t="shared" si="8"/>
        <v>36</v>
      </c>
      <c r="AM37" s="251">
        <f t="shared" si="8"/>
        <v>37</v>
      </c>
      <c r="AN37" s="251">
        <f t="shared" si="8"/>
        <v>38</v>
      </c>
      <c r="AO37" s="251">
        <f t="shared" si="8"/>
        <v>39</v>
      </c>
      <c r="AP37" s="251">
        <f t="shared" si="8"/>
        <v>40</v>
      </c>
      <c r="AQ37" s="251">
        <f t="shared" si="8"/>
        <v>41</v>
      </c>
      <c r="AR37" s="251">
        <f t="shared" si="8"/>
        <v>42</v>
      </c>
      <c r="AS37" s="251">
        <f t="shared" si="8"/>
        <v>43</v>
      </c>
      <c r="AT37" s="251">
        <f t="shared" si="8"/>
        <v>44</v>
      </c>
      <c r="AU37" s="251">
        <f t="shared" si="8"/>
        <v>45</v>
      </c>
      <c r="AV37" s="251">
        <f t="shared" si="8"/>
        <v>46</v>
      </c>
      <c r="AW37" s="251">
        <f t="shared" si="8"/>
        <v>47</v>
      </c>
      <c r="AX37" s="251">
        <f t="shared" si="8"/>
        <v>48</v>
      </c>
      <c r="AY37" s="251">
        <f t="shared" si="8"/>
        <v>49</v>
      </c>
      <c r="AZ37" s="251">
        <f t="shared" si="8"/>
        <v>50</v>
      </c>
      <c r="BA37" s="251">
        <f t="shared" si="8"/>
        <v>51</v>
      </c>
      <c r="BB37" s="251">
        <f t="shared" si="8"/>
        <v>52</v>
      </c>
      <c r="BC37" s="251">
        <f t="shared" si="8"/>
        <v>53</v>
      </c>
      <c r="BD37" s="251">
        <f t="shared" si="8"/>
        <v>54</v>
      </c>
      <c r="BE37" s="251">
        <f t="shared" si="8"/>
        <v>55</v>
      </c>
      <c r="BF37" s="251">
        <f t="shared" si="8"/>
        <v>56</v>
      </c>
      <c r="BG37" s="251">
        <f t="shared" si="8"/>
        <v>57</v>
      </c>
      <c r="BH37" s="251">
        <f t="shared" si="8"/>
        <v>58</v>
      </c>
      <c r="BI37" s="251">
        <f t="shared" si="8"/>
        <v>59</v>
      </c>
      <c r="BJ37" s="251">
        <f t="shared" si="8"/>
        <v>60</v>
      </c>
      <c r="BL37" s="7" t="str">
        <v>v</v>
      </c>
      <c r="BM37" s="7" t="str">
        <v>I</v>
      </c>
      <c r="BN37" s="7" t="str">
        <v>ㆧ</v>
      </c>
      <c r="BO37" s="7"/>
      <c r="BP37" s="7"/>
    </row>
    <row r="38" spans="1:68" s="237" customFormat="1">
      <c r="A38" s="248" t="s">
        <v>573</v>
      </c>
      <c r="B38" s="1"/>
      <c r="C38" s="249" t="s">
        <v>243</v>
      </c>
      <c r="D38" s="249" t="s">
        <v>242</v>
      </c>
      <c r="E38" s="249" t="s">
        <v>244</v>
      </c>
      <c r="F38" s="249" t="s">
        <v>245</v>
      </c>
      <c r="G38" s="249" t="s">
        <v>246</v>
      </c>
      <c r="H38" s="249" t="s">
        <v>95</v>
      </c>
      <c r="I38" s="249" t="s">
        <v>247</v>
      </c>
      <c r="J38" s="249" t="s">
        <v>248</v>
      </c>
      <c r="K38" s="249" t="s">
        <v>530</v>
      </c>
      <c r="L38" s="249" t="s">
        <v>279</v>
      </c>
      <c r="M38" s="249" t="s">
        <v>280</v>
      </c>
      <c r="N38" s="249" t="s">
        <v>249</v>
      </c>
      <c r="O38" s="249" t="s">
        <v>250</v>
      </c>
      <c r="P38" s="249" t="s">
        <v>538</v>
      </c>
      <c r="Q38" s="249" t="s">
        <v>539</v>
      </c>
      <c r="R38" s="249" t="s">
        <v>251</v>
      </c>
      <c r="S38" s="249" t="s">
        <v>253</v>
      </c>
      <c r="T38" s="249" t="s">
        <v>540</v>
      </c>
      <c r="U38" s="249" t="s">
        <v>541</v>
      </c>
      <c r="V38" s="249" t="s">
        <v>256</v>
      </c>
      <c r="W38" s="249" t="s">
        <v>252</v>
      </c>
      <c r="X38" s="249" t="s">
        <v>257</v>
      </c>
      <c r="Y38" s="249" t="s">
        <v>258</v>
      </c>
      <c r="Z38" s="249" t="s">
        <v>259</v>
      </c>
      <c r="AA38" s="249" t="s">
        <v>260</v>
      </c>
      <c r="AB38" s="249" t="s">
        <v>261</v>
      </c>
      <c r="AC38" s="249" t="s">
        <v>262</v>
      </c>
      <c r="AD38" s="249" t="s">
        <v>263</v>
      </c>
      <c r="AE38" s="250" t="s">
        <v>270</v>
      </c>
      <c r="AF38" s="250" t="s">
        <v>271</v>
      </c>
      <c r="AG38" s="250" t="s">
        <v>542</v>
      </c>
      <c r="AH38" s="250" t="s">
        <v>543</v>
      </c>
      <c r="AI38" s="250" t="s">
        <v>544</v>
      </c>
      <c r="AJ38" s="250" t="s">
        <v>545</v>
      </c>
      <c r="AK38" s="250" t="s">
        <v>546</v>
      </c>
      <c r="AL38" s="249" t="s">
        <v>547</v>
      </c>
      <c r="AM38" s="249" t="s">
        <v>548</v>
      </c>
      <c r="AN38" s="250" t="s">
        <v>264</v>
      </c>
      <c r="AO38" s="250" t="s">
        <v>265</v>
      </c>
      <c r="AP38" s="250" t="s">
        <v>110</v>
      </c>
      <c r="AQ38" s="249" t="s">
        <v>272</v>
      </c>
      <c r="AR38" s="249" t="s">
        <v>273</v>
      </c>
      <c r="AS38" s="249" t="s">
        <v>274</v>
      </c>
      <c r="AT38" s="249" t="s">
        <v>275</v>
      </c>
      <c r="AU38" s="249" t="s">
        <v>276</v>
      </c>
      <c r="AV38" s="250" t="s">
        <v>266</v>
      </c>
      <c r="AW38" s="250" t="s">
        <v>267</v>
      </c>
      <c r="AX38" s="250" t="s">
        <v>268</v>
      </c>
      <c r="AY38" s="250" t="s">
        <v>269</v>
      </c>
      <c r="AZ38" s="249" t="s">
        <v>570</v>
      </c>
      <c r="BA38" s="249" t="s">
        <v>482</v>
      </c>
      <c r="BB38" s="249">
        <v>1</v>
      </c>
      <c r="BC38" s="249">
        <v>7</v>
      </c>
      <c r="BD38" s="249">
        <v>3</v>
      </c>
      <c r="BE38" s="249">
        <v>2</v>
      </c>
      <c r="BF38" s="249">
        <v>5</v>
      </c>
      <c r="BG38" s="249">
        <v>8</v>
      </c>
      <c r="BH38" s="249">
        <v>4</v>
      </c>
      <c r="BI38" s="249"/>
      <c r="BJ38" s="249"/>
      <c r="BK38" s="1"/>
      <c r="BL38" s="238" t="str">
        <v>x</v>
      </c>
      <c r="BM38" s="238" t="str">
        <v>(</v>
      </c>
      <c r="BN38" s="238" t="str">
        <v>ㆮ</v>
      </c>
      <c r="BO38" s="238"/>
      <c r="BP38" s="238"/>
    </row>
    <row r="39" spans="1:68" s="237" customFormat="1">
      <c r="A39" s="244" t="s">
        <v>4</v>
      </c>
      <c r="B39" s="1"/>
      <c r="C39" s="4" t="str">
        <f>C18</f>
        <v>B</v>
      </c>
      <c r="D39" s="4" t="str">
        <f t="shared" ref="D39:AY39" si="9">D18</f>
        <v>b</v>
      </c>
      <c r="E39" s="4" t="str">
        <f t="shared" si="9"/>
        <v>p</v>
      </c>
      <c r="F39" s="4" t="str">
        <f t="shared" si="9"/>
        <v>m</v>
      </c>
      <c r="G39" s="4" t="str">
        <f t="shared" si="9"/>
        <v>d</v>
      </c>
      <c r="H39" s="4" t="str">
        <f t="shared" si="9"/>
        <v>t</v>
      </c>
      <c r="I39" s="4" t="str">
        <f t="shared" si="9"/>
        <v>n</v>
      </c>
      <c r="J39" s="4" t="str">
        <f t="shared" si="9"/>
        <v>l</v>
      </c>
      <c r="K39" s="252" t="s">
        <v>549</v>
      </c>
      <c r="L39" s="4" t="str">
        <f t="shared" si="9"/>
        <v>g</v>
      </c>
      <c r="M39" s="4" t="str">
        <f t="shared" si="9"/>
        <v>k</v>
      </c>
      <c r="N39" s="4" t="str">
        <f t="shared" si="9"/>
        <v>ŋ</v>
      </c>
      <c r="O39" s="4" t="str">
        <f t="shared" si="9"/>
        <v>Z</v>
      </c>
      <c r="P39" s="4" t="str">
        <f t="shared" si="9"/>
        <v>z</v>
      </c>
      <c r="Q39" s="4" t="str">
        <f t="shared" si="9"/>
        <v>c</v>
      </c>
      <c r="R39" s="4" t="str">
        <f t="shared" si="9"/>
        <v>s</v>
      </c>
      <c r="S39" s="4" t="str">
        <f t="shared" si="9"/>
        <v>J</v>
      </c>
      <c r="T39" s="4" t="str">
        <f t="shared" si="9"/>
        <v>j</v>
      </c>
      <c r="U39" s="4" t="str">
        <f t="shared" si="9"/>
        <v>C</v>
      </c>
      <c r="V39" s="4" t="str">
        <f t="shared" si="9"/>
        <v>S</v>
      </c>
      <c r="W39" s="4" t="str">
        <f t="shared" si="9"/>
        <v>h</v>
      </c>
      <c r="X39" s="4" t="str">
        <f t="shared" si="9"/>
        <v>a</v>
      </c>
      <c r="Y39" s="4" t="str">
        <f t="shared" si="9"/>
        <v>i</v>
      </c>
      <c r="Z39" s="4" t="str">
        <f t="shared" si="9"/>
        <v>w</v>
      </c>
      <c r="AA39" s="4" t="str">
        <f t="shared" si="9"/>
        <v>u</v>
      </c>
      <c r="AB39" s="4" t="str">
        <f t="shared" si="9"/>
        <v>e</v>
      </c>
      <c r="AC39" s="4" t="str">
        <f t="shared" si="9"/>
        <v>O</v>
      </c>
      <c r="AD39" s="4" t="str">
        <f t="shared" si="9"/>
        <v>ə</v>
      </c>
      <c r="AE39" s="4" t="str">
        <f t="shared" si="9"/>
        <v>I</v>
      </c>
      <c r="AF39" s="4" t="str">
        <f t="shared" si="9"/>
        <v>U</v>
      </c>
      <c r="AG39" s="4" t="s">
        <v>537</v>
      </c>
      <c r="AH39" s="4" t="str">
        <f t="shared" si="9"/>
        <v>f</v>
      </c>
      <c r="AI39" s="4" t="str">
        <f t="shared" si="9"/>
        <v>q</v>
      </c>
      <c r="AJ39" s="4" t="str">
        <f t="shared" si="9"/>
        <v>r</v>
      </c>
      <c r="AK39" s="4" t="str">
        <f t="shared" si="9"/>
        <v>v</v>
      </c>
      <c r="AL39" s="4" t="str">
        <f t="shared" si="9"/>
        <v>x</v>
      </c>
      <c r="AM39" s="4" t="str">
        <f t="shared" si="9"/>
        <v>y</v>
      </c>
      <c r="AN39" s="4" t="str">
        <f t="shared" si="9"/>
        <v>M</v>
      </c>
      <c r="AO39" s="4" t="str">
        <f t="shared" si="9"/>
        <v>G</v>
      </c>
      <c r="AP39" s="4" t="str">
        <f t="shared" si="9"/>
        <v>N</v>
      </c>
      <c r="AQ39" s="4" t="str">
        <f t="shared" si="9"/>
        <v>Y</v>
      </c>
      <c r="AR39" s="4" t="str">
        <f t="shared" si="9"/>
        <v>@</v>
      </c>
      <c r="AS39" s="4" t="str">
        <f t="shared" si="9"/>
        <v>A</v>
      </c>
      <c r="AT39" s="4" t="str">
        <f t="shared" si="9"/>
        <v>W</v>
      </c>
      <c r="AU39" s="4" t="str">
        <f t="shared" si="9"/>
        <v>H</v>
      </c>
      <c r="AV39" s="4" t="str">
        <f t="shared" si="9"/>
        <v>R</v>
      </c>
      <c r="AW39" s="4" t="str">
        <f t="shared" si="9"/>
        <v>F</v>
      </c>
      <c r="AX39" s="4" t="str">
        <f t="shared" si="9"/>
        <v>Q</v>
      </c>
      <c r="AY39" s="4" t="str">
        <f t="shared" si="9"/>
        <v>V</v>
      </c>
      <c r="AZ39" s="4" t="str">
        <f>BG18</f>
        <v>L</v>
      </c>
      <c r="BA39" s="4" t="str">
        <f>BH18</f>
        <v>&amp;</v>
      </c>
      <c r="BB39" s="4" t="str">
        <f>BF18</f>
        <v>1</v>
      </c>
      <c r="BC39" s="4" t="str">
        <f t="shared" ref="BC39:BH39" si="10">AZ18</f>
        <v>7</v>
      </c>
      <c r="BD39" s="4" t="str">
        <f t="shared" si="10"/>
        <v>3</v>
      </c>
      <c r="BE39" s="4" t="str">
        <f t="shared" si="10"/>
        <v>2</v>
      </c>
      <c r="BF39" s="4" t="str">
        <f t="shared" si="10"/>
        <v>5</v>
      </c>
      <c r="BG39" s="4" t="str">
        <f t="shared" si="10"/>
        <v>8</v>
      </c>
      <c r="BH39" s="4" t="str">
        <f t="shared" si="10"/>
        <v>4</v>
      </c>
      <c r="BI39" s="4"/>
      <c r="BJ39" s="4" t="str">
        <f>BJ18</f>
        <v/>
      </c>
      <c r="BK39" s="1"/>
      <c r="BL39" s="238" t="str">
        <v>y</v>
      </c>
      <c r="BM39" s="238" t="str">
        <v>L</v>
      </c>
      <c r="BN39" s="238" t="str">
        <v>ㆯ</v>
      </c>
      <c r="BO39" s="238"/>
      <c r="BP39" s="238"/>
    </row>
    <row r="40" spans="1:68" s="237" customFormat="1">
      <c r="A40" s="245" t="s">
        <v>64</v>
      </c>
      <c r="B40" s="246"/>
      <c r="C40" s="247" t="str">
        <f>C19</f>
        <v>!</v>
      </c>
      <c r="D40" s="247" t="str">
        <f t="shared" ref="D40:AY40" si="11">D19</f>
        <v>1</v>
      </c>
      <c r="E40" s="247" t="str">
        <f t="shared" si="11"/>
        <v>q</v>
      </c>
      <c r="F40" s="247" t="str">
        <f t="shared" si="11"/>
        <v>a</v>
      </c>
      <c r="G40" s="247" t="str">
        <f t="shared" si="11"/>
        <v>2</v>
      </c>
      <c r="H40" s="247" t="str">
        <f t="shared" si="11"/>
        <v>w</v>
      </c>
      <c r="I40" s="247" t="str">
        <f t="shared" si="11"/>
        <v>s</v>
      </c>
      <c r="J40" s="247" t="str">
        <f t="shared" si="11"/>
        <v>x</v>
      </c>
      <c r="K40" s="247" t="str">
        <f t="shared" si="11"/>
        <v>E</v>
      </c>
      <c r="L40" s="247" t="str">
        <f t="shared" si="11"/>
        <v>e</v>
      </c>
      <c r="M40" s="247" t="str">
        <f t="shared" si="11"/>
        <v>d</v>
      </c>
      <c r="N40" s="247" t="str">
        <f t="shared" si="11"/>
        <v>G</v>
      </c>
      <c r="O40" s="247" t="str">
        <f t="shared" si="11"/>
        <v>Y</v>
      </c>
      <c r="P40" s="247" t="str">
        <f t="shared" si="11"/>
        <v>y</v>
      </c>
      <c r="Q40" s="247" t="str">
        <f t="shared" si="11"/>
        <v>h</v>
      </c>
      <c r="R40" s="247" t="str">
        <f t="shared" si="11"/>
        <v>n</v>
      </c>
      <c r="S40" s="247" t="str">
        <f t="shared" si="11"/>
        <v>R</v>
      </c>
      <c r="T40" s="247" t="str">
        <f t="shared" si="11"/>
        <v>r</v>
      </c>
      <c r="U40" s="247" t="str">
        <f t="shared" si="11"/>
        <v>f</v>
      </c>
      <c r="V40" s="247" t="str">
        <f t="shared" si="11"/>
        <v>v</v>
      </c>
      <c r="W40" s="247" t="str">
        <f t="shared" si="11"/>
        <v>c</v>
      </c>
      <c r="X40" s="247" t="str">
        <f t="shared" si="11"/>
        <v>8</v>
      </c>
      <c r="Y40" s="247" t="str">
        <f t="shared" si="11"/>
        <v>u</v>
      </c>
      <c r="Z40" s="247" t="str">
        <f t="shared" si="11"/>
        <v>K</v>
      </c>
      <c r="AA40" s="247" t="str">
        <f t="shared" si="11"/>
        <v>j</v>
      </c>
      <c r="AB40" s="247" t="str">
        <f t="shared" si="11"/>
        <v>,</v>
      </c>
      <c r="AC40" s="247" t="str">
        <f t="shared" si="11"/>
        <v>i</v>
      </c>
      <c r="AD40" s="247" t="str">
        <f t="shared" si="11"/>
        <v>k</v>
      </c>
      <c r="AE40" s="247" t="str">
        <f t="shared" si="11"/>
        <v>9</v>
      </c>
      <c r="AF40" s="247" t="str">
        <f t="shared" si="11"/>
        <v>l</v>
      </c>
      <c r="AG40" s="247" t="str">
        <f t="shared" si="11"/>
        <v>*</v>
      </c>
      <c r="AH40" s="247" t="str">
        <f t="shared" si="11"/>
        <v>U</v>
      </c>
      <c r="AI40" s="247" t="str">
        <f t="shared" si="11"/>
        <v>J</v>
      </c>
      <c r="AJ40" s="247" t="str">
        <f t="shared" si="11"/>
        <v>&lt;</v>
      </c>
      <c r="AK40" s="247" t="str">
        <f t="shared" si="11"/>
        <v>I</v>
      </c>
      <c r="AL40" s="247" t="str">
        <f t="shared" si="11"/>
        <v>(</v>
      </c>
      <c r="AM40" s="247" t="str">
        <f t="shared" si="11"/>
        <v>L</v>
      </c>
      <c r="AN40" s="247" t="str">
        <f t="shared" si="11"/>
        <v>m</v>
      </c>
      <c r="AO40" s="247" t="str">
        <f t="shared" si="11"/>
        <v>/</v>
      </c>
      <c r="AP40" s="247" t="str">
        <f t="shared" si="11"/>
        <v>p</v>
      </c>
      <c r="AQ40" s="247" t="str">
        <f t="shared" si="11"/>
        <v>M</v>
      </c>
      <c r="AR40" s="247" t="str">
        <f t="shared" si="11"/>
        <v>0</v>
      </c>
      <c r="AS40" s="247" t="str">
        <f t="shared" si="11"/>
        <v>;</v>
      </c>
      <c r="AT40" s="247" t="str">
        <f t="shared" si="11"/>
        <v>O</v>
      </c>
      <c r="AU40" s="247" t="str">
        <f t="shared" si="11"/>
        <v>o</v>
      </c>
      <c r="AV40" s="247" t="str">
        <f t="shared" si="11"/>
        <v>b</v>
      </c>
      <c r="AW40" s="247" t="str">
        <f t="shared" si="11"/>
        <v>t</v>
      </c>
      <c r="AX40" s="247" t="str">
        <f t="shared" si="11"/>
        <v>g</v>
      </c>
      <c r="AY40" s="247" t="str">
        <f t="shared" si="11"/>
        <v>z</v>
      </c>
      <c r="AZ40" s="247" t="s">
        <v>569</v>
      </c>
      <c r="BA40" s="247" t="str">
        <f>BH19</f>
        <v>.</v>
      </c>
      <c r="BB40" s="247" t="s">
        <v>560</v>
      </c>
      <c r="BC40" s="247" t="str">
        <f>AZ19</f>
        <v>5</v>
      </c>
      <c r="BD40" s="247" t="str">
        <f>BA19</f>
        <v>3</v>
      </c>
      <c r="BE40" s="247" t="str">
        <f>BB19</f>
        <v>4</v>
      </c>
      <c r="BF40" s="247" t="str">
        <f>BC19</f>
        <v>6</v>
      </c>
      <c r="BG40" s="247" t="s">
        <v>293</v>
      </c>
      <c r="BH40" s="247" t="s">
        <v>314</v>
      </c>
      <c r="BI40" s="247"/>
      <c r="BJ40" s="247" t="str">
        <f>BJ19</f>
        <v/>
      </c>
      <c r="BK40" s="1"/>
      <c r="BL40" s="238" t="str">
        <v>M</v>
      </c>
      <c r="BM40" s="238" t="str">
        <v>m</v>
      </c>
      <c r="BN40" s="238" t="str">
        <v>ㆬ</v>
      </c>
      <c r="BO40" s="238"/>
      <c r="BP40" s="238"/>
    </row>
    <row r="41" spans="1:68" s="237" customFormat="1">
      <c r="A41" s="243" t="s">
        <v>7</v>
      </c>
      <c r="B41" s="1"/>
      <c r="C41" s="242" t="str">
        <f>C34</f>
        <v>ㆠ</v>
      </c>
      <c r="D41" s="242" t="str">
        <f t="shared" ref="D41:AY41" si="12">D34</f>
        <v>ㄅ</v>
      </c>
      <c r="E41" s="242" t="str">
        <f t="shared" si="12"/>
        <v>ㄆ</v>
      </c>
      <c r="F41" s="242" t="str">
        <f t="shared" si="12"/>
        <v>ㄇ</v>
      </c>
      <c r="G41" s="242" t="str">
        <f t="shared" si="12"/>
        <v>ㄉ</v>
      </c>
      <c r="H41" s="242" t="str">
        <f t="shared" si="12"/>
        <v>ㄊ</v>
      </c>
      <c r="I41" s="242" t="str">
        <f t="shared" si="12"/>
        <v>ㄋ</v>
      </c>
      <c r="J41" s="242" t="str">
        <f t="shared" si="12"/>
        <v>ㄌ</v>
      </c>
      <c r="K41" s="242" t="str">
        <f t="shared" si="12"/>
        <v>ㆣ</v>
      </c>
      <c r="L41" s="242" t="str">
        <f t="shared" si="12"/>
        <v>ㄍ</v>
      </c>
      <c r="M41" s="242" t="str">
        <f t="shared" si="12"/>
        <v>ㄎ</v>
      </c>
      <c r="N41" s="242" t="str">
        <f t="shared" si="12"/>
        <v>ㄫ</v>
      </c>
      <c r="O41" s="242" t="str">
        <f t="shared" si="12"/>
        <v>ㆡ</v>
      </c>
      <c r="P41" s="242" t="str">
        <f t="shared" si="12"/>
        <v>ㄗ</v>
      </c>
      <c r="Q41" s="242" t="str">
        <f t="shared" si="12"/>
        <v>ㄘ</v>
      </c>
      <c r="R41" s="242" t="str">
        <f t="shared" si="12"/>
        <v>ㄙ</v>
      </c>
      <c r="S41" s="242" t="str">
        <f t="shared" si="12"/>
        <v>ㆢ</v>
      </c>
      <c r="T41" s="242" t="str">
        <f t="shared" si="12"/>
        <v>ㄐ</v>
      </c>
      <c r="U41" s="242" t="str">
        <f t="shared" si="12"/>
        <v>ㄑ</v>
      </c>
      <c r="V41" s="242" t="str">
        <f t="shared" si="12"/>
        <v>ㄒ</v>
      </c>
      <c r="W41" s="242" t="str">
        <f t="shared" si="12"/>
        <v>ㄏ</v>
      </c>
      <c r="X41" s="242" t="str">
        <f t="shared" si="12"/>
        <v>ㄚ</v>
      </c>
      <c r="Y41" s="242" t="str">
        <f t="shared" si="12"/>
        <v>ㄧ</v>
      </c>
      <c r="Z41" s="242" t="str">
        <f t="shared" si="12"/>
        <v>ㆨ</v>
      </c>
      <c r="AA41" s="242" t="str">
        <f t="shared" si="12"/>
        <v>ㄨ</v>
      </c>
      <c r="AB41" s="242" t="str">
        <f t="shared" si="12"/>
        <v>ㆤ</v>
      </c>
      <c r="AC41" s="242" t="str">
        <f t="shared" si="12"/>
        <v>ㆦ</v>
      </c>
      <c r="AD41" s="242" t="str">
        <f t="shared" si="12"/>
        <v>ㄜ</v>
      </c>
      <c r="AE41" s="242" t="str">
        <f t="shared" si="12"/>
        <v>ㄞ</v>
      </c>
      <c r="AF41" s="242" t="str">
        <f t="shared" si="12"/>
        <v>ㄠ</v>
      </c>
      <c r="AG41" s="242" t="str">
        <f t="shared" si="12"/>
        <v>ㆩ</v>
      </c>
      <c r="AH41" s="242" t="str">
        <f t="shared" si="12"/>
        <v>ㆪ</v>
      </c>
      <c r="AI41" s="242" t="str">
        <f t="shared" si="12"/>
        <v>ㆫ</v>
      </c>
      <c r="AJ41" s="242" t="str">
        <f t="shared" si="12"/>
        <v>ㆥ</v>
      </c>
      <c r="AK41" s="242" t="str">
        <f t="shared" si="12"/>
        <v>ㆧ</v>
      </c>
      <c r="AL41" s="242" t="str">
        <f t="shared" si="12"/>
        <v>ㆮ</v>
      </c>
      <c r="AM41" s="242" t="str">
        <f t="shared" si="12"/>
        <v>ㆯ</v>
      </c>
      <c r="AN41" s="242" t="str">
        <f t="shared" si="12"/>
        <v>ㆬ</v>
      </c>
      <c r="AO41" s="242" t="str">
        <f t="shared" si="12"/>
        <v>ㆭ</v>
      </c>
      <c r="AP41" s="242" t="str">
        <f t="shared" si="12"/>
        <v>ㄣ</v>
      </c>
      <c r="AQ41" s="242" t="str">
        <f t="shared" si="12"/>
        <v>ㆰ</v>
      </c>
      <c r="AR41" s="242" t="str">
        <f t="shared" si="12"/>
        <v>ㄢ</v>
      </c>
      <c r="AS41" s="242" t="str">
        <f t="shared" si="12"/>
        <v>ㄤ</v>
      </c>
      <c r="AT41" s="242" t="str">
        <f t="shared" si="12"/>
        <v>ㆱ</v>
      </c>
      <c r="AU41" s="242" t="str">
        <f t="shared" si="12"/>
        <v>ㆲ</v>
      </c>
      <c r="AV41" s="242" t="str">
        <f t="shared" si="12"/>
        <v>ㆴ</v>
      </c>
      <c r="AW41" s="242" t="str">
        <f t="shared" si="12"/>
        <v>ㆵ</v>
      </c>
      <c r="AX41" s="242" t="str">
        <f t="shared" si="12"/>
        <v>ㆻ</v>
      </c>
      <c r="AY41" s="242" t="str">
        <f t="shared" si="12"/>
        <v>ㆷ</v>
      </c>
      <c r="AZ41" s="242" t="str">
        <f>BG34</f>
        <v>ㄥ</v>
      </c>
      <c r="BA41" s="242" t="str">
        <f>BH34</f>
        <v>入</v>
      </c>
      <c r="BB41" s="242" t="str">
        <f>BF34</f>
        <v>一</v>
      </c>
      <c r="BC41" s="242" t="str">
        <f t="shared" ref="BC41:BH41" si="13">AZ34</f>
        <v>˫</v>
      </c>
      <c r="BD41" s="242" t="str">
        <f t="shared" si="13"/>
        <v>˪</v>
      </c>
      <c r="BE41" s="242" t="str">
        <f t="shared" si="13"/>
        <v>ˋ</v>
      </c>
      <c r="BF41" s="242" t="str">
        <f t="shared" si="13"/>
        <v>ˊ</v>
      </c>
      <c r="BG41" s="242" t="str">
        <f t="shared" si="13"/>
        <v>八</v>
      </c>
      <c r="BH41" s="242" t="str">
        <f t="shared" si="13"/>
        <v>四</v>
      </c>
      <c r="BI41" s="242"/>
      <c r="BJ41" s="242" t="str">
        <f>BJ34</f>
        <v/>
      </c>
      <c r="BK41" s="1"/>
      <c r="BL41" s="238" t="str">
        <v>G</v>
      </c>
      <c r="BM41" s="238" t="str">
        <v>/</v>
      </c>
      <c r="BN41" s="239" t="str">
        <v>ㆭ</v>
      </c>
      <c r="BO41" s="238"/>
      <c r="BP41" s="238"/>
    </row>
    <row r="42" spans="1:68" s="237" customForma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238" t="str">
        <v>N</v>
      </c>
      <c r="BM42" s="238" t="str">
        <v>p</v>
      </c>
      <c r="BN42" s="239" t="str">
        <v>ㄣ</v>
      </c>
      <c r="BO42" s="238"/>
      <c r="BP42" s="238"/>
    </row>
    <row r="43" spans="1:68" s="237" customForma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238" t="str">
        <v>Y</v>
      </c>
      <c r="BM43" s="238" t="str">
        <v>M</v>
      </c>
      <c r="BN43" s="239" t="str">
        <v>ㆰ</v>
      </c>
      <c r="BO43" s="238"/>
      <c r="BP43" s="238"/>
    </row>
    <row r="44" spans="1:68" s="237" customForma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238" t="str">
        <v>@</v>
      </c>
      <c r="BM44" s="238" t="str">
        <v>0</v>
      </c>
      <c r="BN44" s="239" t="str">
        <v>ㄢ</v>
      </c>
      <c r="BO44" s="238"/>
      <c r="BP44" s="238"/>
    </row>
    <row r="45" spans="1:68" s="237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238" t="str">
        <v>A</v>
      </c>
      <c r="BM45" s="238" t="str">
        <v>;</v>
      </c>
      <c r="BN45" s="239" t="str">
        <v>ㄤ</v>
      </c>
      <c r="BO45" s="238"/>
      <c r="BP45" s="238"/>
    </row>
    <row r="46" spans="1:68" s="237" customForma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238" t="str">
        <v>W</v>
      </c>
      <c r="BM46" s="238" t="str">
        <v>O</v>
      </c>
      <c r="BN46" s="239" t="str">
        <v>ㆱ</v>
      </c>
      <c r="BO46" s="238"/>
      <c r="BP46" s="238"/>
    </row>
    <row r="47" spans="1:68" s="237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238" t="str">
        <v>H</v>
      </c>
      <c r="BM47" s="238" t="str">
        <v>o</v>
      </c>
      <c r="BN47" s="239" t="str">
        <v>ㆲ</v>
      </c>
      <c r="BO47" s="238"/>
      <c r="BP47" s="238"/>
    </row>
    <row r="48" spans="1:68" s="237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238" t="str">
        <v>R</v>
      </c>
      <c r="BM48" s="238" t="str">
        <v>b</v>
      </c>
      <c r="BN48" s="239" t="str">
        <v>ㆴ</v>
      </c>
      <c r="BO48" s="238"/>
      <c r="BP48" s="238"/>
    </row>
    <row r="49" spans="1:68" s="237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238" t="str">
        <v>F</v>
      </c>
      <c r="BM49" s="238" t="str">
        <v>t</v>
      </c>
      <c r="BN49" s="239" t="str">
        <v>ㆵ</v>
      </c>
      <c r="BO49" s="238"/>
      <c r="BP49" s="238"/>
    </row>
    <row r="50" spans="1:68" s="237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238" t="str">
        <v>Q</v>
      </c>
      <c r="BM50" s="238" t="str">
        <v>g</v>
      </c>
      <c r="BN50" s="239" t="str">
        <v>ㆻ</v>
      </c>
      <c r="BO50" s="238"/>
      <c r="BP50" s="238"/>
    </row>
    <row r="51" spans="1:68" s="237" customForma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238" t="str">
        <v>V</v>
      </c>
      <c r="BM51" s="238" t="str">
        <v>z</v>
      </c>
      <c r="BN51" s="239" t="str">
        <v>ㆷ</v>
      </c>
      <c r="BO51" s="238"/>
      <c r="BP51" s="238"/>
    </row>
    <row r="52" spans="1:68" s="237" customForma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238" t="str">
        <v>L</v>
      </c>
      <c r="BM52" s="238" t="str">
        <v>-</v>
      </c>
      <c r="BN52" s="239" t="str">
        <v>ㄥ</v>
      </c>
      <c r="BO52" s="238"/>
      <c r="BP52" s="238"/>
    </row>
    <row r="53" spans="1:68" s="237" customForma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238" t="str">
        <v>&amp;</v>
      </c>
      <c r="BM53" s="238" t="str">
        <v>.</v>
      </c>
      <c r="BN53" s="239" t="str">
        <v>入</v>
      </c>
      <c r="BO53" s="238"/>
      <c r="BP53" s="238"/>
    </row>
    <row r="54" spans="1:68">
      <c r="BL54" s="237" t="str">
        <v>1</v>
      </c>
      <c r="BM54" s="237" t="str">
        <v>"</v>
      </c>
      <c r="BN54" s="237" t="str">
        <v>一</v>
      </c>
    </row>
    <row r="55" spans="1:68">
      <c r="BL55" s="237" t="str">
        <v>7</v>
      </c>
      <c r="BM55" s="237" t="str">
        <v>5</v>
      </c>
      <c r="BN55" s="237" t="str">
        <v>˫</v>
      </c>
    </row>
    <row r="56" spans="1:68">
      <c r="BL56" s="237" t="str">
        <v>3</v>
      </c>
      <c r="BM56" s="237" t="str">
        <v>3</v>
      </c>
      <c r="BN56" s="237" t="str">
        <v>˪</v>
      </c>
    </row>
    <row r="57" spans="1:68">
      <c r="BL57" s="237" t="str">
        <v>2</v>
      </c>
      <c r="BM57" s="237" t="str">
        <v>4</v>
      </c>
      <c r="BN57" s="237" t="str">
        <v>ˋ</v>
      </c>
    </row>
    <row r="58" spans="1:68">
      <c r="BL58" s="237" t="str">
        <v>5</v>
      </c>
      <c r="BM58" s="237" t="str">
        <v>6</v>
      </c>
      <c r="BN58" s="237" t="str">
        <v>ˊ</v>
      </c>
    </row>
    <row r="59" spans="1:68">
      <c r="BL59" s="237" t="str">
        <v>8</v>
      </c>
      <c r="BM59" s="237" t="str">
        <v>]</v>
      </c>
      <c r="BN59" s="237" t="str">
        <v>八</v>
      </c>
    </row>
    <row r="60" spans="1:68" s="237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238" t="str">
        <v>4</v>
      </c>
      <c r="BM60" s="238" t="str">
        <v>[</v>
      </c>
      <c r="BN60" s="238" t="str">
        <v>四</v>
      </c>
      <c r="BO60" s="238"/>
      <c r="BP60" s="238"/>
    </row>
    <row r="61" spans="1:68" s="237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238">
        <v>0</v>
      </c>
      <c r="BM61" s="238">
        <v>0</v>
      </c>
      <c r="BN61" s="238">
        <v>0</v>
      </c>
      <c r="BO61" s="238"/>
      <c r="BP61" s="238"/>
    </row>
    <row r="62" spans="1:68" s="237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238" t="str">
        <v/>
      </c>
      <c r="BM62" s="238" t="str">
        <v/>
      </c>
      <c r="BN62" s="238" t="str">
        <v/>
      </c>
      <c r="BO62" s="238"/>
      <c r="BP62" s="238"/>
    </row>
    <row r="63" spans="1:68" s="237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238"/>
      <c r="BM63" s="238"/>
      <c r="BN63" s="239"/>
      <c r="BO63" s="238"/>
      <c r="BP63" s="238"/>
    </row>
    <row r="64" spans="1:68" s="237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238"/>
      <c r="BM64" s="238"/>
      <c r="BN64" s="239"/>
      <c r="BO64" s="238"/>
      <c r="BP64" s="238"/>
    </row>
    <row r="65" spans="1:68" s="237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238"/>
      <c r="BM65" s="238"/>
      <c r="BN65" s="239"/>
      <c r="BO65" s="238"/>
      <c r="BP65" s="238"/>
    </row>
    <row r="66" spans="1:68" s="237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238"/>
      <c r="BM66" s="238"/>
      <c r="BN66" s="239"/>
      <c r="BO66" s="238"/>
      <c r="BP66" s="238"/>
    </row>
    <row r="67" spans="1:68" s="237" customForma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238"/>
      <c r="BM67" s="238"/>
      <c r="BN67" s="239"/>
      <c r="BO67" s="238"/>
      <c r="BP67" s="238"/>
    </row>
    <row r="68" spans="1:68" s="237" customForma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238"/>
      <c r="BM68" s="238"/>
      <c r="BN68" s="239"/>
      <c r="BO68" s="238"/>
      <c r="BP68" s="238"/>
    </row>
    <row r="75" spans="1:68" s="237" customForma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238"/>
      <c r="BM75" s="238"/>
      <c r="BN75" s="238"/>
      <c r="BO75" s="238"/>
      <c r="BP75" s="238"/>
    </row>
    <row r="76" spans="1:68" s="237" customForma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238"/>
      <c r="BM76" s="238"/>
      <c r="BN76" s="238"/>
      <c r="BO76" s="238"/>
      <c r="BP76" s="238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1F2E-F753-443A-9338-E9183376337C}">
  <sheetPr>
    <tabColor rgb="FFFF0000"/>
  </sheetPr>
  <dimension ref="A1:DG114"/>
  <sheetViews>
    <sheetView showGridLines="0" topLeftCell="A52" zoomScale="40" zoomScaleNormal="40" workbookViewId="0">
      <selection activeCell="B55" sqref="B55"/>
    </sheetView>
  </sheetViews>
  <sheetFormatPr defaultColWidth="7.19921875" defaultRowHeight="36" outlineLevelRow="1"/>
  <cols>
    <col min="1" max="1" width="7.796875" style="10" customWidth="1"/>
    <col min="2" max="58" width="6.59765625" style="10" customWidth="1"/>
    <col min="59" max="63" width="5.796875" style="10" customWidth="1"/>
    <col min="64" max="65" width="7.19921875" style="10"/>
    <col min="66" max="66" width="6.19921875" style="10" customWidth="1"/>
    <col min="67" max="69" width="13.69921875" style="11" customWidth="1"/>
    <col min="70" max="70" width="13.69921875" style="12" customWidth="1"/>
    <col min="71" max="71" width="13.69921875" style="13" customWidth="1"/>
    <col min="72" max="72" width="13.69921875" style="11" customWidth="1"/>
    <col min="73" max="73" width="7.19921875" style="10"/>
    <col min="74" max="74" width="62.296875" style="14" customWidth="1"/>
    <col min="75" max="75" width="23.796875" style="15" bestFit="1" customWidth="1"/>
    <col min="76" max="76" width="6.19921875" style="10" customWidth="1"/>
    <col min="77" max="77" width="15.19921875" style="10" customWidth="1"/>
    <col min="78" max="78" width="15.19921875" customWidth="1"/>
    <col min="79" max="82" width="15.19921875" style="10" customWidth="1"/>
    <col min="83" max="83" width="7.19921875" style="10"/>
    <col min="84" max="84" width="75.19921875" style="17" customWidth="1"/>
    <col min="85" max="85" width="6.19921875" style="10" customWidth="1"/>
    <col min="86" max="86" width="15.19921875" style="10" customWidth="1"/>
    <col min="87" max="87" width="15.19921875" customWidth="1"/>
    <col min="88" max="91" width="15.19921875" style="10" customWidth="1"/>
    <col min="92" max="92" width="7.19921875" style="10"/>
    <col min="93" max="93" width="69.8984375" style="17" bestFit="1" customWidth="1"/>
    <col min="94" max="94" width="6.19921875" style="10" customWidth="1"/>
    <col min="95" max="95" width="15.19921875" customWidth="1"/>
    <col min="96" max="100" width="15.19921875" style="10" customWidth="1"/>
    <col min="101" max="101" width="7.19921875" style="10"/>
    <col min="102" max="102" width="72.59765625" style="17" bestFit="1" customWidth="1"/>
    <col min="103" max="103" width="6.19921875" style="10" customWidth="1"/>
    <col min="104" max="104" width="15.19921875" customWidth="1"/>
    <col min="105" max="109" width="15.19921875" style="10" customWidth="1"/>
    <col min="110" max="110" width="7.19921875" style="10"/>
    <col min="111" max="111" width="67.09765625" style="17" bestFit="1" customWidth="1"/>
    <col min="112" max="16384" width="7.19921875" style="10"/>
  </cols>
  <sheetData>
    <row r="1" spans="1:111" ht="45" customHeight="1" thickBo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9"/>
      <c r="AS1" s="9"/>
      <c r="AT1" s="8"/>
      <c r="AU1" s="8"/>
      <c r="AV1" s="8"/>
      <c r="BY1" s="16" t="s">
        <v>19</v>
      </c>
      <c r="BZ1" s="16" t="s">
        <v>19</v>
      </c>
      <c r="CA1" s="78" t="s">
        <v>285</v>
      </c>
      <c r="CH1" s="16" t="s">
        <v>19</v>
      </c>
      <c r="CI1" s="16" t="s">
        <v>19</v>
      </c>
      <c r="CJ1" s="16" t="s">
        <v>20</v>
      </c>
      <c r="CQ1" s="16" t="s">
        <v>19</v>
      </c>
      <c r="CR1" s="78" t="s">
        <v>285</v>
      </c>
      <c r="CS1" s="18"/>
      <c r="CZ1" s="16" t="s">
        <v>19</v>
      </c>
      <c r="DA1" s="18"/>
      <c r="DB1" s="18"/>
    </row>
    <row r="2" spans="1:111" s="18" customFormat="1" ht="45" customHeight="1">
      <c r="A2" s="19"/>
      <c r="B2" s="20" t="s">
        <v>21</v>
      </c>
      <c r="C2" s="21"/>
      <c r="D2" s="22"/>
      <c r="E2" s="20" t="s">
        <v>22</v>
      </c>
      <c r="F2" s="21"/>
      <c r="G2" s="22"/>
      <c r="H2" s="23" t="s">
        <v>23</v>
      </c>
      <c r="I2" s="24"/>
      <c r="J2" s="25"/>
      <c r="K2" s="23" t="s">
        <v>24</v>
      </c>
      <c r="L2" s="24"/>
      <c r="M2" s="25"/>
      <c r="N2" s="26">
        <v>0.05</v>
      </c>
      <c r="O2" s="27"/>
      <c r="P2" s="28"/>
      <c r="Q2" s="23" t="s">
        <v>25</v>
      </c>
      <c r="R2" s="24"/>
      <c r="S2" s="25"/>
      <c r="T2" s="23" t="s">
        <v>26</v>
      </c>
      <c r="U2" s="24"/>
      <c r="V2" s="25"/>
      <c r="W2" s="29" t="s">
        <v>27</v>
      </c>
      <c r="X2" s="30"/>
      <c r="Y2" s="31"/>
      <c r="Z2" s="29" t="s">
        <v>28</v>
      </c>
      <c r="AA2" s="30"/>
      <c r="AB2" s="31"/>
      <c r="AC2" s="29" t="s">
        <v>29</v>
      </c>
      <c r="AD2" s="30"/>
      <c r="AE2" s="31"/>
      <c r="AF2" s="32" t="s">
        <v>30</v>
      </c>
      <c r="AG2" s="33"/>
      <c r="AH2" s="34"/>
      <c r="AI2" s="32" t="s">
        <v>31</v>
      </c>
      <c r="AJ2" s="33"/>
      <c r="AK2" s="34"/>
      <c r="AL2" s="19"/>
      <c r="AM2" s="19"/>
      <c r="AN2" s="19"/>
      <c r="AO2" s="19"/>
      <c r="AP2" s="19"/>
      <c r="AQ2" s="19"/>
      <c r="AR2" s="35"/>
      <c r="AS2" s="35"/>
      <c r="AT2" s="19"/>
      <c r="AU2" s="19"/>
      <c r="AV2" s="19"/>
      <c r="BN2" s="10"/>
      <c r="BO2" s="11"/>
      <c r="BP2" s="11"/>
      <c r="BQ2" s="11"/>
      <c r="BR2" s="12"/>
      <c r="BS2" s="13"/>
      <c r="BT2" s="11"/>
      <c r="BU2" s="10"/>
      <c r="BV2" s="14"/>
      <c r="BW2" s="15"/>
      <c r="BX2" s="10"/>
      <c r="BY2" s="36" t="s">
        <v>32</v>
      </c>
      <c r="BZ2" s="36" t="s">
        <v>33</v>
      </c>
      <c r="CA2" s="36" t="s">
        <v>34</v>
      </c>
      <c r="CF2" s="17"/>
      <c r="CG2" s="10"/>
      <c r="CH2" s="36" t="s">
        <v>32</v>
      </c>
      <c r="CI2" s="36" t="s">
        <v>33</v>
      </c>
      <c r="CJ2" s="36"/>
      <c r="CO2" s="17"/>
      <c r="CP2" s="10"/>
      <c r="CQ2" s="36" t="s">
        <v>35</v>
      </c>
      <c r="CR2" s="36" t="s">
        <v>34</v>
      </c>
      <c r="CX2" s="17"/>
      <c r="CY2" s="10"/>
      <c r="CZ2" s="36" t="s">
        <v>36</v>
      </c>
      <c r="DG2" s="17"/>
    </row>
    <row r="3" spans="1:111" s="18" customFormat="1" ht="45" customHeight="1">
      <c r="A3" s="19"/>
      <c r="B3" s="37" t="s">
        <v>37</v>
      </c>
      <c r="C3" s="38"/>
      <c r="D3" s="39" t="s">
        <v>38</v>
      </c>
      <c r="E3" s="40"/>
      <c r="F3" s="38"/>
      <c r="G3" s="41"/>
      <c r="H3" s="42"/>
      <c r="I3" s="43"/>
      <c r="J3" s="44"/>
      <c r="K3" s="42"/>
      <c r="L3" s="43"/>
      <c r="M3" s="44"/>
      <c r="N3" s="45"/>
      <c r="O3" s="46"/>
      <c r="P3" s="47"/>
      <c r="Q3" s="42"/>
      <c r="R3" s="43"/>
      <c r="S3" s="44"/>
      <c r="T3" s="42"/>
      <c r="U3" s="43"/>
      <c r="V3" s="44"/>
      <c r="W3" s="48" t="s">
        <v>39</v>
      </c>
      <c r="X3" s="275" t="s">
        <v>542</v>
      </c>
      <c r="Y3" s="276" t="s">
        <v>40</v>
      </c>
      <c r="Z3" s="48" t="s">
        <v>41</v>
      </c>
      <c r="AA3" s="275" t="s">
        <v>547</v>
      </c>
      <c r="AB3" s="276"/>
      <c r="AC3" s="52"/>
      <c r="AD3" s="49"/>
      <c r="AE3" s="53"/>
      <c r="AF3" s="54"/>
      <c r="AG3" s="55"/>
      <c r="AH3" s="56"/>
      <c r="AI3" s="54"/>
      <c r="AJ3" s="55"/>
      <c r="AK3" s="56"/>
      <c r="AL3" s="19"/>
      <c r="AM3" s="19"/>
      <c r="AN3" s="19"/>
      <c r="AO3" s="19"/>
      <c r="AP3" s="19"/>
      <c r="AQ3" s="19"/>
      <c r="AR3" s="35"/>
      <c r="AS3" s="35"/>
      <c r="AT3" s="19"/>
      <c r="AU3" s="19"/>
      <c r="AV3" s="19"/>
      <c r="BO3" s="57" t="s">
        <v>43</v>
      </c>
      <c r="BQ3" s="58"/>
      <c r="BR3" s="59"/>
      <c r="BS3" s="58"/>
      <c r="BT3" s="58"/>
      <c r="BV3" s="14"/>
      <c r="BW3" s="60"/>
      <c r="CF3" s="17"/>
      <c r="CO3" s="17"/>
      <c r="CX3" s="17"/>
      <c r="DG3" s="17"/>
    </row>
    <row r="4" spans="1:111" ht="45" customHeight="1" thickBot="1">
      <c r="A4" s="61"/>
      <c r="B4" s="62" t="s">
        <v>44</v>
      </c>
      <c r="C4" s="63"/>
      <c r="D4" s="64" t="s">
        <v>45</v>
      </c>
      <c r="E4" s="62" t="s">
        <v>46</v>
      </c>
      <c r="F4" s="63"/>
      <c r="G4" s="65" t="s">
        <v>14</v>
      </c>
      <c r="H4" s="255" t="s">
        <v>47</v>
      </c>
      <c r="I4" s="256"/>
      <c r="J4" s="257" t="s">
        <v>48</v>
      </c>
      <c r="K4" s="258" t="s">
        <v>49</v>
      </c>
      <c r="L4" s="259"/>
      <c r="M4" s="257" t="s">
        <v>50</v>
      </c>
      <c r="N4" s="255" t="s">
        <v>51</v>
      </c>
      <c r="O4" s="256"/>
      <c r="P4" s="257" t="s">
        <v>52</v>
      </c>
      <c r="Q4" s="258" t="s">
        <v>53</v>
      </c>
      <c r="R4" s="259"/>
      <c r="S4" s="257" t="s">
        <v>54</v>
      </c>
      <c r="T4" s="258" t="s">
        <v>55</v>
      </c>
      <c r="U4" s="256"/>
      <c r="V4" s="257" t="s">
        <v>557</v>
      </c>
      <c r="W4" s="66" t="s">
        <v>56</v>
      </c>
      <c r="X4" s="67"/>
      <c r="Y4" s="68" t="s">
        <v>57</v>
      </c>
      <c r="Z4" s="69" t="s">
        <v>58</v>
      </c>
      <c r="AA4" s="70"/>
      <c r="AB4" s="71" t="s">
        <v>59</v>
      </c>
      <c r="AC4" s="69" t="s">
        <v>60</v>
      </c>
      <c r="AD4" s="67">
        <v>0</v>
      </c>
      <c r="AE4" s="68" t="s">
        <v>61</v>
      </c>
      <c r="AF4" s="72" t="s">
        <v>62</v>
      </c>
      <c r="AG4" s="70"/>
      <c r="AH4" s="71" t="s">
        <v>63</v>
      </c>
      <c r="AI4" s="72"/>
      <c r="AJ4" s="70"/>
      <c r="AK4" s="73"/>
      <c r="AL4" s="61"/>
      <c r="AM4" s="61"/>
      <c r="AN4" s="61"/>
      <c r="AO4" s="61"/>
      <c r="AP4" s="61"/>
      <c r="AQ4" s="61"/>
      <c r="AR4" s="9"/>
      <c r="AS4" s="9"/>
      <c r="AT4" s="61"/>
      <c r="AU4" s="61"/>
      <c r="AV4" s="61"/>
      <c r="BN4" s="74"/>
      <c r="BO4" s="78" t="s">
        <v>285</v>
      </c>
      <c r="BP4" s="75" t="s">
        <v>4</v>
      </c>
      <c r="BQ4" s="76" t="s">
        <v>64</v>
      </c>
      <c r="BR4" s="77" t="s">
        <v>65</v>
      </c>
      <c r="BS4" s="78" t="s">
        <v>19</v>
      </c>
      <c r="BT4" s="79" t="s">
        <v>66</v>
      </c>
      <c r="BU4" s="18"/>
      <c r="BW4" s="60"/>
      <c r="BX4" s="74"/>
      <c r="BY4" s="78" t="s">
        <v>285</v>
      </c>
      <c r="BZ4" s="80" t="s">
        <v>4</v>
      </c>
      <c r="CA4" s="81" t="s">
        <v>64</v>
      </c>
      <c r="CB4" s="82" t="s">
        <v>65</v>
      </c>
      <c r="CC4" s="83" t="s">
        <v>19</v>
      </c>
      <c r="CD4" s="84" t="s">
        <v>66</v>
      </c>
      <c r="CG4" s="74"/>
      <c r="CH4" s="78" t="s">
        <v>285</v>
      </c>
      <c r="CI4" s="80" t="s">
        <v>4</v>
      </c>
      <c r="CJ4" s="81" t="s">
        <v>64</v>
      </c>
      <c r="CK4" s="82" t="s">
        <v>65</v>
      </c>
      <c r="CL4" s="83" t="s">
        <v>19</v>
      </c>
      <c r="CM4" s="84" t="s">
        <v>66</v>
      </c>
      <c r="CP4" s="74"/>
      <c r="CQ4" s="78" t="s">
        <v>285</v>
      </c>
      <c r="CR4" s="80" t="s">
        <v>4</v>
      </c>
      <c r="CS4" s="81" t="s">
        <v>64</v>
      </c>
      <c r="CT4" s="82" t="s">
        <v>65</v>
      </c>
      <c r="CU4" s="83" t="s">
        <v>19</v>
      </c>
      <c r="CV4" s="84" t="s">
        <v>66</v>
      </c>
      <c r="CY4" s="74"/>
      <c r="CZ4" s="78" t="s">
        <v>285</v>
      </c>
      <c r="DA4" s="80" t="s">
        <v>4</v>
      </c>
      <c r="DB4" s="81" t="s">
        <v>64</v>
      </c>
      <c r="DC4" s="82" t="s">
        <v>65</v>
      </c>
      <c r="DD4" s="83" t="s">
        <v>19</v>
      </c>
      <c r="DE4" s="84" t="s">
        <v>66</v>
      </c>
    </row>
    <row r="5" spans="1:111" s="18" customFormat="1" ht="45" customHeight="1">
      <c r="A5" s="19"/>
      <c r="B5" s="19"/>
      <c r="C5" s="20" t="s">
        <v>67</v>
      </c>
      <c r="D5" s="21"/>
      <c r="E5" s="22"/>
      <c r="F5" s="20" t="s">
        <v>68</v>
      </c>
      <c r="G5" s="21"/>
      <c r="H5" s="22"/>
      <c r="I5" s="20" t="s">
        <v>69</v>
      </c>
      <c r="J5" s="21"/>
      <c r="K5" s="22"/>
      <c r="L5" s="20" t="s">
        <v>70</v>
      </c>
      <c r="M5" s="21"/>
      <c r="N5" s="22"/>
      <c r="O5" s="20" t="s">
        <v>71</v>
      </c>
      <c r="P5" s="21"/>
      <c r="Q5" s="22"/>
      <c r="R5" s="20" t="s">
        <v>72</v>
      </c>
      <c r="S5" s="21"/>
      <c r="T5" s="22"/>
      <c r="U5" s="29" t="s">
        <v>73</v>
      </c>
      <c r="V5" s="30"/>
      <c r="W5" s="31"/>
      <c r="X5" s="29" t="s">
        <v>74</v>
      </c>
      <c r="Y5" s="30"/>
      <c r="Z5" s="31"/>
      <c r="AA5" s="29" t="s">
        <v>75</v>
      </c>
      <c r="AB5" s="30"/>
      <c r="AC5" s="31"/>
      <c r="AD5" s="29" t="s">
        <v>76</v>
      </c>
      <c r="AE5" s="30"/>
      <c r="AF5" s="31"/>
      <c r="AG5" s="23" t="s">
        <v>77</v>
      </c>
      <c r="AH5" s="24"/>
      <c r="AI5" s="25"/>
      <c r="AJ5" s="23" t="s">
        <v>78</v>
      </c>
      <c r="AK5" s="24"/>
      <c r="AL5" s="25"/>
      <c r="AM5" s="32" t="s">
        <v>79</v>
      </c>
      <c r="AN5" s="33"/>
      <c r="AO5" s="34"/>
      <c r="AP5" s="19"/>
      <c r="AQ5" s="19"/>
      <c r="AR5" s="35"/>
      <c r="AS5" s="35"/>
      <c r="AT5" s="19"/>
      <c r="AU5" s="19"/>
      <c r="AV5" s="19"/>
      <c r="BN5" s="85">
        <f xml:space="preserve"> ROW() - 4</f>
        <v>1</v>
      </c>
      <c r="BO5" s="253" t="str" cm="1">
        <f t="array" ref="BO5:BR63" xml:space="preserve"> TRANSPOSE(D17:BJ20)</f>
        <v>b</v>
      </c>
      <c r="BP5" s="86" t="str">
        <v>B</v>
      </c>
      <c r="BQ5" s="76" t="str">
        <v>!</v>
      </c>
      <c r="BR5" s="77" t="str">
        <v>ㆠ</v>
      </c>
      <c r="BS5" s="87" t="s">
        <v>282</v>
      </c>
      <c r="BT5" s="88">
        <f t="shared" ref="BT5:BT64" si="0" xml:space="preserve"> LEN(BO5)</f>
        <v>1</v>
      </c>
      <c r="BU5" s="10"/>
      <c r="BV5" s="89" t="str">
        <f xml:space="preserve"> "    """ &amp; BQ5 &amp; """: { commit: """ &amp; BR5 &amp; """ }" &amp; "  # " &amp; "/" &amp; BO5 &amp; "/ ==&gt; " &amp; BP5</f>
        <v xml:space="preserve">    "!": { commit: "ㆠ" }  # /b/ ==&gt; B</v>
      </c>
      <c r="BW5" s="90"/>
      <c r="BX5" s="85">
        <f xml:space="preserve"> ROW() - 4</f>
        <v>1</v>
      </c>
      <c r="BY5" s="93" t="e" cm="1">
        <f t="array" ref="BY5" xml:space="preserve"> _xlfn._xlws.SORT( _xlfn._xlws.FILTER($BO5:$BT64,($BS5:$BS64=BY2)*($BS5:$BS64&lt;&gt;BZ2)*($BO5:$BT64=CA2), "無符合資料"), 6, -1)</f>
        <v>#VALUE!</v>
      </c>
      <c r="BZ5" s="91"/>
      <c r="CA5" s="92"/>
      <c r="CB5" s="77"/>
      <c r="CC5" s="94"/>
      <c r="CD5" s="95"/>
      <c r="CF5" s="17" t="str">
        <f t="shared" ref="CF5:CF27" si="1" xml:space="preserve"> IFERROR( IF(LEN(BZ5)=0, "", IF(BZ5=BY5, "", "    - xform/" &amp; BY5 &amp; "/" &amp; BZ5 &amp; "/  # " &amp; "【" &amp; CA5 &amp; "】 ==&gt; " &amp; CC5 &amp; "： " &amp; CB5 &amp; " [" &amp; BY5 &amp; "]")), "")</f>
        <v/>
      </c>
      <c r="CG5" s="85">
        <f xml:space="preserve"> ROW() - 4</f>
        <v>1</v>
      </c>
      <c r="CH5" s="93" t="str" cm="1">
        <f t="array" ref="CH5:CM19" xml:space="preserve"> _xlfn._xlws.SORT( _xlfn._xlws.FILTER($BO5:$BT64,($BS5:$BS64=CH2)*($BS5:$BS64&lt;&gt;CI2), "無符合資料"), 6, -1)</f>
        <v>ainn</v>
      </c>
      <c r="CI5" s="91" t="str">
        <v>x</v>
      </c>
      <c r="CJ5" s="92" t="str">
        <v>(</v>
      </c>
      <c r="CK5" s="77" t="str">
        <v>ㆮ</v>
      </c>
      <c r="CL5" s="94" t="str">
        <v>韻</v>
      </c>
      <c r="CM5" s="95">
        <v>4</v>
      </c>
      <c r="CO5" s="17" t="str">
        <f t="shared" ref="CO5:CO27" si="2" xml:space="preserve"> IFERROR( IF(LEN(CI5)=0, "", IF(EXACT(CI5,CH5), "", "    - xform/" &amp; CH5 &amp; "/" &amp; CI5 &amp; "/  # " &amp; "【" &amp; CJ5 &amp; "】 ==&gt; " &amp; CL5 &amp; "： " &amp; CK5 &amp; " [" &amp; CH5 &amp; "]")), "")</f>
        <v xml:space="preserve">    - xform/ainn/x/  # 【(】 ==&gt; 韻： ㆮ [ainn]</v>
      </c>
      <c r="CP5" s="85">
        <f xml:space="preserve"> ROW() - 4</f>
        <v>1</v>
      </c>
      <c r="CQ5" s="93" t="str" cm="1">
        <f t="array" ref="CQ5:CV25" xml:space="preserve"> _xlfn._xlws.SORT( _xlfn._xlws.FILTER($BO$5:$BT$64,($BS5:$BS64=CQ2)*($BO5:$BO64&lt;&gt;CR2), "無符合資料"), 6, -1)</f>
        <v>tsh(i)</v>
      </c>
      <c r="CR5" s="91" t="str">
        <v>C</v>
      </c>
      <c r="CS5" s="92" t="str">
        <v>f</v>
      </c>
      <c r="CT5" s="77" t="str">
        <v>ㄑ</v>
      </c>
      <c r="CU5" s="94" t="str">
        <v>聲</v>
      </c>
      <c r="CV5" s="95">
        <v>6</v>
      </c>
      <c r="CX5" s="96" t="str">
        <f t="shared" ref="CX5:CX14" si="3" xml:space="preserve"> IFERROR( IF(LEN(CR5)=0, "", IF(EXACT(CR5,CQ5), "", "    - xform/^" &amp; CQ5 &amp; "/" &amp; CR5 &amp; "/  # " &amp; "【" &amp; CS5 &amp; "】 ==&gt; " &amp; CU5 &amp; "： " &amp; CT5 &amp; " [" &amp; CQ5 &amp; "]")), "")</f>
        <v xml:space="preserve">    - xform/^tsh(i)/C/  # 【f】 ==&gt; 聲： ㄑ [tsh(i)]</v>
      </c>
      <c r="CY5" s="85">
        <f xml:space="preserve"> ROW() - 4</f>
        <v>1</v>
      </c>
      <c r="CZ5" s="93" cm="1">
        <f t="array" ref="CZ5:DE6" xml:space="preserve"> _xlfn._xlws.FILTER($BO$5:$BT$64,($BS5:$BS64=CZ2), "無符合資料")</f>
        <v>5</v>
      </c>
      <c r="DA5" s="91" t="str">
        <v>5</v>
      </c>
      <c r="DB5" s="92" t="str">
        <v>6</v>
      </c>
      <c r="DC5" s="77" t="str">
        <v>五</v>
      </c>
      <c r="DD5" s="94" t="str">
        <v>鍵</v>
      </c>
      <c r="DE5" s="95">
        <v>1</v>
      </c>
      <c r="DG5" s="17"/>
    </row>
    <row r="6" spans="1:111" s="18" customFormat="1" ht="45" customHeight="1">
      <c r="A6" s="19"/>
      <c r="B6" s="19"/>
      <c r="C6" s="40"/>
      <c r="D6" s="38"/>
      <c r="E6" s="41"/>
      <c r="F6" s="40"/>
      <c r="G6" s="38"/>
      <c r="H6" s="41"/>
      <c r="I6" s="37" t="s">
        <v>80</v>
      </c>
      <c r="J6" s="38"/>
      <c r="K6" s="41" t="s">
        <v>530</v>
      </c>
      <c r="L6" s="97" t="s">
        <v>82</v>
      </c>
      <c r="M6" s="38"/>
      <c r="N6" s="98" t="s">
        <v>562</v>
      </c>
      <c r="O6" s="97"/>
      <c r="P6" s="99"/>
      <c r="Q6" s="98"/>
      <c r="R6" s="97" t="s">
        <v>84</v>
      </c>
      <c r="S6" s="38"/>
      <c r="T6" s="98" t="s">
        <v>250</v>
      </c>
      <c r="U6" s="48" t="s">
        <v>86</v>
      </c>
      <c r="V6" s="275" t="s">
        <v>543</v>
      </c>
      <c r="W6" s="276" t="s">
        <v>87</v>
      </c>
      <c r="X6" s="48" t="s">
        <v>88</v>
      </c>
      <c r="Y6" s="277" t="s">
        <v>546</v>
      </c>
      <c r="Z6" s="278" t="s">
        <v>89</v>
      </c>
      <c r="AA6" s="48" t="s">
        <v>90</v>
      </c>
      <c r="AB6" s="277" t="s">
        <v>275</v>
      </c>
      <c r="AC6" s="278"/>
      <c r="AD6" s="52"/>
      <c r="AE6" s="49"/>
      <c r="AF6" s="53"/>
      <c r="AG6" s="42"/>
      <c r="AH6" s="43"/>
      <c r="AI6" s="44"/>
      <c r="AJ6" s="42"/>
      <c r="AK6" s="43"/>
      <c r="AL6" s="44"/>
      <c r="AM6" s="48"/>
      <c r="AN6" s="100"/>
      <c r="AO6" s="102"/>
      <c r="AP6" s="19"/>
      <c r="AQ6" s="19"/>
      <c r="AR6" s="35"/>
      <c r="AS6" s="35"/>
      <c r="AT6" s="19"/>
      <c r="AU6" s="19"/>
      <c r="AV6" s="19"/>
      <c r="BN6" s="85">
        <f t="shared" ref="BN6:BN64" si="4" xml:space="preserve"> ROW() - 4</f>
        <v>2</v>
      </c>
      <c r="BO6" s="253" t="str">
        <v>p</v>
      </c>
      <c r="BP6" s="86" t="str">
        <v>b</v>
      </c>
      <c r="BQ6" s="76" t="str">
        <v>1</v>
      </c>
      <c r="BR6" s="77" t="str">
        <v>ㄅ</v>
      </c>
      <c r="BS6" s="87" t="s">
        <v>282</v>
      </c>
      <c r="BT6" s="88">
        <f t="shared" si="0"/>
        <v>1</v>
      </c>
      <c r="BV6" s="89" t="str">
        <f t="shared" ref="BV6:BV31" si="5" xml:space="preserve"> "    """ &amp; BQ6 &amp; """: { commit: """ &amp; BR6 &amp; """ }" &amp; "  # " &amp; "/" &amp; BO7 &amp; "/ ==&gt; " &amp; BP6</f>
        <v xml:space="preserve">    "1": { commit: "ㄅ" }  # /ph/ ==&gt; b</v>
      </c>
      <c r="BW6" s="90"/>
      <c r="BX6" s="85">
        <f t="shared" ref="BX6:BX64" si="6" xml:space="preserve"> ROW() - 4</f>
        <v>2</v>
      </c>
      <c r="BY6" s="93"/>
      <c r="BZ6" s="91"/>
      <c r="CA6" s="92"/>
      <c r="CB6" s="77"/>
      <c r="CC6" s="94"/>
      <c r="CD6" s="95"/>
      <c r="CF6" s="17" t="str">
        <f t="shared" si="1"/>
        <v/>
      </c>
      <c r="CG6" s="85">
        <f t="shared" ref="CG6:CG64" si="7" xml:space="preserve"> ROW() - 4</f>
        <v>2</v>
      </c>
      <c r="CH6" s="93" t="str">
        <v>aunn</v>
      </c>
      <c r="CI6" s="91" t="str">
        <v>y</v>
      </c>
      <c r="CJ6" s="92" t="str">
        <v>L</v>
      </c>
      <c r="CK6" s="77" t="str">
        <v>ㆯ</v>
      </c>
      <c r="CL6" s="94" t="str">
        <v>韻</v>
      </c>
      <c r="CM6" s="95">
        <v>4</v>
      </c>
      <c r="CO6" s="17" t="str">
        <f t="shared" si="2"/>
        <v xml:space="preserve">    - xform/aunn/y/  # 【L】 ==&gt; 韻： ㆯ [aunn]</v>
      </c>
      <c r="CP6" s="85">
        <f t="shared" ref="CP6:CP64" si="8" xml:space="preserve"> ROW() - 4</f>
        <v>2</v>
      </c>
      <c r="CQ6" s="93" t="str">
        <v>ts(i)</v>
      </c>
      <c r="CR6" s="91" t="str">
        <v>j</v>
      </c>
      <c r="CS6" s="92" t="str">
        <v>r</v>
      </c>
      <c r="CT6" s="77" t="str">
        <v>ㄐ</v>
      </c>
      <c r="CU6" s="94" t="str">
        <v>聲</v>
      </c>
      <c r="CV6" s="95">
        <v>5</v>
      </c>
      <c r="CX6" s="96" t="str">
        <f t="shared" si="3"/>
        <v xml:space="preserve">    - xform/^ts(i)/j/  # 【r】 ==&gt; 聲： ㄐ [ts(i)]</v>
      </c>
      <c r="CY6" s="85">
        <f t="shared" ref="CY6:CY64" si="9" xml:space="preserve"> ROW() - 4</f>
        <v>2</v>
      </c>
      <c r="CZ6" s="93">
        <v>8</v>
      </c>
      <c r="DA6" s="91" t="str">
        <v>8</v>
      </c>
      <c r="DB6" s="92" t="str">
        <v>]</v>
      </c>
      <c r="DC6" s="77" t="str">
        <v>八</v>
      </c>
      <c r="DD6" s="94" t="str">
        <v>鍵</v>
      </c>
      <c r="DE6" s="95">
        <v>1</v>
      </c>
      <c r="DG6" s="17"/>
    </row>
    <row r="7" spans="1:111" ht="45" customHeight="1" thickBot="1">
      <c r="A7" s="61"/>
      <c r="B7" s="61"/>
      <c r="C7" s="62" t="s">
        <v>92</v>
      </c>
      <c r="D7" s="63"/>
      <c r="E7" s="65" t="s">
        <v>93</v>
      </c>
      <c r="F7" s="62" t="s">
        <v>94</v>
      </c>
      <c r="G7" s="63"/>
      <c r="H7" s="65" t="s">
        <v>95</v>
      </c>
      <c r="I7" s="62" t="s">
        <v>96</v>
      </c>
      <c r="J7" s="63">
        <v>0</v>
      </c>
      <c r="K7" s="103" t="s">
        <v>279</v>
      </c>
      <c r="L7" s="104" t="s">
        <v>98</v>
      </c>
      <c r="M7" s="63"/>
      <c r="N7" s="105" t="s">
        <v>561</v>
      </c>
      <c r="O7" s="62" t="s">
        <v>99</v>
      </c>
      <c r="P7" s="63"/>
      <c r="Q7" s="103" t="s">
        <v>100</v>
      </c>
      <c r="R7" s="104" t="s">
        <v>101</v>
      </c>
      <c r="S7" s="63"/>
      <c r="T7" s="106" t="s">
        <v>102</v>
      </c>
      <c r="U7" s="69" t="s">
        <v>103</v>
      </c>
      <c r="V7" s="67"/>
      <c r="W7" s="71" t="s">
        <v>104</v>
      </c>
      <c r="X7" s="69" t="s">
        <v>105</v>
      </c>
      <c r="Y7" s="67"/>
      <c r="Z7" s="71" t="s">
        <v>106</v>
      </c>
      <c r="AA7" s="69" t="s">
        <v>107</v>
      </c>
      <c r="AB7" s="67"/>
      <c r="AC7" s="71" t="s">
        <v>108</v>
      </c>
      <c r="AD7" s="69" t="s">
        <v>109</v>
      </c>
      <c r="AE7" s="70"/>
      <c r="AF7" s="107" t="s">
        <v>110</v>
      </c>
      <c r="AG7" s="258"/>
      <c r="AH7" s="259"/>
      <c r="AI7" s="260" t="s">
        <v>555</v>
      </c>
      <c r="AJ7" s="258" t="s">
        <v>55</v>
      </c>
      <c r="AK7" s="259"/>
      <c r="AL7" s="260" t="s">
        <v>554</v>
      </c>
      <c r="AM7" s="69"/>
      <c r="AN7" s="70"/>
      <c r="AO7" s="71"/>
      <c r="AP7" s="61"/>
      <c r="AQ7" s="61"/>
      <c r="AR7" s="9"/>
      <c r="AS7" s="9"/>
      <c r="AT7" s="61"/>
      <c r="AU7" s="61"/>
      <c r="AV7" s="61"/>
      <c r="BN7" s="85">
        <f t="shared" si="4"/>
        <v>3</v>
      </c>
      <c r="BO7" s="253" t="str">
        <v>ph</v>
      </c>
      <c r="BP7" s="86" t="str">
        <v>p</v>
      </c>
      <c r="BQ7" s="76" t="str">
        <v>q</v>
      </c>
      <c r="BR7" s="77" t="str">
        <v>ㄆ</v>
      </c>
      <c r="BS7" s="87" t="s">
        <v>282</v>
      </c>
      <c r="BT7" s="88">
        <f t="shared" si="0"/>
        <v>2</v>
      </c>
      <c r="BU7" s="18"/>
      <c r="BV7" s="89" t="str">
        <f t="shared" si="5"/>
        <v xml:space="preserve">    "q": { commit: "ㄆ" }  # /m/ ==&gt; p</v>
      </c>
      <c r="BW7" s="90"/>
      <c r="BX7" s="85">
        <f t="shared" si="6"/>
        <v>3</v>
      </c>
      <c r="BY7" s="93"/>
      <c r="BZ7" s="91"/>
      <c r="CA7" s="92"/>
      <c r="CB7" s="77"/>
      <c r="CC7" s="94"/>
      <c r="CD7" s="95"/>
      <c r="CF7" s="17" t="str">
        <f t="shared" si="1"/>
        <v/>
      </c>
      <c r="CG7" s="85">
        <f t="shared" si="7"/>
        <v>3</v>
      </c>
      <c r="CH7" s="93" t="str">
        <v>-ng</v>
      </c>
      <c r="CI7" s="91" t="str">
        <v>G</v>
      </c>
      <c r="CJ7" s="92" t="str">
        <v>/</v>
      </c>
      <c r="CK7" s="77" t="str">
        <v>ㆭ</v>
      </c>
      <c r="CL7" s="94" t="str">
        <v>韻</v>
      </c>
      <c r="CM7" s="95">
        <v>3</v>
      </c>
      <c r="CO7" s="17" t="str">
        <f t="shared" si="2"/>
        <v xml:space="preserve">    - xform/-ng/G/  # 【/】 ==&gt; 韻： ㆭ [-ng]</v>
      </c>
      <c r="CP7" s="85">
        <f t="shared" si="8"/>
        <v>3</v>
      </c>
      <c r="CQ7" s="93" t="str">
        <v>j(i)</v>
      </c>
      <c r="CR7" s="91" t="str">
        <v>J</v>
      </c>
      <c r="CS7" s="92" t="str">
        <v>R</v>
      </c>
      <c r="CT7" s="77" t="str">
        <v>ㆢ</v>
      </c>
      <c r="CU7" s="94" t="str">
        <v>聲</v>
      </c>
      <c r="CV7" s="95">
        <v>4</v>
      </c>
      <c r="CX7" s="96" t="str">
        <f t="shared" si="3"/>
        <v xml:space="preserve">    - xform/^j(i)/J/  # 【R】 ==&gt; 聲： ㆢ [j(i)]</v>
      </c>
      <c r="CY7" s="85">
        <f t="shared" si="9"/>
        <v>3</v>
      </c>
      <c r="CZ7" s="93"/>
      <c r="DA7" s="91"/>
      <c r="DB7" s="92"/>
      <c r="DC7" s="77"/>
      <c r="DD7" s="94"/>
      <c r="DE7" s="95"/>
    </row>
    <row r="8" spans="1:111" s="18" customFormat="1" ht="45" customHeight="1">
      <c r="A8" s="19"/>
      <c r="B8" s="19"/>
      <c r="C8" s="108"/>
      <c r="D8" s="20" t="s">
        <v>111</v>
      </c>
      <c r="E8" s="21"/>
      <c r="F8" s="22"/>
      <c r="G8" s="20" t="s">
        <v>112</v>
      </c>
      <c r="H8" s="21"/>
      <c r="I8" s="22"/>
      <c r="J8" s="20" t="s">
        <v>113</v>
      </c>
      <c r="K8" s="21"/>
      <c r="L8" s="22"/>
      <c r="M8" s="20" t="s">
        <v>114</v>
      </c>
      <c r="N8" s="21"/>
      <c r="O8" s="22"/>
      <c r="P8" s="20" t="s">
        <v>115</v>
      </c>
      <c r="Q8" s="21"/>
      <c r="R8" s="22"/>
      <c r="S8" s="20" t="s">
        <v>116</v>
      </c>
      <c r="T8" s="21"/>
      <c r="U8" s="22"/>
      <c r="V8" s="29" t="s">
        <v>117</v>
      </c>
      <c r="W8" s="30"/>
      <c r="X8" s="31"/>
      <c r="Y8" s="29" t="s">
        <v>118</v>
      </c>
      <c r="Z8" s="30"/>
      <c r="AA8" s="31"/>
      <c r="AB8" s="29" t="s">
        <v>119</v>
      </c>
      <c r="AC8" s="30"/>
      <c r="AD8" s="31"/>
      <c r="AE8" s="29" t="s">
        <v>120</v>
      </c>
      <c r="AF8" s="30"/>
      <c r="AG8" s="31"/>
      <c r="AH8" s="23" t="s">
        <v>121</v>
      </c>
      <c r="AI8" s="24"/>
      <c r="AJ8" s="25"/>
      <c r="AK8" s="19"/>
      <c r="AL8" s="19"/>
      <c r="AM8" s="19"/>
      <c r="AN8" s="19"/>
      <c r="AO8" s="19"/>
      <c r="AP8" s="19"/>
      <c r="AQ8" s="19"/>
      <c r="AR8" s="35"/>
      <c r="AS8" s="35"/>
      <c r="AT8" s="19"/>
      <c r="AU8" s="19"/>
      <c r="AV8" s="19"/>
      <c r="BN8" s="85">
        <f t="shared" si="4"/>
        <v>4</v>
      </c>
      <c r="BO8" s="253" t="str">
        <v>m</v>
      </c>
      <c r="BP8" s="86" t="str">
        <v>m</v>
      </c>
      <c r="BQ8" s="76" t="str">
        <v>a</v>
      </c>
      <c r="BR8" s="77" t="str">
        <v>ㄇ</v>
      </c>
      <c r="BS8" s="87" t="s">
        <v>282</v>
      </c>
      <c r="BT8" s="88">
        <f t="shared" si="0"/>
        <v>1</v>
      </c>
      <c r="BU8" s="10"/>
      <c r="BV8" s="89" t="str">
        <f t="shared" si="5"/>
        <v xml:space="preserve">    "a": { commit: "ㄇ" }  # /n/ ==&gt; m</v>
      </c>
      <c r="BW8" s="90"/>
      <c r="BX8" s="85">
        <f t="shared" si="6"/>
        <v>4</v>
      </c>
      <c r="BY8" s="93"/>
      <c r="BZ8" s="91"/>
      <c r="CA8" s="92"/>
      <c r="CB8" s="77"/>
      <c r="CC8" s="94"/>
      <c r="CD8" s="95"/>
      <c r="CF8" s="17" t="str">
        <f t="shared" si="1"/>
        <v/>
      </c>
      <c r="CG8" s="85">
        <f t="shared" si="7"/>
        <v>4</v>
      </c>
      <c r="CH8" s="93" t="str">
        <v>ang</v>
      </c>
      <c r="CI8" s="91" t="str">
        <v>A</v>
      </c>
      <c r="CJ8" s="92" t="str">
        <v>;</v>
      </c>
      <c r="CK8" s="77" t="str">
        <v>ㄤ</v>
      </c>
      <c r="CL8" s="94" t="str">
        <v>韻</v>
      </c>
      <c r="CM8" s="95">
        <v>3</v>
      </c>
      <c r="CO8" s="17" t="str">
        <f t="shared" si="2"/>
        <v xml:space="preserve">    - xform/ang/A/  # 【;】 ==&gt; 韻： ㄤ [ang]</v>
      </c>
      <c r="CP8" s="85">
        <f t="shared" si="8"/>
        <v>4</v>
      </c>
      <c r="CQ8" s="93" t="str">
        <v>s(i)</v>
      </c>
      <c r="CR8" s="91" t="str">
        <v>S</v>
      </c>
      <c r="CS8" s="92" t="str">
        <v>v</v>
      </c>
      <c r="CT8" s="77" t="str">
        <v>ㄒ</v>
      </c>
      <c r="CU8" s="94" t="str">
        <v>聲</v>
      </c>
      <c r="CV8" s="95">
        <v>4</v>
      </c>
      <c r="CX8" s="96" t="str">
        <f t="shared" si="3"/>
        <v xml:space="preserve">    - xform/^s(i)/S/  # 【v】 ==&gt; 聲： ㄒ [s(i)]</v>
      </c>
      <c r="CY8" s="85">
        <f t="shared" si="9"/>
        <v>4</v>
      </c>
      <c r="CZ8" s="93"/>
      <c r="DA8" s="91"/>
      <c r="DB8" s="92"/>
      <c r="DC8" s="77"/>
      <c r="DD8" s="94"/>
      <c r="DE8" s="95"/>
      <c r="DG8" s="17"/>
    </row>
    <row r="9" spans="1:111" s="18" customFormat="1" ht="45" customHeight="1">
      <c r="A9" s="19"/>
      <c r="B9" s="19"/>
      <c r="C9" s="108"/>
      <c r="D9" s="37"/>
      <c r="E9" s="38"/>
      <c r="F9" s="109"/>
      <c r="G9" s="40"/>
      <c r="H9" s="38"/>
      <c r="I9" s="41"/>
      <c r="J9" s="40"/>
      <c r="K9" s="38"/>
      <c r="L9" s="41"/>
      <c r="M9" s="40"/>
      <c r="N9" s="38"/>
      <c r="O9" s="41"/>
      <c r="P9" s="40"/>
      <c r="Q9" s="38"/>
      <c r="R9" s="41"/>
      <c r="S9" s="97"/>
      <c r="T9" s="38"/>
      <c r="U9" s="98"/>
      <c r="V9" s="48" t="s">
        <v>122</v>
      </c>
      <c r="W9" s="275" t="s">
        <v>544</v>
      </c>
      <c r="X9" s="276" t="s">
        <v>123</v>
      </c>
      <c r="Y9" s="52" t="s">
        <v>124</v>
      </c>
      <c r="Z9" s="277" t="s">
        <v>259</v>
      </c>
      <c r="AA9" s="278" t="s">
        <v>125</v>
      </c>
      <c r="AB9" s="48" t="s">
        <v>126</v>
      </c>
      <c r="AC9" s="277" t="s">
        <v>127</v>
      </c>
      <c r="AD9" s="278"/>
      <c r="AE9" s="48"/>
      <c r="AF9" s="49"/>
      <c r="AG9" s="50"/>
      <c r="AH9" s="42"/>
      <c r="AI9" s="43"/>
      <c r="AJ9" s="44"/>
      <c r="AK9" s="19"/>
      <c r="AL9" s="19"/>
      <c r="AM9" s="19"/>
      <c r="AN9" s="19"/>
      <c r="AO9" s="19"/>
      <c r="AP9" s="19"/>
      <c r="AQ9" s="19"/>
      <c r="AR9" s="35"/>
      <c r="AS9" s="35"/>
      <c r="AT9" s="19"/>
      <c r="AU9" s="19"/>
      <c r="AV9" s="19"/>
      <c r="BN9" s="85">
        <f t="shared" si="4"/>
        <v>5</v>
      </c>
      <c r="BO9" s="253" t="str">
        <v>n</v>
      </c>
      <c r="BP9" s="86" t="str">
        <v>d</v>
      </c>
      <c r="BQ9" s="76" t="str">
        <v>2</v>
      </c>
      <c r="BR9" s="77" t="str">
        <v>ㄉ</v>
      </c>
      <c r="BS9" s="87" t="s">
        <v>282</v>
      </c>
      <c r="BT9" s="88">
        <f t="shared" si="0"/>
        <v>1</v>
      </c>
      <c r="BV9" s="89" t="str">
        <f t="shared" si="5"/>
        <v xml:space="preserve">    "2": { commit: "ㄉ" }  # /t/ ==&gt; d</v>
      </c>
      <c r="BW9" s="90"/>
      <c r="BX9" s="85">
        <f t="shared" si="6"/>
        <v>5</v>
      </c>
      <c r="BY9" s="93"/>
      <c r="BZ9" s="91"/>
      <c r="CA9" s="92"/>
      <c r="CB9" s="77"/>
      <c r="CC9" s="94"/>
      <c r="CD9" s="95"/>
      <c r="CF9" s="17" t="str">
        <f t="shared" si="1"/>
        <v/>
      </c>
      <c r="CG9" s="85">
        <f t="shared" si="7"/>
        <v>5</v>
      </c>
      <c r="CH9" s="93" t="str">
        <v>ong</v>
      </c>
      <c r="CI9" s="91" t="str">
        <v>H</v>
      </c>
      <c r="CJ9" s="92" t="str">
        <v>o</v>
      </c>
      <c r="CK9" s="77" t="str">
        <v>ㆲ</v>
      </c>
      <c r="CL9" s="94" t="str">
        <v>韻</v>
      </c>
      <c r="CM9" s="95">
        <v>3</v>
      </c>
      <c r="CO9" s="17" t="str">
        <f t="shared" si="2"/>
        <v xml:space="preserve">    - xform/ong/H/  # 【o】 ==&gt; 韻： ㆲ [ong]</v>
      </c>
      <c r="CP9" s="85">
        <f t="shared" si="8"/>
        <v>5</v>
      </c>
      <c r="CQ9" s="93" t="str">
        <v>tsh</v>
      </c>
      <c r="CR9" s="91" t="str">
        <v>c</v>
      </c>
      <c r="CS9" s="92" t="str">
        <v>h</v>
      </c>
      <c r="CT9" s="77" t="str">
        <v>ㄘ</v>
      </c>
      <c r="CU9" s="94" t="str">
        <v>聲</v>
      </c>
      <c r="CV9" s="95">
        <v>3</v>
      </c>
      <c r="CX9" s="96" t="str">
        <f t="shared" si="3"/>
        <v xml:space="preserve">    - xform/^tsh/c/  # 【h】 ==&gt; 聲： ㄘ [tsh]</v>
      </c>
      <c r="CY9" s="85">
        <f t="shared" si="9"/>
        <v>5</v>
      </c>
      <c r="CZ9" s="93"/>
      <c r="DA9" s="91"/>
      <c r="DB9" s="92"/>
      <c r="DC9" s="77"/>
      <c r="DD9" s="94"/>
      <c r="DE9" s="95"/>
      <c r="DG9" s="17"/>
    </row>
    <row r="10" spans="1:111" ht="45" customHeight="1" thickBot="1">
      <c r="A10" s="61"/>
      <c r="B10" s="61"/>
      <c r="C10" s="61"/>
      <c r="D10" s="62" t="s">
        <v>128</v>
      </c>
      <c r="E10" s="63"/>
      <c r="F10" s="65" t="s">
        <v>129</v>
      </c>
      <c r="G10" s="62" t="s">
        <v>130</v>
      </c>
      <c r="H10" s="63"/>
      <c r="I10" s="65" t="s">
        <v>131</v>
      </c>
      <c r="J10" s="62" t="s">
        <v>132</v>
      </c>
      <c r="K10" s="63">
        <v>0</v>
      </c>
      <c r="L10" s="106" t="s">
        <v>280</v>
      </c>
      <c r="M10" s="62" t="s">
        <v>134</v>
      </c>
      <c r="N10" s="63"/>
      <c r="O10" s="106" t="s">
        <v>563</v>
      </c>
      <c r="P10" s="104" t="s">
        <v>136</v>
      </c>
      <c r="Q10" s="63"/>
      <c r="R10" s="106" t="s">
        <v>137</v>
      </c>
      <c r="S10" s="104" t="s">
        <v>138</v>
      </c>
      <c r="T10" s="63"/>
      <c r="U10" s="106" t="s">
        <v>139</v>
      </c>
      <c r="V10" s="69" t="s">
        <v>140</v>
      </c>
      <c r="W10" s="67"/>
      <c r="X10" s="71" t="s">
        <v>141</v>
      </c>
      <c r="Y10" s="69" t="s">
        <v>142</v>
      </c>
      <c r="Z10" s="67"/>
      <c r="AA10" s="71" t="s">
        <v>143</v>
      </c>
      <c r="AB10" s="69" t="s">
        <v>144</v>
      </c>
      <c r="AC10" s="67"/>
      <c r="AD10" s="71" t="s">
        <v>145</v>
      </c>
      <c r="AE10" s="69" t="s">
        <v>146</v>
      </c>
      <c r="AF10" s="70"/>
      <c r="AG10" s="71" t="s">
        <v>147</v>
      </c>
      <c r="AH10" s="258"/>
      <c r="AI10" s="259"/>
      <c r="AJ10" s="260" t="s">
        <v>556</v>
      </c>
      <c r="AK10" s="61"/>
      <c r="AL10" s="61"/>
      <c r="AM10" s="61"/>
      <c r="AN10" s="61"/>
      <c r="AO10" s="61"/>
      <c r="AP10" s="61"/>
      <c r="AQ10" s="61"/>
      <c r="AR10" s="9"/>
      <c r="AS10" s="9"/>
      <c r="AT10" s="61"/>
      <c r="AU10" s="61"/>
      <c r="AV10" s="61"/>
      <c r="BN10" s="85">
        <f t="shared" si="4"/>
        <v>6</v>
      </c>
      <c r="BO10" s="253" t="str">
        <v>t</v>
      </c>
      <c r="BP10" s="86" t="str">
        <v>t</v>
      </c>
      <c r="BQ10" s="76" t="str">
        <v>w</v>
      </c>
      <c r="BR10" s="77" t="str">
        <v>ㄊ</v>
      </c>
      <c r="BS10" s="87" t="s">
        <v>282</v>
      </c>
      <c r="BT10" s="88">
        <f t="shared" si="0"/>
        <v>1</v>
      </c>
      <c r="BU10" s="18"/>
      <c r="BV10" s="89" t="str">
        <f t="shared" si="5"/>
        <v xml:space="preserve">    "w": { commit: "ㄊ" }  # /th/ ==&gt; t</v>
      </c>
      <c r="BW10" s="90"/>
      <c r="BX10" s="85">
        <f t="shared" si="6"/>
        <v>6</v>
      </c>
      <c r="BY10" s="93"/>
      <c r="BZ10" s="91"/>
      <c r="CA10" s="92"/>
      <c r="CB10" s="77"/>
      <c r="CC10" s="94"/>
      <c r="CD10" s="95"/>
      <c r="CF10" s="17" t="str">
        <f t="shared" si="1"/>
        <v/>
      </c>
      <c r="CG10" s="85">
        <f t="shared" si="7"/>
        <v>6</v>
      </c>
      <c r="CH10" s="93" t="str">
        <v>-m</v>
      </c>
      <c r="CI10" s="91" t="str">
        <v>M</v>
      </c>
      <c r="CJ10" s="92" t="str">
        <v>m</v>
      </c>
      <c r="CK10" s="77" t="str">
        <v>ㆬ</v>
      </c>
      <c r="CL10" s="94" t="str">
        <v>韻</v>
      </c>
      <c r="CM10" s="95">
        <v>2</v>
      </c>
      <c r="CO10" s="17" t="str">
        <f t="shared" si="2"/>
        <v xml:space="preserve">    - xform/-m/M/  # 【m】 ==&gt; 韻： ㆬ [-m]</v>
      </c>
      <c r="CP10" s="85">
        <f t="shared" si="8"/>
        <v>6</v>
      </c>
      <c r="CQ10" s="93" t="str">
        <v>ph</v>
      </c>
      <c r="CR10" s="91" t="str">
        <v>p</v>
      </c>
      <c r="CS10" s="92" t="str">
        <v>q</v>
      </c>
      <c r="CT10" s="77" t="str">
        <v>ㄆ</v>
      </c>
      <c r="CU10" s="94" t="str">
        <v>聲</v>
      </c>
      <c r="CV10" s="95">
        <v>2</v>
      </c>
      <c r="CX10" s="96" t="str">
        <f t="shared" si="3"/>
        <v xml:space="preserve">    - xform/^ph/p/  # 【q】 ==&gt; 聲： ㄆ [ph]</v>
      </c>
      <c r="CY10" s="85">
        <f t="shared" si="9"/>
        <v>6</v>
      </c>
      <c r="CZ10" s="93"/>
      <c r="DA10" s="91"/>
      <c r="DB10" s="92"/>
      <c r="DC10" s="77"/>
      <c r="DD10" s="94"/>
      <c r="DE10" s="95"/>
    </row>
    <row r="11" spans="1:111" s="18" customFormat="1" ht="45" customHeight="1">
      <c r="A11" s="19"/>
      <c r="B11" s="19"/>
      <c r="C11" s="19"/>
      <c r="D11" s="19"/>
      <c r="E11" s="20" t="s">
        <v>148</v>
      </c>
      <c r="F11" s="21"/>
      <c r="G11" s="22"/>
      <c r="H11" s="20" t="s">
        <v>149</v>
      </c>
      <c r="I11" s="21"/>
      <c r="J11" s="22"/>
      <c r="K11" s="20" t="s">
        <v>150</v>
      </c>
      <c r="L11" s="21"/>
      <c r="M11" s="22"/>
      <c r="N11" s="20" t="s">
        <v>151</v>
      </c>
      <c r="O11" s="21"/>
      <c r="P11" s="22"/>
      <c r="Q11" s="20" t="s">
        <v>152</v>
      </c>
      <c r="R11" s="21"/>
      <c r="S11" s="22"/>
      <c r="T11" s="20" t="s">
        <v>153</v>
      </c>
      <c r="U11" s="21"/>
      <c r="V11" s="22"/>
      <c r="W11" s="29" t="s">
        <v>154</v>
      </c>
      <c r="X11" s="30"/>
      <c r="Y11" s="31"/>
      <c r="Z11" s="29" t="s">
        <v>155</v>
      </c>
      <c r="AA11" s="30"/>
      <c r="AB11" s="31"/>
      <c r="AC11" s="29" t="s">
        <v>156</v>
      </c>
      <c r="AD11" s="30"/>
      <c r="AE11" s="31"/>
      <c r="AF11" s="32" t="s">
        <v>157</v>
      </c>
      <c r="AG11" s="33"/>
      <c r="AH11" s="34"/>
      <c r="AI11" s="19"/>
      <c r="AJ11" s="19"/>
      <c r="AK11" s="19"/>
      <c r="AL11" s="19"/>
      <c r="AM11" s="19"/>
      <c r="AN11" s="19"/>
      <c r="AO11" s="19"/>
      <c r="AP11" s="19"/>
      <c r="AQ11" s="19"/>
      <c r="AR11" s="35"/>
      <c r="AS11" s="35"/>
      <c r="AT11" s="19"/>
      <c r="AU11" s="19"/>
      <c r="AV11" s="19"/>
      <c r="BN11" s="85">
        <f t="shared" si="4"/>
        <v>7</v>
      </c>
      <c r="BO11" s="253" t="str">
        <v>th</v>
      </c>
      <c r="BP11" s="86" t="str">
        <v>n</v>
      </c>
      <c r="BQ11" s="76" t="str">
        <v>s</v>
      </c>
      <c r="BR11" s="77" t="str">
        <v>ㄋ</v>
      </c>
      <c r="BS11" s="87" t="s">
        <v>282</v>
      </c>
      <c r="BT11" s="88">
        <f t="shared" si="0"/>
        <v>2</v>
      </c>
      <c r="BU11" s="10"/>
      <c r="BV11" s="89" t="str">
        <f t="shared" si="5"/>
        <v xml:space="preserve">    "s": { commit: "ㄋ" }  # /l/ ==&gt; n</v>
      </c>
      <c r="BW11" s="90"/>
      <c r="BX11" s="85">
        <f t="shared" si="6"/>
        <v>7</v>
      </c>
      <c r="BY11" s="93"/>
      <c r="BZ11" s="91"/>
      <c r="CA11" s="92"/>
      <c r="CB11" s="77"/>
      <c r="CC11" s="94"/>
      <c r="CD11" s="95"/>
      <c r="CF11" s="17" t="str">
        <f t="shared" si="1"/>
        <v/>
      </c>
      <c r="CG11" s="85">
        <f t="shared" si="7"/>
        <v>7</v>
      </c>
      <c r="CH11" s="93" t="str">
        <v>-n</v>
      </c>
      <c r="CI11" s="91" t="str">
        <v>N</v>
      </c>
      <c r="CJ11" s="92" t="str">
        <v>p</v>
      </c>
      <c r="CK11" s="77" t="str">
        <v>ㄣ</v>
      </c>
      <c r="CL11" s="94" t="str">
        <v>韻</v>
      </c>
      <c r="CM11" s="95">
        <v>2</v>
      </c>
      <c r="CO11" s="17" t="str">
        <f t="shared" si="2"/>
        <v xml:space="preserve">    - xform/-n/N/  # 【p】 ==&gt; 韻： ㄣ [-n]</v>
      </c>
      <c r="CP11" s="85">
        <f t="shared" si="8"/>
        <v>7</v>
      </c>
      <c r="CQ11" s="93" t="str">
        <v>th</v>
      </c>
      <c r="CR11" s="91" t="str">
        <v>n</v>
      </c>
      <c r="CS11" s="92" t="str">
        <v>s</v>
      </c>
      <c r="CT11" s="77" t="str">
        <v>ㄋ</v>
      </c>
      <c r="CU11" s="94" t="str">
        <v>聲</v>
      </c>
      <c r="CV11" s="95">
        <v>2</v>
      </c>
      <c r="CX11" s="96" t="str">
        <f t="shared" si="3"/>
        <v xml:space="preserve">    - xform/^th/n/  # 【s】 ==&gt; 聲： ㄋ [th]</v>
      </c>
      <c r="CY11" s="85">
        <f t="shared" si="9"/>
        <v>7</v>
      </c>
      <c r="CZ11" s="93"/>
      <c r="DA11" s="91"/>
      <c r="DB11" s="92"/>
      <c r="DC11" s="77"/>
      <c r="DD11" s="94"/>
      <c r="DE11" s="95"/>
      <c r="DG11" s="17"/>
    </row>
    <row r="12" spans="1:111" s="18" customFormat="1" ht="45" customHeight="1">
      <c r="A12" s="19"/>
      <c r="B12" s="19"/>
      <c r="C12" s="19"/>
      <c r="D12" s="19"/>
      <c r="E12" s="40"/>
      <c r="F12" s="38"/>
      <c r="G12" s="41"/>
      <c r="H12" s="40"/>
      <c r="I12" s="38"/>
      <c r="J12" s="41"/>
      <c r="K12" s="40"/>
      <c r="L12" s="38"/>
      <c r="M12" s="41"/>
      <c r="N12" s="40"/>
      <c r="O12" s="38"/>
      <c r="P12" s="41"/>
      <c r="Q12" s="97"/>
      <c r="R12" s="38"/>
      <c r="S12" s="98"/>
      <c r="T12" s="37" t="s">
        <v>158</v>
      </c>
      <c r="U12" s="38"/>
      <c r="V12" s="41" t="s">
        <v>159</v>
      </c>
      <c r="W12" s="48" t="s">
        <v>160</v>
      </c>
      <c r="X12" s="275" t="s">
        <v>272</v>
      </c>
      <c r="Y12" s="276" t="s">
        <v>123</v>
      </c>
      <c r="Z12" s="48" t="s">
        <v>162</v>
      </c>
      <c r="AA12" s="275" t="s">
        <v>545</v>
      </c>
      <c r="AB12" s="276" t="s">
        <v>123</v>
      </c>
      <c r="AC12" s="261"/>
      <c r="AD12" s="110"/>
      <c r="AE12" s="111"/>
      <c r="AF12" s="112"/>
      <c r="AG12" s="49"/>
      <c r="AH12" s="50"/>
      <c r="AI12" s="19"/>
      <c r="AJ12" s="19"/>
      <c r="AK12" s="19"/>
      <c r="AL12" s="19"/>
      <c r="AM12" s="19"/>
      <c r="AN12" s="19"/>
      <c r="AO12" s="19"/>
      <c r="AP12" s="19"/>
      <c r="AQ12" s="19" t="s">
        <v>164</v>
      </c>
      <c r="AR12" s="35"/>
      <c r="AS12" s="35"/>
      <c r="AT12" s="19"/>
      <c r="AU12" s="19"/>
      <c r="AV12" s="19"/>
      <c r="BN12" s="85">
        <f t="shared" si="4"/>
        <v>8</v>
      </c>
      <c r="BO12" s="253" t="str">
        <v>l</v>
      </c>
      <c r="BP12" s="86" t="str">
        <v>l</v>
      </c>
      <c r="BQ12" s="76" t="str">
        <v>x</v>
      </c>
      <c r="BR12" s="77" t="str">
        <v>ㄌ</v>
      </c>
      <c r="BS12" s="87" t="s">
        <v>282</v>
      </c>
      <c r="BT12" s="88">
        <f t="shared" si="0"/>
        <v>1</v>
      </c>
      <c r="BV12" s="89" t="str">
        <f t="shared" si="5"/>
        <v xml:space="preserve">    "x": { commit: "ㄌ" }  # /g/ ==&gt; l</v>
      </c>
      <c r="BW12" s="90"/>
      <c r="BX12" s="85">
        <f t="shared" si="6"/>
        <v>8</v>
      </c>
      <c r="BY12" s="93"/>
      <c r="BZ12" s="91"/>
      <c r="CA12" s="92"/>
      <c r="CB12" s="77"/>
      <c r="CC12" s="94"/>
      <c r="CD12" s="95"/>
      <c r="CF12" s="17" t="str">
        <f t="shared" si="1"/>
        <v/>
      </c>
      <c r="CG12" s="85">
        <f t="shared" si="7"/>
        <v>8</v>
      </c>
      <c r="CH12" s="93" t="str">
        <v>am</v>
      </c>
      <c r="CI12" s="91" t="str">
        <v>Y</v>
      </c>
      <c r="CJ12" s="92" t="str">
        <v>M</v>
      </c>
      <c r="CK12" s="77" t="str">
        <v>ㆰ</v>
      </c>
      <c r="CL12" s="94" t="str">
        <v>韻</v>
      </c>
      <c r="CM12" s="95">
        <v>2</v>
      </c>
      <c r="CO12" s="17" t="str">
        <f t="shared" si="2"/>
        <v xml:space="preserve">    - xform/am/Y/  # 【M】 ==&gt; 韻： ㆰ [am]</v>
      </c>
      <c r="CP12" s="85">
        <f t="shared" si="8"/>
        <v>8</v>
      </c>
      <c r="CQ12" s="93" t="str">
        <v>kh</v>
      </c>
      <c r="CR12" s="91" t="str">
        <v>k</v>
      </c>
      <c r="CS12" s="92" t="str">
        <v>d</v>
      </c>
      <c r="CT12" s="77" t="str">
        <v>ㄎ</v>
      </c>
      <c r="CU12" s="94" t="str">
        <v>聲</v>
      </c>
      <c r="CV12" s="95">
        <v>2</v>
      </c>
      <c r="CX12" s="96" t="str">
        <f t="shared" si="3"/>
        <v xml:space="preserve">    - xform/^kh/k/  # 【d】 ==&gt; 聲： ㄎ [kh]</v>
      </c>
      <c r="CY12" s="85">
        <f t="shared" si="9"/>
        <v>8</v>
      </c>
      <c r="CZ12" s="93"/>
      <c r="DA12" s="91"/>
      <c r="DB12" s="92"/>
      <c r="DC12" s="77"/>
      <c r="DD12" s="94"/>
      <c r="DE12" s="95"/>
      <c r="DG12" s="17"/>
    </row>
    <row r="13" spans="1:111" ht="45" customHeight="1" thickBot="1">
      <c r="A13" s="61"/>
      <c r="B13" s="61"/>
      <c r="C13" s="61"/>
      <c r="D13" s="61"/>
      <c r="E13" s="104" t="s">
        <v>165</v>
      </c>
      <c r="F13" s="63"/>
      <c r="G13" s="106" t="s">
        <v>166</v>
      </c>
      <c r="H13" s="62" t="s">
        <v>167</v>
      </c>
      <c r="I13" s="63"/>
      <c r="J13" s="65" t="s">
        <v>168</v>
      </c>
      <c r="K13" s="62" t="s">
        <v>169</v>
      </c>
      <c r="L13" s="63"/>
      <c r="M13" s="106" t="s">
        <v>170</v>
      </c>
      <c r="N13" s="62" t="s">
        <v>171</v>
      </c>
      <c r="O13" s="63"/>
      <c r="P13" s="106" t="s">
        <v>564</v>
      </c>
      <c r="Q13" s="104" t="s">
        <v>173</v>
      </c>
      <c r="R13" s="63"/>
      <c r="S13" s="106" t="s">
        <v>174</v>
      </c>
      <c r="T13" s="62" t="s">
        <v>175</v>
      </c>
      <c r="U13" s="63"/>
      <c r="V13" s="106" t="s">
        <v>176</v>
      </c>
      <c r="W13" s="69" t="s">
        <v>177</v>
      </c>
      <c r="X13" s="67"/>
      <c r="Y13" s="71" t="s">
        <v>178</v>
      </c>
      <c r="Z13" s="69" t="s">
        <v>179</v>
      </c>
      <c r="AA13" s="67">
        <v>0</v>
      </c>
      <c r="AB13" s="71" t="s">
        <v>180</v>
      </c>
      <c r="AC13" s="262" t="s">
        <v>558</v>
      </c>
      <c r="AD13" s="67"/>
      <c r="AE13" s="71" t="s">
        <v>559</v>
      </c>
      <c r="AF13" s="69" t="s">
        <v>182</v>
      </c>
      <c r="AG13" s="67"/>
      <c r="AH13" s="71" t="s">
        <v>183</v>
      </c>
      <c r="AI13" s="61"/>
      <c r="AJ13" s="61"/>
      <c r="AK13" s="61"/>
      <c r="AL13" s="61"/>
      <c r="AM13" s="61"/>
      <c r="AN13" s="61"/>
      <c r="AO13" s="61"/>
      <c r="AP13" s="61"/>
      <c r="AQ13" s="61"/>
      <c r="AR13" s="9"/>
      <c r="AS13" s="9"/>
      <c r="AT13" s="61"/>
      <c r="AU13" s="61"/>
      <c r="AV13" s="61"/>
      <c r="BJ13" s="18"/>
      <c r="BK13" s="18"/>
      <c r="BN13" s="85">
        <f t="shared" si="4"/>
        <v>9</v>
      </c>
      <c r="BO13" s="253" t="str">
        <v>g</v>
      </c>
      <c r="BP13" s="86" t="str">
        <v>Ğ</v>
      </c>
      <c r="BQ13" s="76" t="str">
        <v>E</v>
      </c>
      <c r="BR13" s="77" t="str">
        <v>ㆣ</v>
      </c>
      <c r="BS13" s="87" t="s">
        <v>282</v>
      </c>
      <c r="BT13" s="88">
        <f t="shared" si="0"/>
        <v>1</v>
      </c>
      <c r="BU13" s="18"/>
      <c r="BV13" s="89" t="str">
        <f t="shared" si="5"/>
        <v xml:space="preserve">    "E": { commit: "ㆣ" }  # /k/ ==&gt; Ğ</v>
      </c>
      <c r="BW13" s="90"/>
      <c r="BX13" s="85">
        <f t="shared" si="6"/>
        <v>9</v>
      </c>
      <c r="BY13" s="93"/>
      <c r="BZ13" s="91"/>
      <c r="CA13" s="92"/>
      <c r="CB13" s="77"/>
      <c r="CC13" s="94"/>
      <c r="CD13" s="95"/>
      <c r="CF13" s="17" t="str">
        <f t="shared" si="1"/>
        <v/>
      </c>
      <c r="CG13" s="85">
        <f t="shared" si="7"/>
        <v>9</v>
      </c>
      <c r="CH13" s="93" t="str">
        <v>an</v>
      </c>
      <c r="CI13" s="91" t="str">
        <v>@</v>
      </c>
      <c r="CJ13" s="92" t="str">
        <v>0</v>
      </c>
      <c r="CK13" s="77" t="str">
        <v>ㄢ</v>
      </c>
      <c r="CL13" s="94" t="str">
        <v>韻</v>
      </c>
      <c r="CM13" s="95">
        <v>2</v>
      </c>
      <c r="CO13" s="17" t="str">
        <f t="shared" si="2"/>
        <v xml:space="preserve">    - xform/an/@/  # 【0】 ==&gt; 韻： ㄢ [an]</v>
      </c>
      <c r="CP13" s="85">
        <f t="shared" si="8"/>
        <v>9</v>
      </c>
      <c r="CQ13" s="93" t="str">
        <v>ng</v>
      </c>
      <c r="CR13" s="91" t="str">
        <v>ŋ</v>
      </c>
      <c r="CS13" s="92" t="str">
        <v>G</v>
      </c>
      <c r="CT13" s="77" t="str">
        <v>ㄫ</v>
      </c>
      <c r="CU13" s="94" t="str">
        <v>聲</v>
      </c>
      <c r="CV13" s="95">
        <v>2</v>
      </c>
      <c r="CX13" s="96" t="str">
        <f t="shared" si="3"/>
        <v xml:space="preserve">    - xform/^ng/ŋ/  # 【G】 ==&gt; 聲： ㄫ [ng]</v>
      </c>
      <c r="CY13" s="85">
        <f t="shared" si="9"/>
        <v>9</v>
      </c>
      <c r="CZ13" s="93"/>
      <c r="DA13" s="91"/>
      <c r="DB13" s="92"/>
      <c r="DC13" s="77"/>
      <c r="DD13" s="94"/>
      <c r="DE13" s="95"/>
    </row>
    <row r="14" spans="1:111" ht="45" customHeight="1">
      <c r="BJ14" s="18"/>
      <c r="BK14" s="18"/>
      <c r="BN14" s="85">
        <f t="shared" si="4"/>
        <v>10</v>
      </c>
      <c r="BO14" s="253" t="str">
        <v>k</v>
      </c>
      <c r="BP14" s="86" t="str">
        <v>g</v>
      </c>
      <c r="BQ14" s="76" t="str">
        <v>e</v>
      </c>
      <c r="BR14" s="77" t="str">
        <v>ㄍ</v>
      </c>
      <c r="BS14" s="87" t="s">
        <v>282</v>
      </c>
      <c r="BT14" s="88">
        <f t="shared" si="0"/>
        <v>1</v>
      </c>
      <c r="BV14" s="89" t="str">
        <f t="shared" si="5"/>
        <v xml:space="preserve">    "e": { commit: "ㄍ" }  # /kh/ ==&gt; g</v>
      </c>
      <c r="BW14" s="90"/>
      <c r="BX14" s="85">
        <f t="shared" si="6"/>
        <v>10</v>
      </c>
      <c r="BY14" s="93"/>
      <c r="BZ14" s="91"/>
      <c r="CA14" s="92"/>
      <c r="CB14" s="77"/>
      <c r="CC14" s="94"/>
      <c r="CD14" s="95"/>
      <c r="CF14" s="17" t="str">
        <f t="shared" si="1"/>
        <v/>
      </c>
      <c r="CG14" s="85">
        <f t="shared" si="7"/>
        <v>10</v>
      </c>
      <c r="CH14" s="93" t="str">
        <v>om</v>
      </c>
      <c r="CI14" s="91" t="str">
        <v>W</v>
      </c>
      <c r="CJ14" s="92" t="str">
        <v>O</v>
      </c>
      <c r="CK14" s="77" t="str">
        <v>ㆱ</v>
      </c>
      <c r="CL14" s="94" t="str">
        <v>韻</v>
      </c>
      <c r="CM14" s="95">
        <v>2</v>
      </c>
      <c r="CO14" s="17" t="str">
        <f t="shared" si="2"/>
        <v xml:space="preserve">    - xform/om/W/  # 【O】 ==&gt; 韻： ㆱ [om]</v>
      </c>
      <c r="CP14" s="85">
        <f t="shared" si="8"/>
        <v>10</v>
      </c>
      <c r="CQ14" s="93" t="str">
        <v>ts</v>
      </c>
      <c r="CR14" s="91" t="str">
        <v>z</v>
      </c>
      <c r="CS14" s="92" t="str">
        <v>y</v>
      </c>
      <c r="CT14" s="77" t="str">
        <v>ㄗ</v>
      </c>
      <c r="CU14" s="94" t="str">
        <v>聲</v>
      </c>
      <c r="CV14" s="95">
        <v>2</v>
      </c>
      <c r="CX14" s="96" t="str">
        <f t="shared" si="3"/>
        <v xml:space="preserve">    - xform/^ts/z/  # 【y】 ==&gt; 聲： ㄗ [ts]</v>
      </c>
      <c r="CY14" s="85">
        <f t="shared" si="9"/>
        <v>10</v>
      </c>
      <c r="CZ14" s="93"/>
      <c r="DA14" s="91"/>
      <c r="DB14" s="92"/>
      <c r="DC14" s="77"/>
      <c r="DD14" s="94"/>
      <c r="DE14" s="95"/>
    </row>
    <row r="15" spans="1:111" s="113" customFormat="1" ht="4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9"/>
      <c r="AS15" s="9"/>
      <c r="AT15" s="61"/>
      <c r="AU15" s="61"/>
      <c r="AV15" s="61"/>
      <c r="AW15" s="10"/>
      <c r="AX15" s="10"/>
      <c r="AY15" s="10"/>
      <c r="AZ15" s="10"/>
      <c r="BA15" s="10"/>
      <c r="BB15" s="10"/>
      <c r="BC15" s="18"/>
      <c r="BD15" s="18"/>
      <c r="BE15" s="18"/>
      <c r="BF15" s="18"/>
      <c r="BG15" s="18"/>
      <c r="BH15" s="18"/>
      <c r="BI15" s="18"/>
      <c r="BJ15" s="18"/>
      <c r="BK15" s="18"/>
      <c r="BN15" s="85">
        <f t="shared" si="4"/>
        <v>11</v>
      </c>
      <c r="BO15" s="253" t="str">
        <v>kh</v>
      </c>
      <c r="BP15" s="86" t="str">
        <v>k</v>
      </c>
      <c r="BQ15" s="76" t="str">
        <v>d</v>
      </c>
      <c r="BR15" s="77" t="str">
        <v>ㄎ</v>
      </c>
      <c r="BS15" s="87" t="s">
        <v>282</v>
      </c>
      <c r="BT15" s="88">
        <f t="shared" si="0"/>
        <v>2</v>
      </c>
      <c r="BU15" s="10"/>
      <c r="BV15" s="89" t="str">
        <f t="shared" si="5"/>
        <v xml:space="preserve">    "d": { commit: "ㄎ" }  # /ng/ ==&gt; k</v>
      </c>
      <c r="BW15" s="90"/>
      <c r="BX15" s="85">
        <f t="shared" si="6"/>
        <v>11</v>
      </c>
      <c r="BY15" s="93"/>
      <c r="BZ15" s="91"/>
      <c r="CA15" s="92"/>
      <c r="CB15" s="77"/>
      <c r="CC15" s="94"/>
      <c r="CD15" s="95"/>
      <c r="CF15" s="17" t="str">
        <f t="shared" si="1"/>
        <v/>
      </c>
      <c r="CG15" s="85">
        <f t="shared" si="7"/>
        <v>11</v>
      </c>
      <c r="CH15" s="93" t="str">
        <v>-p</v>
      </c>
      <c r="CI15" s="91" t="str">
        <v>R</v>
      </c>
      <c r="CJ15" s="92" t="str">
        <v>b</v>
      </c>
      <c r="CK15" s="77" t="str">
        <v>ㆴ</v>
      </c>
      <c r="CL15" s="94" t="str">
        <v>韻</v>
      </c>
      <c r="CM15" s="95">
        <v>2</v>
      </c>
      <c r="CO15" s="17" t="str">
        <f t="shared" si="2"/>
        <v xml:space="preserve">    - xform/-p/R/  # 【b】 ==&gt; 韻： ㆴ [-p]</v>
      </c>
      <c r="CP15" s="85">
        <f t="shared" si="8"/>
        <v>11</v>
      </c>
      <c r="CQ15" s="93" t="str">
        <v>b</v>
      </c>
      <c r="CR15" s="91" t="str">
        <v>B</v>
      </c>
      <c r="CS15" s="92" t="str">
        <v>!</v>
      </c>
      <c r="CT15" s="77" t="str">
        <v>ㆠ</v>
      </c>
      <c r="CU15" s="94" t="str">
        <v>聲</v>
      </c>
      <c r="CV15" s="95">
        <v>1</v>
      </c>
      <c r="CX15" s="96" t="str">
        <f xml:space="preserve"> _xlfn.CONCAT("    - xform/^", CR15, "/", CR15, "/", "      # ", CT15, " [", CQ15, "]" )</f>
        <v xml:space="preserve">    - xform/^B/B/      # ㆠ [b]</v>
      </c>
      <c r="CY15" s="85">
        <f t="shared" si="9"/>
        <v>11</v>
      </c>
      <c r="CZ15" s="93"/>
      <c r="DA15" s="91"/>
      <c r="DB15" s="92"/>
      <c r="DC15" s="77"/>
      <c r="DD15" s="94"/>
      <c r="DE15" s="95"/>
      <c r="DG15" s="17"/>
    </row>
    <row r="16" spans="1:111" s="120" customFormat="1" ht="45" customHeight="1">
      <c r="A16" s="114"/>
      <c r="B16" s="115" t="s">
        <v>184</v>
      </c>
      <c r="C16" s="116"/>
      <c r="D16" s="117" cm="1">
        <f t="array" ref="D16" xml:space="preserve"> COLUMN() - COLUMN($C:$C)</f>
        <v>1</v>
      </c>
      <c r="E16" s="117" cm="1">
        <f t="array" ref="E16" xml:space="preserve"> COLUMN() - COLUMN($C:$C)</f>
        <v>2</v>
      </c>
      <c r="F16" s="117" cm="1">
        <f t="array" ref="F16" xml:space="preserve"> COLUMN() - COLUMN($C:$C)</f>
        <v>3</v>
      </c>
      <c r="G16" s="117" cm="1">
        <f t="array" ref="G16" xml:space="preserve"> COLUMN() - COLUMN($C:$C)</f>
        <v>4</v>
      </c>
      <c r="H16" s="117" cm="1">
        <f t="array" ref="H16" xml:space="preserve"> COLUMN() - COLUMN($C:$C)</f>
        <v>5</v>
      </c>
      <c r="I16" s="117" cm="1">
        <f t="array" ref="I16" xml:space="preserve"> COLUMN() - COLUMN($C:$C)</f>
        <v>6</v>
      </c>
      <c r="J16" s="117" cm="1">
        <f t="array" ref="J16" xml:space="preserve"> COLUMN() - COLUMN($C:$C)</f>
        <v>7</v>
      </c>
      <c r="K16" s="117" cm="1">
        <f t="array" ref="K16" xml:space="preserve"> COLUMN() - COLUMN($C:$C)</f>
        <v>8</v>
      </c>
      <c r="L16" s="117" cm="1">
        <f t="array" ref="L16" xml:space="preserve"> COLUMN() - COLUMN($C:$C)</f>
        <v>9</v>
      </c>
      <c r="M16" s="117" cm="1">
        <f t="array" ref="M16" xml:space="preserve"> COLUMN() - COLUMN($C:$C)</f>
        <v>10</v>
      </c>
      <c r="N16" s="117" cm="1">
        <f t="array" ref="N16" xml:space="preserve"> COLUMN() - COLUMN($C:$C)</f>
        <v>11</v>
      </c>
      <c r="O16" s="117" cm="1">
        <f t="array" ref="O16" xml:space="preserve"> COLUMN() - COLUMN($C:$C)</f>
        <v>12</v>
      </c>
      <c r="P16" s="117" cm="1">
        <f t="array" ref="P16" xml:space="preserve"> COLUMN() - COLUMN($C:$C)</f>
        <v>13</v>
      </c>
      <c r="Q16" s="117" cm="1">
        <f t="array" ref="Q16" xml:space="preserve"> COLUMN() - COLUMN($C:$C)</f>
        <v>14</v>
      </c>
      <c r="R16" s="117" cm="1">
        <f t="array" ref="R16" xml:space="preserve"> COLUMN() - COLUMN($C:$C)</f>
        <v>15</v>
      </c>
      <c r="S16" s="117" cm="1">
        <f t="array" ref="S16" xml:space="preserve"> COLUMN() - COLUMN($C:$C)</f>
        <v>16</v>
      </c>
      <c r="T16" s="117" cm="1">
        <f t="array" ref="T16" xml:space="preserve"> COLUMN() - COLUMN($C:$C)</f>
        <v>17</v>
      </c>
      <c r="U16" s="117" cm="1">
        <f t="array" ref="U16" xml:space="preserve"> COLUMN() - COLUMN($C:$C)</f>
        <v>18</v>
      </c>
      <c r="V16" s="117" cm="1">
        <f t="array" ref="V16" xml:space="preserve"> COLUMN() - COLUMN($C:$C)</f>
        <v>19</v>
      </c>
      <c r="W16" s="117" cm="1">
        <f t="array" ref="W16" xml:space="preserve"> COLUMN() - COLUMN($C:$C)</f>
        <v>20</v>
      </c>
      <c r="X16" s="117" cm="1">
        <f t="array" ref="X16" xml:space="preserve"> COLUMN() - COLUMN($C:$C)</f>
        <v>21</v>
      </c>
      <c r="Y16" s="118" cm="1">
        <f t="array" ref="Y16" xml:space="preserve"> COLUMN() - COLUMN($C:$C)</f>
        <v>22</v>
      </c>
      <c r="Z16" s="118" cm="1">
        <f t="array" ref="Z16" xml:space="preserve"> COLUMN() - COLUMN($C:$C)</f>
        <v>23</v>
      </c>
      <c r="AA16" s="118" cm="1">
        <f t="array" ref="AA16" xml:space="preserve"> COLUMN() - COLUMN($C:$C)</f>
        <v>24</v>
      </c>
      <c r="AB16" s="118" cm="1">
        <f t="array" ref="AB16" xml:space="preserve"> COLUMN() - COLUMN($C:$C)</f>
        <v>25</v>
      </c>
      <c r="AC16" s="118" cm="1">
        <f t="array" ref="AC16" xml:space="preserve"> COLUMN() - COLUMN($C:$C)</f>
        <v>26</v>
      </c>
      <c r="AD16" s="118" cm="1">
        <f t="array" ref="AD16" xml:space="preserve"> COLUMN() - COLUMN($C:$C)</f>
        <v>27</v>
      </c>
      <c r="AE16" s="118" cm="1">
        <f t="array" ref="AE16" xml:space="preserve"> COLUMN() - COLUMN($C:$C)</f>
        <v>28</v>
      </c>
      <c r="AF16" s="118" cm="1">
        <f t="array" ref="AF16" xml:space="preserve"> COLUMN() - COLUMN($C:$C)</f>
        <v>29</v>
      </c>
      <c r="AG16" s="118" cm="1">
        <f t="array" ref="AG16" xml:space="preserve"> COLUMN() - COLUMN($C:$C)</f>
        <v>30</v>
      </c>
      <c r="AH16" s="118" cm="1">
        <f t="array" ref="AH16" xml:space="preserve"> COLUMN() - COLUMN($C:$C)</f>
        <v>31</v>
      </c>
      <c r="AI16" s="118" cm="1">
        <f t="array" ref="AI16" xml:space="preserve"> COLUMN() - COLUMN($C:$C)</f>
        <v>32</v>
      </c>
      <c r="AJ16" s="118" cm="1">
        <f t="array" ref="AJ16" xml:space="preserve"> COLUMN() - COLUMN($C:$C)</f>
        <v>33</v>
      </c>
      <c r="AK16" s="118" cm="1">
        <f t="array" ref="AK16" xml:space="preserve"> COLUMN() - COLUMN($C:$C)</f>
        <v>34</v>
      </c>
      <c r="AL16" s="118" cm="1">
        <f t="array" ref="AL16" xml:space="preserve"> COLUMN() - COLUMN($C:$C)</f>
        <v>35</v>
      </c>
      <c r="AM16" s="118" cm="1">
        <f t="array" ref="AM16" xml:space="preserve"> COLUMN() - COLUMN($C:$C)</f>
        <v>36</v>
      </c>
      <c r="AN16" s="118" cm="1">
        <f t="array" ref="AN16" xml:space="preserve"> COLUMN() - COLUMN($C:$C)</f>
        <v>37</v>
      </c>
      <c r="AO16" s="118" cm="1">
        <f t="array" ref="AO16" xml:space="preserve"> COLUMN() - COLUMN($C:$C)</f>
        <v>38</v>
      </c>
      <c r="AP16" s="118" cm="1">
        <f t="array" ref="AP16" xml:space="preserve"> COLUMN() - COLUMN($C:$C)</f>
        <v>39</v>
      </c>
      <c r="AQ16" s="118" cm="1">
        <f t="array" ref="AQ16" xml:space="preserve"> COLUMN() - COLUMN($C:$C)</f>
        <v>40</v>
      </c>
      <c r="AR16" s="118" cm="1">
        <f t="array" ref="AR16" xml:space="preserve"> COLUMN() - COLUMN($C:$C)</f>
        <v>41</v>
      </c>
      <c r="AS16" s="118" cm="1">
        <f t="array" ref="AS16" xml:space="preserve"> COLUMN() - COLUMN($C:$C)</f>
        <v>42</v>
      </c>
      <c r="AT16" s="118" cm="1">
        <f t="array" ref="AT16" xml:space="preserve"> COLUMN() - COLUMN($C:$C)</f>
        <v>43</v>
      </c>
      <c r="AU16" s="118" cm="1">
        <f t="array" ref="AU16" xml:space="preserve"> COLUMN() - COLUMN($C:$C)</f>
        <v>44</v>
      </c>
      <c r="AV16" s="118" cm="1">
        <f t="array" ref="AV16" xml:space="preserve"> COLUMN() - COLUMN($C:$C)</f>
        <v>45</v>
      </c>
      <c r="AW16" s="118" cm="1">
        <f t="array" ref="AW16" xml:space="preserve"> COLUMN() - COLUMN($C:$C)</f>
        <v>46</v>
      </c>
      <c r="AX16" s="119" cm="1">
        <f t="array" ref="AX16" xml:space="preserve"> COLUMN() - COLUMN($C:$C)</f>
        <v>47</v>
      </c>
      <c r="AY16" s="119" cm="1">
        <f t="array" ref="AY16" xml:space="preserve"> COLUMN() - COLUMN($C:$C)</f>
        <v>48</v>
      </c>
      <c r="AZ16" s="119" cm="1">
        <f t="array" ref="AZ16" xml:space="preserve"> COLUMN() - COLUMN($C:$C)</f>
        <v>49</v>
      </c>
      <c r="BA16" s="119" cm="1">
        <f t="array" ref="BA16" xml:space="preserve"> COLUMN() - COLUMN($C:$C)</f>
        <v>50</v>
      </c>
      <c r="BB16" s="119" cm="1">
        <f t="array" ref="BB16" xml:space="preserve"> COLUMN() - COLUMN($C:$C)</f>
        <v>51</v>
      </c>
      <c r="BC16" s="119" cm="1">
        <f t="array" ref="BC16" xml:space="preserve"> COLUMN() - COLUMN($C:$C)</f>
        <v>52</v>
      </c>
      <c r="BD16" s="119" cm="1">
        <f t="array" ref="BD16" xml:space="preserve"> COLUMN() - COLUMN($C:$C)</f>
        <v>53</v>
      </c>
      <c r="BE16" s="119" cm="1">
        <f t="array" ref="BE16" xml:space="preserve"> COLUMN() - COLUMN($C:$C)</f>
        <v>54</v>
      </c>
      <c r="BF16" s="119" cm="1">
        <f t="array" ref="BF16" xml:space="preserve"> COLUMN() - COLUMN($C:$C)</f>
        <v>55</v>
      </c>
      <c r="BG16" s="119" cm="1">
        <f t="array" ref="BG16" xml:space="preserve"> COLUMN() - COLUMN($C:$C)</f>
        <v>56</v>
      </c>
      <c r="BH16" s="119" cm="1">
        <f t="array" ref="BH16" xml:space="preserve"> COLUMN() - COLUMN($C:$C)</f>
        <v>57</v>
      </c>
      <c r="BI16" s="119" cm="1">
        <f t="array" ref="BI16" xml:space="preserve"> COLUMN() - COLUMN($C:$C)</f>
        <v>58</v>
      </c>
      <c r="BJ16" s="119" cm="1">
        <f t="array" ref="BJ16" xml:space="preserve"> COLUMN() - COLUMN($C:$C)</f>
        <v>59</v>
      </c>
      <c r="BK16" s="119" cm="1">
        <f t="array" ref="BK16" xml:space="preserve"> COLUMN() - COLUMN($C:$C)</f>
        <v>60</v>
      </c>
      <c r="BN16" s="85">
        <f t="shared" si="4"/>
        <v>12</v>
      </c>
      <c r="BO16" s="253" t="str">
        <v>ng</v>
      </c>
      <c r="BP16" s="86" t="str">
        <v>ŋ</v>
      </c>
      <c r="BQ16" s="76" t="str">
        <v>G</v>
      </c>
      <c r="BR16" s="77" t="str">
        <v>ㄫ</v>
      </c>
      <c r="BS16" s="87" t="s">
        <v>282</v>
      </c>
      <c r="BT16" s="88">
        <f t="shared" si="0"/>
        <v>2</v>
      </c>
      <c r="BU16" s="113"/>
      <c r="BV16" s="89" t="str">
        <f xml:space="preserve"> "    """ &amp; BQ16 &amp; """: { commit: """ &amp; BR16 &amp; """ }" &amp; "  # " &amp; "/" &amp; BO17 &amp; "/ ==&gt; " &amp; BP16</f>
        <v xml:space="preserve">    "G": { commit: "ㄫ" }  # /j/ ==&gt; ŋ</v>
      </c>
      <c r="BW16" s="90"/>
      <c r="BX16" s="85">
        <f t="shared" si="6"/>
        <v>12</v>
      </c>
      <c r="BY16" s="93"/>
      <c r="BZ16" s="91"/>
      <c r="CA16" s="92"/>
      <c r="CB16" s="77"/>
      <c r="CC16" s="94"/>
      <c r="CD16" s="95"/>
      <c r="CF16" s="17" t="str">
        <f t="shared" si="1"/>
        <v/>
      </c>
      <c r="CG16" s="85">
        <f t="shared" si="7"/>
        <v>12</v>
      </c>
      <c r="CH16" s="93" t="str">
        <v>-t</v>
      </c>
      <c r="CI16" s="91" t="str">
        <v>F</v>
      </c>
      <c r="CJ16" s="92" t="str">
        <v>t</v>
      </c>
      <c r="CK16" s="77" t="str">
        <v>ㆵ</v>
      </c>
      <c r="CL16" s="94" t="str">
        <v>韻</v>
      </c>
      <c r="CM16" s="95">
        <v>2</v>
      </c>
      <c r="CO16" s="17" t="str">
        <f t="shared" si="2"/>
        <v xml:space="preserve">    - xform/-t/F/  # 【t】 ==&gt; 韻： ㆵ [-t]</v>
      </c>
      <c r="CP16" s="85">
        <f t="shared" si="8"/>
        <v>12</v>
      </c>
      <c r="CQ16" s="93" t="str">
        <v>p</v>
      </c>
      <c r="CR16" s="91" t="str">
        <v>b</v>
      </c>
      <c r="CS16" s="92" t="str">
        <v>1</v>
      </c>
      <c r="CT16" s="77" t="str">
        <v>ㄅ</v>
      </c>
      <c r="CU16" s="94" t="str">
        <v>聲</v>
      </c>
      <c r="CV16" s="95">
        <v>1</v>
      </c>
      <c r="CX16" s="96" t="str">
        <f t="shared" ref="CX16:CX25" si="10" xml:space="preserve"> _xlfn.CONCAT("    - xform/^", CR16, "/", CR16, "/", "      # ", CT16, " [", CQ16, "]" )</f>
        <v xml:space="preserve">    - xform/^b/b/      # ㄅ [p]</v>
      </c>
      <c r="CY16" s="85">
        <f t="shared" si="9"/>
        <v>12</v>
      </c>
      <c r="CZ16" s="93"/>
      <c r="DA16" s="91"/>
      <c r="DB16" s="92"/>
      <c r="DC16" s="77"/>
      <c r="DD16" s="94"/>
      <c r="DE16" s="95"/>
      <c r="DG16" s="17"/>
    </row>
    <row r="17" spans="1:111" s="120" customFormat="1" ht="45" customHeight="1">
      <c r="A17" s="121"/>
      <c r="B17" s="132" t="s">
        <v>285</v>
      </c>
      <c r="C17" s="133"/>
      <c r="D17" s="134" t="s">
        <v>38</v>
      </c>
      <c r="E17" s="134" t="s">
        <v>45</v>
      </c>
      <c r="F17" s="134" t="s">
        <v>93</v>
      </c>
      <c r="G17" s="134" t="s">
        <v>188</v>
      </c>
      <c r="H17" s="134" t="s">
        <v>189</v>
      </c>
      <c r="I17" s="134" t="s">
        <v>193</v>
      </c>
      <c r="J17" s="134" t="s">
        <v>510</v>
      </c>
      <c r="K17" s="134" t="s">
        <v>168</v>
      </c>
      <c r="L17" s="134" t="s">
        <v>97</v>
      </c>
      <c r="M17" s="134" t="s">
        <v>133</v>
      </c>
      <c r="N17" s="134" t="s">
        <v>511</v>
      </c>
      <c r="O17" s="134" t="s">
        <v>447</v>
      </c>
      <c r="P17" s="134" t="s">
        <v>187</v>
      </c>
      <c r="Q17" s="134" t="s">
        <v>574</v>
      </c>
      <c r="R17" s="134" t="s">
        <v>575</v>
      </c>
      <c r="S17" s="134" t="s">
        <v>176</v>
      </c>
      <c r="T17" s="134" t="s">
        <v>514</v>
      </c>
      <c r="U17" s="134" t="s">
        <v>576</v>
      </c>
      <c r="V17" s="134" t="s">
        <v>577</v>
      </c>
      <c r="W17" s="134" t="s">
        <v>517</v>
      </c>
      <c r="X17" s="134" t="s">
        <v>170</v>
      </c>
      <c r="Y17" s="134" t="s">
        <v>57</v>
      </c>
      <c r="Z17" s="134" t="s">
        <v>104</v>
      </c>
      <c r="AA17" s="134" t="s">
        <v>125</v>
      </c>
      <c r="AB17" s="134" t="s">
        <v>141</v>
      </c>
      <c r="AC17" s="134" t="s">
        <v>180</v>
      </c>
      <c r="AD17" s="134" t="s">
        <v>106</v>
      </c>
      <c r="AE17" s="134" t="s">
        <v>190</v>
      </c>
      <c r="AF17" s="134" t="s">
        <v>59</v>
      </c>
      <c r="AG17" s="134" t="s">
        <v>145</v>
      </c>
      <c r="AH17" s="134" t="s">
        <v>40</v>
      </c>
      <c r="AI17" s="134" t="s">
        <v>87</v>
      </c>
      <c r="AJ17" s="134" t="s">
        <v>123</v>
      </c>
      <c r="AK17" s="134" t="s">
        <v>163</v>
      </c>
      <c r="AL17" s="134" t="s">
        <v>403</v>
      </c>
      <c r="AM17" s="134" t="s">
        <v>42</v>
      </c>
      <c r="AN17" s="134" t="s">
        <v>127</v>
      </c>
      <c r="AO17" s="134" t="s">
        <v>178</v>
      </c>
      <c r="AP17" s="134" t="s">
        <v>183</v>
      </c>
      <c r="AQ17" s="134" t="s">
        <v>518</v>
      </c>
      <c r="AR17" s="134" t="s">
        <v>161</v>
      </c>
      <c r="AS17" s="134" t="s">
        <v>61</v>
      </c>
      <c r="AT17" s="134" t="s">
        <v>147</v>
      </c>
      <c r="AU17" s="134" t="s">
        <v>91</v>
      </c>
      <c r="AV17" s="134" t="s">
        <v>108</v>
      </c>
      <c r="AW17" s="134" t="s">
        <v>519</v>
      </c>
      <c r="AX17" s="134" t="s">
        <v>520</v>
      </c>
      <c r="AY17" s="134" t="s">
        <v>521</v>
      </c>
      <c r="AZ17" s="134" t="s">
        <v>522</v>
      </c>
      <c r="BA17" s="134" t="s">
        <v>571</v>
      </c>
      <c r="BB17" s="134" t="s">
        <v>570</v>
      </c>
      <c r="BC17" s="134" t="s">
        <v>566</v>
      </c>
      <c r="BD17" s="134">
        <v>1</v>
      </c>
      <c r="BE17" s="134">
        <v>7</v>
      </c>
      <c r="BF17" s="134">
        <v>3</v>
      </c>
      <c r="BG17" s="134">
        <v>2</v>
      </c>
      <c r="BH17" s="134">
        <v>5</v>
      </c>
      <c r="BI17" s="134">
        <v>8</v>
      </c>
      <c r="BJ17" s="134">
        <v>4</v>
      </c>
      <c r="BK17" s="134"/>
      <c r="BN17" s="85">
        <f t="shared" si="4"/>
        <v>13</v>
      </c>
      <c r="BO17" s="253" t="str">
        <v>j</v>
      </c>
      <c r="BP17" s="86" t="str">
        <v>Z</v>
      </c>
      <c r="BQ17" s="76" t="str">
        <v>Y</v>
      </c>
      <c r="BR17" s="77" t="str">
        <v>ㆡ</v>
      </c>
      <c r="BS17" s="87" t="s">
        <v>282</v>
      </c>
      <c r="BT17" s="88">
        <f t="shared" si="0"/>
        <v>1</v>
      </c>
      <c r="BV17" s="89" t="str">
        <f t="shared" si="5"/>
        <v xml:space="preserve">    "Y": { commit: "ㆡ" }  # /ts/ ==&gt; Z</v>
      </c>
      <c r="BW17" s="90"/>
      <c r="BX17" s="85">
        <f t="shared" si="6"/>
        <v>13</v>
      </c>
      <c r="BY17" s="93"/>
      <c r="BZ17" s="91"/>
      <c r="CA17" s="92"/>
      <c r="CB17" s="77"/>
      <c r="CC17" s="94"/>
      <c r="CD17" s="95"/>
      <c r="CF17" s="17" t="str">
        <f t="shared" si="1"/>
        <v/>
      </c>
      <c r="CG17" s="85">
        <f t="shared" si="7"/>
        <v>13</v>
      </c>
      <c r="CH17" s="93" t="str">
        <v>-k</v>
      </c>
      <c r="CI17" s="91" t="str">
        <v>Q</v>
      </c>
      <c r="CJ17" s="92" t="str">
        <v>g</v>
      </c>
      <c r="CK17" s="77" t="str">
        <v>ㆻ</v>
      </c>
      <c r="CL17" s="94" t="str">
        <v>韻</v>
      </c>
      <c r="CM17" s="95">
        <v>2</v>
      </c>
      <c r="CO17" s="17" t="str">
        <f t="shared" si="2"/>
        <v xml:space="preserve">    - xform/-k/Q/  # 【g】 ==&gt; 韻： ㆻ [-k]</v>
      </c>
      <c r="CP17" s="85">
        <f t="shared" si="8"/>
        <v>13</v>
      </c>
      <c r="CQ17" s="93" t="str">
        <v>m</v>
      </c>
      <c r="CR17" s="91" t="str">
        <v>m</v>
      </c>
      <c r="CS17" s="92" t="str">
        <v>a</v>
      </c>
      <c r="CT17" s="77" t="str">
        <v>ㄇ</v>
      </c>
      <c r="CU17" s="94" t="str">
        <v>聲</v>
      </c>
      <c r="CV17" s="95">
        <v>1</v>
      </c>
      <c r="CX17" s="96" t="str">
        <f t="shared" si="10"/>
        <v xml:space="preserve">    - xform/^m/m/      # ㄇ [m]</v>
      </c>
      <c r="CY17" s="85">
        <f t="shared" si="9"/>
        <v>13</v>
      </c>
      <c r="CZ17" s="93"/>
      <c r="DA17" s="91"/>
      <c r="DB17" s="92"/>
      <c r="DC17" s="77"/>
      <c r="DD17" s="94"/>
      <c r="DE17" s="95"/>
      <c r="DG17" s="17"/>
    </row>
    <row r="18" spans="1:111" s="120" customFormat="1" ht="45" customHeight="1">
      <c r="A18" s="121"/>
      <c r="B18" s="122" t="s">
        <v>4</v>
      </c>
      <c r="C18" s="123"/>
      <c r="D18" s="124" t="s">
        <v>152</v>
      </c>
      <c r="E18" s="124" t="s">
        <v>38</v>
      </c>
      <c r="F18" s="124" t="s">
        <v>45</v>
      </c>
      <c r="G18" s="124" t="s">
        <v>188</v>
      </c>
      <c r="H18" s="125" t="s">
        <v>185</v>
      </c>
      <c r="I18" s="124" t="s">
        <v>193</v>
      </c>
      <c r="J18" s="124" t="s">
        <v>189</v>
      </c>
      <c r="K18" s="124" t="s">
        <v>168</v>
      </c>
      <c r="L18" s="124" t="s">
        <v>549</v>
      </c>
      <c r="M18" s="125" t="s">
        <v>97</v>
      </c>
      <c r="N18" s="124" t="s">
        <v>133</v>
      </c>
      <c r="O18" s="124" t="s">
        <v>217</v>
      </c>
      <c r="P18" s="124" t="s">
        <v>148</v>
      </c>
      <c r="Q18" s="124" t="s">
        <v>102</v>
      </c>
      <c r="R18" s="124" t="s">
        <v>139</v>
      </c>
      <c r="S18" s="124" t="s">
        <v>176</v>
      </c>
      <c r="T18" s="124" t="s">
        <v>117</v>
      </c>
      <c r="U18" s="124" t="s">
        <v>187</v>
      </c>
      <c r="V18" s="124" t="s">
        <v>150</v>
      </c>
      <c r="W18" s="124" t="s">
        <v>112</v>
      </c>
      <c r="X18" s="124" t="s">
        <v>170</v>
      </c>
      <c r="Y18" s="124" t="s">
        <v>57</v>
      </c>
      <c r="Z18" s="124" t="s">
        <v>104</v>
      </c>
      <c r="AA18" s="124" t="s">
        <v>195</v>
      </c>
      <c r="AB18" s="124" t="s">
        <v>141</v>
      </c>
      <c r="AC18" s="124" t="s">
        <v>180</v>
      </c>
      <c r="AD18" s="124" t="s">
        <v>75</v>
      </c>
      <c r="AE18" s="124" t="s">
        <v>10</v>
      </c>
      <c r="AF18" s="124" t="s">
        <v>74</v>
      </c>
      <c r="AG18" s="124" t="s">
        <v>73</v>
      </c>
      <c r="AH18" s="125" t="s">
        <v>113</v>
      </c>
      <c r="AI18" s="125" t="s">
        <v>186</v>
      </c>
      <c r="AJ18" s="125" t="s">
        <v>191</v>
      </c>
      <c r="AK18" s="125" t="s">
        <v>192</v>
      </c>
      <c r="AL18" s="125" t="s">
        <v>194</v>
      </c>
      <c r="AM18" s="124" t="s">
        <v>196</v>
      </c>
      <c r="AN18" s="124" t="s">
        <v>197</v>
      </c>
      <c r="AO18" s="124" t="s">
        <v>154</v>
      </c>
      <c r="AP18" s="124" t="s">
        <v>115</v>
      </c>
      <c r="AQ18" s="124" t="s">
        <v>153</v>
      </c>
      <c r="AR18" s="124" t="s">
        <v>72</v>
      </c>
      <c r="AS18" s="124" t="s">
        <v>218</v>
      </c>
      <c r="AT18" s="124" t="s">
        <v>111</v>
      </c>
      <c r="AU18" s="124" t="s">
        <v>68</v>
      </c>
      <c r="AV18" s="124" t="s">
        <v>116</v>
      </c>
      <c r="AW18" s="125" t="s">
        <v>70</v>
      </c>
      <c r="AX18" s="125" t="s">
        <v>114</v>
      </c>
      <c r="AY18" s="125" t="s">
        <v>67</v>
      </c>
      <c r="AZ18" s="125" t="s">
        <v>151</v>
      </c>
      <c r="BA18" s="124" t="s">
        <v>578</v>
      </c>
      <c r="BB18" s="124" t="s">
        <v>119</v>
      </c>
      <c r="BC18" s="124" t="s">
        <v>566</v>
      </c>
      <c r="BD18" s="124" t="s">
        <v>221</v>
      </c>
      <c r="BE18" s="124" t="s">
        <v>579</v>
      </c>
      <c r="BF18" s="124" t="s">
        <v>580</v>
      </c>
      <c r="BG18" s="124" t="s">
        <v>220</v>
      </c>
      <c r="BH18" s="124" t="s">
        <v>581</v>
      </c>
      <c r="BI18" s="124" t="s">
        <v>219</v>
      </c>
      <c r="BJ18" s="124" t="s">
        <v>582</v>
      </c>
      <c r="BK18" s="124"/>
      <c r="BN18" s="85">
        <f t="shared" si="4"/>
        <v>14</v>
      </c>
      <c r="BO18" s="253" t="str">
        <v>ts</v>
      </c>
      <c r="BP18" s="86" t="str">
        <v>z</v>
      </c>
      <c r="BQ18" s="76" t="str">
        <v>y</v>
      </c>
      <c r="BR18" s="77" t="str">
        <v>ㄗ</v>
      </c>
      <c r="BS18" s="87" t="s">
        <v>282</v>
      </c>
      <c r="BT18" s="88">
        <f t="shared" si="0"/>
        <v>2</v>
      </c>
      <c r="BV18" s="89" t="str">
        <f t="shared" si="5"/>
        <v xml:space="preserve">    "y": { commit: "ㄗ" }  # /tsh/ ==&gt; z</v>
      </c>
      <c r="BW18" s="90"/>
      <c r="BX18" s="85">
        <f t="shared" si="6"/>
        <v>14</v>
      </c>
      <c r="BY18" s="93"/>
      <c r="BZ18" s="91"/>
      <c r="CA18" s="92"/>
      <c r="CB18" s="77"/>
      <c r="CC18" s="94"/>
      <c r="CD18" s="95"/>
      <c r="CF18" s="17" t="str">
        <f t="shared" si="1"/>
        <v/>
      </c>
      <c r="CG18" s="85">
        <f t="shared" si="7"/>
        <v>14</v>
      </c>
      <c r="CH18" s="93" t="str">
        <v>-h</v>
      </c>
      <c r="CI18" s="91" t="str">
        <v>V</v>
      </c>
      <c r="CJ18" s="92" t="str">
        <v>z</v>
      </c>
      <c r="CK18" s="77" t="str">
        <v>ㆷ</v>
      </c>
      <c r="CL18" s="94" t="str">
        <v>韻</v>
      </c>
      <c r="CM18" s="95">
        <v>2</v>
      </c>
      <c r="CO18" s="17" t="str">
        <f t="shared" si="2"/>
        <v xml:space="preserve">    - xform/-h/V/  # 【z】 ==&gt; 韻： ㆷ [-h]</v>
      </c>
      <c r="CP18" s="85">
        <f t="shared" si="8"/>
        <v>14</v>
      </c>
      <c r="CQ18" s="93" t="str">
        <v>n</v>
      </c>
      <c r="CR18" s="91" t="str">
        <v>d</v>
      </c>
      <c r="CS18" s="92" t="str">
        <v>2</v>
      </c>
      <c r="CT18" s="77" t="str">
        <v>ㄉ</v>
      </c>
      <c r="CU18" s="94" t="str">
        <v>聲</v>
      </c>
      <c r="CV18" s="95">
        <v>1</v>
      </c>
      <c r="CX18" s="96" t="str">
        <f t="shared" si="10"/>
        <v xml:space="preserve">    - xform/^d/d/      # ㄉ [n]</v>
      </c>
      <c r="CY18" s="85">
        <f t="shared" si="9"/>
        <v>14</v>
      </c>
      <c r="CZ18" s="93"/>
      <c r="DA18" s="91"/>
      <c r="DB18" s="92"/>
      <c r="DC18" s="77"/>
      <c r="DD18" s="94"/>
      <c r="DE18" s="95"/>
      <c r="DG18" s="17"/>
    </row>
    <row r="19" spans="1:111" s="120" customFormat="1" ht="45" customHeight="1">
      <c r="A19" s="121"/>
      <c r="B19" s="126" t="s">
        <v>64</v>
      </c>
      <c r="C19" s="127"/>
      <c r="D19" s="128" t="s">
        <v>223</v>
      </c>
      <c r="E19" s="128" t="s">
        <v>221</v>
      </c>
      <c r="F19" s="128" t="s">
        <v>191</v>
      </c>
      <c r="G19" s="128" t="s">
        <v>57</v>
      </c>
      <c r="H19" s="128" t="s">
        <v>220</v>
      </c>
      <c r="I19" s="128" t="s">
        <v>195</v>
      </c>
      <c r="J19" s="128" t="s">
        <v>176</v>
      </c>
      <c r="K19" s="128" t="s">
        <v>196</v>
      </c>
      <c r="L19" s="128" t="s">
        <v>69</v>
      </c>
      <c r="M19" s="128" t="s">
        <v>180</v>
      </c>
      <c r="N19" s="128" t="s">
        <v>185</v>
      </c>
      <c r="O19" s="128" t="s">
        <v>115</v>
      </c>
      <c r="P19" s="128" t="s">
        <v>72</v>
      </c>
      <c r="Q19" s="128" t="s">
        <v>197</v>
      </c>
      <c r="R19" s="128" t="s">
        <v>170</v>
      </c>
      <c r="S19" s="128" t="s">
        <v>189</v>
      </c>
      <c r="T19" s="128" t="s">
        <v>70</v>
      </c>
      <c r="U19" s="128" t="s">
        <v>192</v>
      </c>
      <c r="V19" s="128" t="s">
        <v>186</v>
      </c>
      <c r="W19" s="128" t="s">
        <v>194</v>
      </c>
      <c r="X19" s="128" t="s">
        <v>139</v>
      </c>
      <c r="Y19" s="128" t="s">
        <v>219</v>
      </c>
      <c r="Z19" s="128" t="s">
        <v>141</v>
      </c>
      <c r="AA19" s="128" t="s">
        <v>118</v>
      </c>
      <c r="AB19" s="128" t="s">
        <v>187</v>
      </c>
      <c r="AC19" s="128" t="s">
        <v>224</v>
      </c>
      <c r="AD19" s="128" t="s">
        <v>104</v>
      </c>
      <c r="AE19" s="128" t="s">
        <v>133</v>
      </c>
      <c r="AF19" s="128" t="s">
        <v>226</v>
      </c>
      <c r="AG19" s="128" t="s">
        <v>168</v>
      </c>
      <c r="AH19" s="128" t="s">
        <v>229</v>
      </c>
      <c r="AI19" s="128" t="s">
        <v>73</v>
      </c>
      <c r="AJ19" s="128" t="s">
        <v>117</v>
      </c>
      <c r="AK19" s="128" t="s">
        <v>230</v>
      </c>
      <c r="AL19" s="128" t="s">
        <v>74</v>
      </c>
      <c r="AM19" s="128" t="s">
        <v>231</v>
      </c>
      <c r="AN19" s="128" t="s">
        <v>119</v>
      </c>
      <c r="AO19" s="128" t="s">
        <v>188</v>
      </c>
      <c r="AP19" s="128" t="s">
        <v>225</v>
      </c>
      <c r="AQ19" s="128" t="s">
        <v>45</v>
      </c>
      <c r="AR19" s="128" t="s">
        <v>154</v>
      </c>
      <c r="AS19" s="128" t="s">
        <v>227</v>
      </c>
      <c r="AT19" s="128" t="s">
        <v>228</v>
      </c>
      <c r="AU19" s="128" t="s">
        <v>75</v>
      </c>
      <c r="AV19" s="128" t="s">
        <v>190</v>
      </c>
      <c r="AW19" s="128" t="s">
        <v>38</v>
      </c>
      <c r="AX19" s="128" t="s">
        <v>193</v>
      </c>
      <c r="AY19" s="128" t="s">
        <v>97</v>
      </c>
      <c r="AZ19" s="128" t="s">
        <v>102</v>
      </c>
      <c r="BA19" s="128">
        <v>7</v>
      </c>
      <c r="BB19" s="128" t="s">
        <v>572</v>
      </c>
      <c r="BC19" s="128" t="s">
        <v>585</v>
      </c>
      <c r="BD19" s="128" t="s">
        <v>584</v>
      </c>
      <c r="BE19" s="128" t="s">
        <v>581</v>
      </c>
      <c r="BF19" s="128" t="s">
        <v>580</v>
      </c>
      <c r="BG19" s="128" t="s">
        <v>582</v>
      </c>
      <c r="BH19" s="128" t="s">
        <v>583</v>
      </c>
      <c r="BI19" s="128" t="s">
        <v>232</v>
      </c>
      <c r="BJ19" s="128" t="s">
        <v>233</v>
      </c>
      <c r="BK19" s="128"/>
      <c r="BL19" s="10"/>
      <c r="BN19" s="85">
        <f t="shared" si="4"/>
        <v>15</v>
      </c>
      <c r="BO19" s="253" t="str">
        <v>tsh</v>
      </c>
      <c r="BP19" s="86" t="str">
        <v>c</v>
      </c>
      <c r="BQ19" s="76" t="str">
        <v>h</v>
      </c>
      <c r="BR19" s="77" t="str">
        <v>ㄘ</v>
      </c>
      <c r="BS19" s="87" t="s">
        <v>282</v>
      </c>
      <c r="BT19" s="88">
        <f t="shared" si="0"/>
        <v>3</v>
      </c>
      <c r="BV19" s="89" t="str">
        <f t="shared" si="5"/>
        <v xml:space="preserve">    "h": { commit: "ㄘ" }  # /s/ ==&gt; c</v>
      </c>
      <c r="BW19" s="90"/>
      <c r="BX19" s="85">
        <f t="shared" si="6"/>
        <v>15</v>
      </c>
      <c r="BY19" s="93"/>
      <c r="BZ19" s="91"/>
      <c r="CA19" s="92"/>
      <c r="CB19" s="77"/>
      <c r="CC19" s="94"/>
      <c r="CD19" s="95"/>
      <c r="CF19" s="17" t="str">
        <f t="shared" si="1"/>
        <v/>
      </c>
      <c r="CG19" s="85">
        <f t="shared" si="7"/>
        <v>15</v>
      </c>
      <c r="CH19" s="93" t="str">
        <v>o</v>
      </c>
      <c r="CI19" s="91" t="str">
        <v>ə</v>
      </c>
      <c r="CJ19" s="92" t="str">
        <v>k</v>
      </c>
      <c r="CK19" s="77" t="str">
        <v>ㄜ</v>
      </c>
      <c r="CL19" s="94" t="str">
        <v>韻</v>
      </c>
      <c r="CM19" s="95">
        <v>1</v>
      </c>
      <c r="CO19" s="17" t="str">
        <f t="shared" si="2"/>
        <v xml:space="preserve">    - xform/o/ə/  # 【k】 ==&gt; 韻： ㄜ [o]</v>
      </c>
      <c r="CP19" s="85">
        <f t="shared" si="8"/>
        <v>15</v>
      </c>
      <c r="CQ19" s="93" t="str">
        <v>t</v>
      </c>
      <c r="CR19" s="91" t="str">
        <v>t</v>
      </c>
      <c r="CS19" s="92" t="str">
        <v>w</v>
      </c>
      <c r="CT19" s="77" t="str">
        <v>ㄊ</v>
      </c>
      <c r="CU19" s="94" t="str">
        <v>聲</v>
      </c>
      <c r="CV19" s="95">
        <v>1</v>
      </c>
      <c r="CX19" s="96" t="str">
        <f t="shared" si="10"/>
        <v xml:space="preserve">    - xform/^t/t/      # ㄊ [t]</v>
      </c>
      <c r="CY19" s="85">
        <f t="shared" si="9"/>
        <v>15</v>
      </c>
      <c r="CZ19" s="93"/>
      <c r="DA19" s="91"/>
      <c r="DB19" s="92"/>
      <c r="DC19" s="77"/>
      <c r="DD19" s="94"/>
      <c r="DE19" s="95"/>
      <c r="DG19" s="17"/>
    </row>
    <row r="20" spans="1:111" ht="45" customHeight="1">
      <c r="A20" s="121"/>
      <c r="B20" s="129" t="s">
        <v>65</v>
      </c>
      <c r="C20" s="130"/>
      <c r="D20" s="131" t="s">
        <v>37</v>
      </c>
      <c r="E20" s="131" t="s">
        <v>44</v>
      </c>
      <c r="F20" s="131" t="s">
        <v>92</v>
      </c>
      <c r="G20" s="131" t="s">
        <v>128</v>
      </c>
      <c r="H20" s="131" t="s">
        <v>46</v>
      </c>
      <c r="I20" s="131" t="s">
        <v>94</v>
      </c>
      <c r="J20" s="131" t="s">
        <v>130</v>
      </c>
      <c r="K20" s="131" t="s">
        <v>167</v>
      </c>
      <c r="L20" s="131" t="s">
        <v>80</v>
      </c>
      <c r="M20" s="131" t="s">
        <v>96</v>
      </c>
      <c r="N20" s="131" t="s">
        <v>132</v>
      </c>
      <c r="O20" s="131" t="s">
        <v>158</v>
      </c>
      <c r="P20" s="131" t="s">
        <v>84</v>
      </c>
      <c r="Q20" s="131" t="s">
        <v>101</v>
      </c>
      <c r="R20" s="131" t="s">
        <v>138</v>
      </c>
      <c r="S20" s="131" t="s">
        <v>175</v>
      </c>
      <c r="T20" s="131" t="s">
        <v>82</v>
      </c>
      <c r="U20" s="131" t="s">
        <v>98</v>
      </c>
      <c r="V20" s="131" t="s">
        <v>134</v>
      </c>
      <c r="W20" s="131" t="s">
        <v>171</v>
      </c>
      <c r="X20" s="131" t="s">
        <v>169</v>
      </c>
      <c r="Y20" s="131" t="s">
        <v>234</v>
      </c>
      <c r="Z20" s="131" t="s">
        <v>103</v>
      </c>
      <c r="AA20" s="131" t="s">
        <v>124</v>
      </c>
      <c r="AB20" s="131" t="s">
        <v>140</v>
      </c>
      <c r="AC20" s="131" t="s">
        <v>179</v>
      </c>
      <c r="AD20" s="131" t="s">
        <v>105</v>
      </c>
      <c r="AE20" s="131" t="s">
        <v>142</v>
      </c>
      <c r="AF20" s="131" t="s">
        <v>58</v>
      </c>
      <c r="AG20" s="131" t="s">
        <v>144</v>
      </c>
      <c r="AH20" s="131" t="s">
        <v>39</v>
      </c>
      <c r="AI20" s="131" t="s">
        <v>86</v>
      </c>
      <c r="AJ20" s="131" t="s">
        <v>122</v>
      </c>
      <c r="AK20" s="131" t="s">
        <v>162</v>
      </c>
      <c r="AL20" s="131" t="s">
        <v>88</v>
      </c>
      <c r="AM20" s="131" t="s">
        <v>41</v>
      </c>
      <c r="AN20" s="131" t="s">
        <v>126</v>
      </c>
      <c r="AO20" s="131" t="s">
        <v>177</v>
      </c>
      <c r="AP20" s="131" t="s">
        <v>182</v>
      </c>
      <c r="AQ20" s="131" t="s">
        <v>109</v>
      </c>
      <c r="AR20" s="131" t="s">
        <v>160</v>
      </c>
      <c r="AS20" s="131" t="s">
        <v>60</v>
      </c>
      <c r="AT20" s="131" t="s">
        <v>146</v>
      </c>
      <c r="AU20" s="131" t="s">
        <v>90</v>
      </c>
      <c r="AV20" s="131" t="s">
        <v>107</v>
      </c>
      <c r="AW20" s="131" t="s">
        <v>173</v>
      </c>
      <c r="AX20" s="131" t="s">
        <v>99</v>
      </c>
      <c r="AY20" s="131" t="s">
        <v>136</v>
      </c>
      <c r="AZ20" s="131" t="s">
        <v>165</v>
      </c>
      <c r="BA20" s="131" t="s">
        <v>62</v>
      </c>
      <c r="BB20" s="131" t="s">
        <v>181</v>
      </c>
      <c r="BC20" s="131" t="s">
        <v>566</v>
      </c>
      <c r="BD20" s="131" t="s">
        <v>241</v>
      </c>
      <c r="BE20" s="271" t="s">
        <v>313</v>
      </c>
      <c r="BF20" s="271" t="s">
        <v>311</v>
      </c>
      <c r="BG20" s="272" t="s">
        <v>310</v>
      </c>
      <c r="BH20" s="272" t="s">
        <v>299</v>
      </c>
      <c r="BI20" s="131" t="s">
        <v>235</v>
      </c>
      <c r="BJ20" s="131" t="s">
        <v>240</v>
      </c>
      <c r="BK20" s="131"/>
      <c r="BL20" s="135"/>
      <c r="BN20" s="85">
        <f t="shared" si="4"/>
        <v>16</v>
      </c>
      <c r="BO20" s="253" t="str">
        <v>s</v>
      </c>
      <c r="BP20" s="86" t="str">
        <v>s</v>
      </c>
      <c r="BQ20" s="76" t="str">
        <v>n</v>
      </c>
      <c r="BR20" s="77" t="str">
        <v>ㄙ</v>
      </c>
      <c r="BS20" s="87" t="s">
        <v>282</v>
      </c>
      <c r="BT20" s="88">
        <f t="shared" si="0"/>
        <v>1</v>
      </c>
      <c r="BU20" s="120"/>
      <c r="BV20" s="89" t="str">
        <f xml:space="preserve"> "    """ &amp; BQ20 &amp; """: { commit: """ &amp; BR20 &amp; """ }" &amp; "  # " &amp; "/" &amp; BO21 &amp; "/ ==&gt; " &amp; BP20</f>
        <v xml:space="preserve">    "n": { commit: "ㄙ" }  # /j(i)/ ==&gt; s</v>
      </c>
      <c r="BW20" s="90"/>
      <c r="BX20" s="85">
        <f t="shared" si="6"/>
        <v>16</v>
      </c>
      <c r="BY20" s="93"/>
      <c r="BZ20" s="91"/>
      <c r="CA20" s="92"/>
      <c r="CB20" s="77"/>
      <c r="CC20" s="94"/>
      <c r="CD20" s="95"/>
      <c r="CF20" s="17" t="str">
        <f t="shared" si="1"/>
        <v/>
      </c>
      <c r="CG20" s="85">
        <f t="shared" si="7"/>
        <v>16</v>
      </c>
      <c r="CH20" s="93"/>
      <c r="CI20" s="91"/>
      <c r="CJ20" s="92"/>
      <c r="CK20" s="77"/>
      <c r="CL20" s="94"/>
      <c r="CM20" s="95"/>
      <c r="CO20" s="17" t="str">
        <f t="shared" si="2"/>
        <v/>
      </c>
      <c r="CP20" s="85">
        <f t="shared" si="8"/>
        <v>16</v>
      </c>
      <c r="CQ20" s="93" t="str">
        <v>l</v>
      </c>
      <c r="CR20" s="91" t="str">
        <v>l</v>
      </c>
      <c r="CS20" s="92" t="str">
        <v>x</v>
      </c>
      <c r="CT20" s="77" t="str">
        <v>ㄌ</v>
      </c>
      <c r="CU20" s="94" t="str">
        <v>聲</v>
      </c>
      <c r="CV20" s="95">
        <v>1</v>
      </c>
      <c r="CX20" s="96" t="str">
        <f t="shared" si="10"/>
        <v xml:space="preserve">    - xform/^l/l/      # ㄌ [l]</v>
      </c>
      <c r="CY20" s="85">
        <f t="shared" si="9"/>
        <v>16</v>
      </c>
      <c r="CZ20" s="93"/>
      <c r="DA20" s="91"/>
      <c r="DB20" s="92"/>
      <c r="DC20" s="77"/>
      <c r="DD20" s="94"/>
      <c r="DE20" s="95"/>
    </row>
    <row r="21" spans="1:111" s="135" customFormat="1" ht="45" customHeight="1">
      <c r="BM21" s="10"/>
      <c r="BN21" s="85">
        <f t="shared" si="4"/>
        <v>17</v>
      </c>
      <c r="BO21" s="253" t="str">
        <v>j(i)</v>
      </c>
      <c r="BP21" s="86" t="str">
        <v>J</v>
      </c>
      <c r="BQ21" s="76" t="str">
        <v>R</v>
      </c>
      <c r="BR21" s="77" t="str">
        <v>ㆢ</v>
      </c>
      <c r="BS21" s="87" t="s">
        <v>282</v>
      </c>
      <c r="BT21" s="88">
        <f t="shared" si="0"/>
        <v>4</v>
      </c>
      <c r="BU21" s="10"/>
      <c r="BV21" s="89" t="str">
        <f t="shared" si="5"/>
        <v xml:space="preserve">    "R": { commit: "ㆢ" }  # /ts(i)/ ==&gt; J</v>
      </c>
      <c r="BW21" s="90"/>
      <c r="BX21" s="85">
        <f t="shared" si="6"/>
        <v>17</v>
      </c>
      <c r="BY21" s="93"/>
      <c r="BZ21" s="91"/>
      <c r="CA21" s="92"/>
      <c r="CB21" s="77"/>
      <c r="CC21" s="94"/>
      <c r="CD21" s="95"/>
      <c r="CF21" s="17" t="str">
        <f t="shared" si="1"/>
        <v/>
      </c>
      <c r="CG21" s="85">
        <f t="shared" si="7"/>
        <v>17</v>
      </c>
      <c r="CH21" s="93"/>
      <c r="CI21" s="91"/>
      <c r="CJ21" s="92"/>
      <c r="CK21" s="77"/>
      <c r="CL21" s="94"/>
      <c r="CM21" s="95"/>
      <c r="CO21" s="17" t="str">
        <f t="shared" si="2"/>
        <v/>
      </c>
      <c r="CP21" s="85">
        <f t="shared" si="8"/>
        <v>17</v>
      </c>
      <c r="CQ21" s="93" t="str">
        <v>g</v>
      </c>
      <c r="CR21" s="91" t="str">
        <v>Ğ</v>
      </c>
      <c r="CS21" s="92" t="str">
        <v>E</v>
      </c>
      <c r="CT21" s="77" t="str">
        <v>ㆣ</v>
      </c>
      <c r="CU21" s="94" t="str">
        <v>聲</v>
      </c>
      <c r="CV21" s="95">
        <v>1</v>
      </c>
      <c r="CX21" s="96" t="str">
        <f xml:space="preserve"> _xlfn.CONCAT("    - xform/^", CR21, "/", CR21, "/", "      # ", CT21, " [", CQ21, "]" )</f>
        <v xml:space="preserve">    - xform/^Ğ/Ğ/      # ㆣ [g]</v>
      </c>
      <c r="CY21" s="85">
        <f t="shared" si="9"/>
        <v>17</v>
      </c>
      <c r="CZ21" s="93"/>
      <c r="DA21" s="91"/>
      <c r="DB21" s="92"/>
      <c r="DC21" s="77"/>
      <c r="DD21" s="94"/>
      <c r="DE21" s="95"/>
      <c r="DG21" s="17"/>
    </row>
    <row r="22" spans="1:111" s="135" customFormat="1" ht="45" customHeight="1">
      <c r="B22" s="136" t="s">
        <v>57</v>
      </c>
      <c r="C22" s="136" t="s">
        <v>38</v>
      </c>
      <c r="D22" s="136" t="s">
        <v>139</v>
      </c>
      <c r="E22" s="136" t="s">
        <v>185</v>
      </c>
      <c r="F22" s="136" t="s">
        <v>180</v>
      </c>
      <c r="G22" s="136" t="s">
        <v>186</v>
      </c>
      <c r="H22" s="136" t="s">
        <v>97</v>
      </c>
      <c r="I22" s="136" t="s">
        <v>170</v>
      </c>
      <c r="J22" s="136" t="s">
        <v>104</v>
      </c>
      <c r="K22" s="136" t="s">
        <v>187</v>
      </c>
      <c r="L22" s="136" t="s">
        <v>133</v>
      </c>
      <c r="M22" s="136" t="s">
        <v>168</v>
      </c>
      <c r="N22" s="136" t="s">
        <v>188</v>
      </c>
      <c r="O22" s="136" t="s">
        <v>189</v>
      </c>
      <c r="P22" s="136" t="s">
        <v>190</v>
      </c>
      <c r="Q22" s="136" t="s">
        <v>45</v>
      </c>
      <c r="R22" s="136" t="s">
        <v>191</v>
      </c>
      <c r="S22" s="136" t="s">
        <v>192</v>
      </c>
      <c r="T22" s="136" t="s">
        <v>176</v>
      </c>
      <c r="U22" s="136" t="s">
        <v>193</v>
      </c>
      <c r="V22" s="136" t="s">
        <v>141</v>
      </c>
      <c r="W22" s="136" t="s">
        <v>194</v>
      </c>
      <c r="X22" s="136" t="s">
        <v>195</v>
      </c>
      <c r="Y22" s="136" t="s">
        <v>196</v>
      </c>
      <c r="Z22" s="136" t="s">
        <v>197</v>
      </c>
      <c r="AA22" s="136" t="s">
        <v>102</v>
      </c>
      <c r="AL22" s="136" t="s">
        <v>57</v>
      </c>
      <c r="AM22" s="136" t="s">
        <v>38</v>
      </c>
      <c r="AN22" s="136" t="s">
        <v>139</v>
      </c>
      <c r="AO22" s="136" t="s">
        <v>185</v>
      </c>
      <c r="AP22" s="136" t="s">
        <v>180</v>
      </c>
      <c r="AQ22" s="136" t="s">
        <v>186</v>
      </c>
      <c r="AR22" s="136" t="s">
        <v>97</v>
      </c>
      <c r="AS22" s="136" t="s">
        <v>170</v>
      </c>
      <c r="AT22" s="136" t="s">
        <v>104</v>
      </c>
      <c r="AU22" s="136" t="s">
        <v>187</v>
      </c>
      <c r="AV22" s="136" t="s">
        <v>133</v>
      </c>
      <c r="AW22" s="136" t="s">
        <v>168</v>
      </c>
      <c r="AX22" s="136" t="s">
        <v>188</v>
      </c>
      <c r="AY22" s="136" t="s">
        <v>189</v>
      </c>
      <c r="AZ22" s="136" t="s">
        <v>190</v>
      </c>
      <c r="BA22" s="136" t="s">
        <v>45</v>
      </c>
      <c r="BB22" s="136" t="s">
        <v>191</v>
      </c>
      <c r="BC22" s="136" t="s">
        <v>192</v>
      </c>
      <c r="BD22" s="136" t="s">
        <v>176</v>
      </c>
      <c r="BE22" s="136" t="s">
        <v>193</v>
      </c>
      <c r="BF22" s="136" t="s">
        <v>141</v>
      </c>
      <c r="BG22" s="136" t="s">
        <v>194</v>
      </c>
      <c r="BH22" s="136" t="s">
        <v>195</v>
      </c>
      <c r="BI22" s="136" t="s">
        <v>196</v>
      </c>
      <c r="BJ22" s="136" t="s">
        <v>197</v>
      </c>
      <c r="BK22" s="136" t="s">
        <v>102</v>
      </c>
      <c r="BM22" s="10"/>
      <c r="BN22" s="85">
        <f t="shared" si="4"/>
        <v>18</v>
      </c>
      <c r="BO22" s="253" t="str">
        <v>ts(i)</v>
      </c>
      <c r="BP22" s="86" t="str">
        <v>j</v>
      </c>
      <c r="BQ22" s="76" t="str">
        <v>r</v>
      </c>
      <c r="BR22" s="77" t="str">
        <v>ㄐ</v>
      </c>
      <c r="BS22" s="87" t="s">
        <v>282</v>
      </c>
      <c r="BT22" s="88">
        <f t="shared" si="0"/>
        <v>5</v>
      </c>
      <c r="BV22" s="89" t="str">
        <f t="shared" si="5"/>
        <v xml:space="preserve">    "r": { commit: "ㄐ" }  # /tsh(i)/ ==&gt; j</v>
      </c>
      <c r="BW22" s="90"/>
      <c r="BX22" s="85">
        <f t="shared" si="6"/>
        <v>18</v>
      </c>
      <c r="BY22" s="93"/>
      <c r="BZ22" s="91"/>
      <c r="CA22" s="92"/>
      <c r="CB22" s="77"/>
      <c r="CC22" s="94"/>
      <c r="CD22" s="95"/>
      <c r="CF22" s="17" t="str">
        <f t="shared" si="1"/>
        <v/>
      </c>
      <c r="CG22" s="85">
        <f t="shared" si="7"/>
        <v>18</v>
      </c>
      <c r="CH22" s="93"/>
      <c r="CI22" s="91"/>
      <c r="CJ22" s="92"/>
      <c r="CK22" s="77"/>
      <c r="CL22" s="94"/>
      <c r="CM22" s="95"/>
      <c r="CO22" s="17" t="str">
        <f t="shared" si="2"/>
        <v/>
      </c>
      <c r="CP22" s="85">
        <f t="shared" si="8"/>
        <v>18</v>
      </c>
      <c r="CQ22" s="93" t="str">
        <v>k</v>
      </c>
      <c r="CR22" s="91" t="str">
        <v>g</v>
      </c>
      <c r="CS22" s="92" t="str">
        <v>e</v>
      </c>
      <c r="CT22" s="77" t="str">
        <v>ㄍ</v>
      </c>
      <c r="CU22" s="94" t="str">
        <v>聲</v>
      </c>
      <c r="CV22" s="95">
        <v>1</v>
      </c>
      <c r="CX22" s="96" t="str">
        <f t="shared" si="10"/>
        <v xml:space="preserve">    - xform/^g/g/      # ㄍ [k]</v>
      </c>
      <c r="CY22" s="85">
        <f t="shared" si="9"/>
        <v>18</v>
      </c>
      <c r="CZ22" s="93"/>
      <c r="DA22" s="91"/>
      <c r="DB22" s="92"/>
      <c r="DC22" s="77"/>
      <c r="DD22" s="94"/>
      <c r="DE22" s="95"/>
      <c r="DG22" s="17"/>
    </row>
    <row r="23" spans="1:111" s="138" customFormat="1" ht="45" customHeight="1">
      <c r="A23" s="135"/>
      <c r="B23" s="137">
        <f t="shared" ref="B23:AA23" si="11" xml:space="preserve"> IF( ISNUMBER( FIND(B22, _xlfn.CONCAT($D$18:$BK$18)) ),  FIND(B22, _xlfn.CONCAT($D$18:$BK$18)), "V")</f>
        <v>22</v>
      </c>
      <c r="C23" s="137">
        <f t="shared" si="11"/>
        <v>2</v>
      </c>
      <c r="D23" s="137">
        <f t="shared" si="11"/>
        <v>15</v>
      </c>
      <c r="E23" s="137">
        <f t="shared" si="11"/>
        <v>5</v>
      </c>
      <c r="F23" s="137">
        <f t="shared" si="11"/>
        <v>26</v>
      </c>
      <c r="G23" s="137">
        <f t="shared" si="11"/>
        <v>32</v>
      </c>
      <c r="H23" s="137">
        <f t="shared" si="11"/>
        <v>10</v>
      </c>
      <c r="I23" s="137">
        <f t="shared" si="11"/>
        <v>21</v>
      </c>
      <c r="J23" s="137">
        <f t="shared" si="11"/>
        <v>23</v>
      </c>
      <c r="K23" s="137">
        <f t="shared" si="11"/>
        <v>18</v>
      </c>
      <c r="L23" s="137">
        <f t="shared" si="11"/>
        <v>11</v>
      </c>
      <c r="M23" s="137">
        <f t="shared" si="11"/>
        <v>8</v>
      </c>
      <c r="N23" s="137">
        <f t="shared" si="11"/>
        <v>4</v>
      </c>
      <c r="O23" s="137">
        <f t="shared" si="11"/>
        <v>7</v>
      </c>
      <c r="P23" s="137" t="str">
        <f t="shared" si="11"/>
        <v>V</v>
      </c>
      <c r="Q23" s="137">
        <f t="shared" si="11"/>
        <v>3</v>
      </c>
      <c r="R23" s="137">
        <f t="shared" si="11"/>
        <v>33</v>
      </c>
      <c r="S23" s="137">
        <f t="shared" si="11"/>
        <v>34</v>
      </c>
      <c r="T23" s="137">
        <f t="shared" si="11"/>
        <v>16</v>
      </c>
      <c r="U23" s="137">
        <f t="shared" si="11"/>
        <v>6</v>
      </c>
      <c r="V23" s="137">
        <f t="shared" si="11"/>
        <v>25</v>
      </c>
      <c r="W23" s="137">
        <f t="shared" si="11"/>
        <v>35</v>
      </c>
      <c r="X23" s="137">
        <f t="shared" si="11"/>
        <v>24</v>
      </c>
      <c r="Y23" s="137">
        <f t="shared" si="11"/>
        <v>36</v>
      </c>
      <c r="Z23" s="137">
        <f t="shared" si="11"/>
        <v>37</v>
      </c>
      <c r="AA23" s="137">
        <f t="shared" si="11"/>
        <v>14</v>
      </c>
      <c r="AB23" s="135"/>
      <c r="AC23" s="135"/>
      <c r="AE23" s="135"/>
      <c r="AL23" s="137">
        <f t="shared" ref="AL23:BK23" si="12" xml:space="preserve"> IF( ISNUMBER( FIND(AL22, _xlfn.CONCAT($D$18:$BK$18)) ),  FIND(AL22, _xlfn.CONCAT($D$18:$BK$18)), "V")</f>
        <v>22</v>
      </c>
      <c r="AM23" s="137">
        <f t="shared" si="12"/>
        <v>2</v>
      </c>
      <c r="AN23" s="137">
        <f t="shared" si="12"/>
        <v>15</v>
      </c>
      <c r="AO23" s="137">
        <f t="shared" si="12"/>
        <v>5</v>
      </c>
      <c r="AP23" s="137">
        <f t="shared" si="12"/>
        <v>26</v>
      </c>
      <c r="AQ23" s="137">
        <f t="shared" si="12"/>
        <v>32</v>
      </c>
      <c r="AR23" s="137">
        <f t="shared" si="12"/>
        <v>10</v>
      </c>
      <c r="AS23" s="137">
        <f t="shared" si="12"/>
        <v>21</v>
      </c>
      <c r="AT23" s="137">
        <f t="shared" si="12"/>
        <v>23</v>
      </c>
      <c r="AU23" s="137">
        <f t="shared" si="12"/>
        <v>18</v>
      </c>
      <c r="AV23" s="137">
        <f t="shared" si="12"/>
        <v>11</v>
      </c>
      <c r="AW23" s="137">
        <f t="shared" si="12"/>
        <v>8</v>
      </c>
      <c r="AX23" s="137">
        <f t="shared" si="12"/>
        <v>4</v>
      </c>
      <c r="AY23" s="137">
        <f t="shared" si="12"/>
        <v>7</v>
      </c>
      <c r="AZ23" s="137" t="str">
        <f t="shared" si="12"/>
        <v>V</v>
      </c>
      <c r="BA23" s="137">
        <f t="shared" si="12"/>
        <v>3</v>
      </c>
      <c r="BB23" s="137">
        <f t="shared" si="12"/>
        <v>33</v>
      </c>
      <c r="BC23" s="137">
        <f t="shared" si="12"/>
        <v>34</v>
      </c>
      <c r="BD23" s="137">
        <f t="shared" si="12"/>
        <v>16</v>
      </c>
      <c r="BE23" s="137">
        <f t="shared" si="12"/>
        <v>6</v>
      </c>
      <c r="BF23" s="137">
        <f t="shared" si="12"/>
        <v>25</v>
      </c>
      <c r="BG23" s="137">
        <f t="shared" si="12"/>
        <v>35</v>
      </c>
      <c r="BH23" s="137">
        <f t="shared" si="12"/>
        <v>24</v>
      </c>
      <c r="BI23" s="137">
        <f t="shared" si="12"/>
        <v>36</v>
      </c>
      <c r="BJ23" s="137">
        <f t="shared" si="12"/>
        <v>37</v>
      </c>
      <c r="BK23" s="137">
        <f t="shared" si="12"/>
        <v>14</v>
      </c>
      <c r="BL23" s="135"/>
      <c r="BM23" s="10"/>
      <c r="BN23" s="85">
        <f t="shared" si="4"/>
        <v>19</v>
      </c>
      <c r="BO23" s="253" t="str">
        <v>tsh(i)</v>
      </c>
      <c r="BP23" s="86" t="str">
        <v>C</v>
      </c>
      <c r="BQ23" s="76" t="str">
        <v>f</v>
      </c>
      <c r="BR23" s="77" t="str">
        <v>ㄑ</v>
      </c>
      <c r="BS23" s="87" t="s">
        <v>282</v>
      </c>
      <c r="BT23" s="88">
        <f t="shared" si="0"/>
        <v>6</v>
      </c>
      <c r="BU23" s="135"/>
      <c r="BV23" s="89" t="str">
        <f t="shared" si="5"/>
        <v xml:space="preserve">    "f": { commit: "ㄑ" }  # /s(i)/ ==&gt; C</v>
      </c>
      <c r="BW23" s="90"/>
      <c r="BX23" s="85">
        <f t="shared" si="6"/>
        <v>19</v>
      </c>
      <c r="BY23" s="93"/>
      <c r="BZ23" s="91"/>
      <c r="CA23" s="92"/>
      <c r="CB23" s="77"/>
      <c r="CC23" s="94"/>
      <c r="CD23" s="95"/>
      <c r="CF23" s="17" t="str">
        <f t="shared" si="1"/>
        <v/>
      </c>
      <c r="CG23" s="85">
        <f t="shared" si="7"/>
        <v>19</v>
      </c>
      <c r="CH23" s="93"/>
      <c r="CI23" s="91"/>
      <c r="CJ23" s="92"/>
      <c r="CK23" s="77"/>
      <c r="CL23" s="94"/>
      <c r="CM23" s="95"/>
      <c r="CO23" s="17" t="str">
        <f t="shared" si="2"/>
        <v/>
      </c>
      <c r="CP23" s="85">
        <f t="shared" si="8"/>
        <v>19</v>
      </c>
      <c r="CQ23" s="93" t="str">
        <v>j</v>
      </c>
      <c r="CR23" s="91" t="str">
        <v>Z</v>
      </c>
      <c r="CS23" s="92" t="str">
        <v>Y</v>
      </c>
      <c r="CT23" s="77" t="str">
        <v>ㆡ</v>
      </c>
      <c r="CU23" s="94" t="str">
        <v>聲</v>
      </c>
      <c r="CV23" s="95">
        <v>1</v>
      </c>
      <c r="CX23" s="96" t="str">
        <f t="shared" si="10"/>
        <v xml:space="preserve">    - xform/^Z/Z/      # ㆡ [j]</v>
      </c>
      <c r="CY23" s="85">
        <f t="shared" si="9"/>
        <v>19</v>
      </c>
      <c r="CZ23" s="93"/>
      <c r="DA23" s="91"/>
      <c r="DB23" s="92"/>
      <c r="DC23" s="77"/>
      <c r="DD23" s="94"/>
      <c r="DE23" s="95"/>
      <c r="DG23" s="17"/>
    </row>
    <row r="24" spans="1:111" s="135" customFormat="1" ht="45" customHeight="1">
      <c r="A24" s="61"/>
      <c r="B24" s="139" t="str">
        <f t="shared" ref="B24:AA24" si="13" xml:space="preserve"> IF( ISNUMBER( FIND(B22, _xlfn.CONCAT($D$18:$BK$18)) ), "X", B22)</f>
        <v>X</v>
      </c>
      <c r="C24" s="139" t="str">
        <f t="shared" si="13"/>
        <v>X</v>
      </c>
      <c r="D24" s="139" t="str">
        <f t="shared" si="13"/>
        <v>X</v>
      </c>
      <c r="E24" s="139" t="str">
        <f t="shared" si="13"/>
        <v>X</v>
      </c>
      <c r="F24" s="139" t="str">
        <f t="shared" si="13"/>
        <v>X</v>
      </c>
      <c r="G24" s="140" t="str">
        <f t="shared" si="13"/>
        <v>X</v>
      </c>
      <c r="H24" s="139" t="str">
        <f t="shared" si="13"/>
        <v>X</v>
      </c>
      <c r="I24" s="139" t="str">
        <f t="shared" si="13"/>
        <v>X</v>
      </c>
      <c r="J24" s="139" t="str">
        <f t="shared" si="13"/>
        <v>X</v>
      </c>
      <c r="K24" s="139" t="str">
        <f t="shared" si="13"/>
        <v>X</v>
      </c>
      <c r="L24" s="139" t="str">
        <f t="shared" si="13"/>
        <v>X</v>
      </c>
      <c r="M24" s="139" t="str">
        <f t="shared" si="13"/>
        <v>X</v>
      </c>
      <c r="N24" s="139" t="str">
        <f t="shared" si="13"/>
        <v>X</v>
      </c>
      <c r="O24" s="139" t="str">
        <f t="shared" si="13"/>
        <v>X</v>
      </c>
      <c r="P24" s="139" t="str">
        <f t="shared" si="13"/>
        <v>o</v>
      </c>
      <c r="Q24" s="139" t="str">
        <f t="shared" si="13"/>
        <v>X</v>
      </c>
      <c r="R24" s="140" t="str">
        <f t="shared" si="13"/>
        <v>X</v>
      </c>
      <c r="S24" s="140" t="str">
        <f t="shared" si="13"/>
        <v>X</v>
      </c>
      <c r="T24" s="139" t="str">
        <f t="shared" si="13"/>
        <v>X</v>
      </c>
      <c r="U24" s="139" t="str">
        <f t="shared" si="13"/>
        <v>X</v>
      </c>
      <c r="V24" s="139" t="str">
        <f t="shared" si="13"/>
        <v>X</v>
      </c>
      <c r="W24" s="139" t="str">
        <f t="shared" si="13"/>
        <v>X</v>
      </c>
      <c r="X24" s="139" t="str">
        <f t="shared" si="13"/>
        <v>X</v>
      </c>
      <c r="Y24" s="139" t="str">
        <f t="shared" si="13"/>
        <v>X</v>
      </c>
      <c r="Z24" s="139" t="str">
        <f t="shared" si="13"/>
        <v>X</v>
      </c>
      <c r="AA24" s="139" t="str">
        <f t="shared" si="13"/>
        <v>X</v>
      </c>
      <c r="AB24" s="141"/>
      <c r="AC24" s="141"/>
      <c r="AD24" s="142"/>
      <c r="AE24" s="141"/>
      <c r="AF24" s="142"/>
      <c r="AG24" s="142"/>
      <c r="AH24" s="142"/>
      <c r="AI24" s="142"/>
      <c r="AJ24" s="142"/>
      <c r="AK24" s="142"/>
      <c r="AL24" s="139" t="str">
        <f t="shared" ref="AL24:BK24" si="14" xml:space="preserve"> IF( ISNUMBER( FIND(AL22, _xlfn.CONCAT($D$18:$BK$18)) ), "X", AL22)</f>
        <v>X</v>
      </c>
      <c r="AM24" s="139" t="str">
        <f t="shared" si="14"/>
        <v>X</v>
      </c>
      <c r="AN24" s="139" t="str">
        <f t="shared" si="14"/>
        <v>X</v>
      </c>
      <c r="AO24" s="139" t="str">
        <f t="shared" si="14"/>
        <v>X</v>
      </c>
      <c r="AP24" s="139" t="str">
        <f t="shared" si="14"/>
        <v>X</v>
      </c>
      <c r="AQ24" s="140" t="str">
        <f t="shared" si="14"/>
        <v>X</v>
      </c>
      <c r="AR24" s="139" t="str">
        <f t="shared" si="14"/>
        <v>X</v>
      </c>
      <c r="AS24" s="139" t="str">
        <f t="shared" si="14"/>
        <v>X</v>
      </c>
      <c r="AT24" s="139" t="str">
        <f t="shared" si="14"/>
        <v>X</v>
      </c>
      <c r="AU24" s="139" t="str">
        <f t="shared" si="14"/>
        <v>X</v>
      </c>
      <c r="AV24" s="139" t="str">
        <f t="shared" si="14"/>
        <v>X</v>
      </c>
      <c r="AW24" s="139" t="str">
        <f t="shared" si="14"/>
        <v>X</v>
      </c>
      <c r="AX24" s="139" t="str">
        <f t="shared" si="14"/>
        <v>X</v>
      </c>
      <c r="AY24" s="139" t="str">
        <f t="shared" si="14"/>
        <v>X</v>
      </c>
      <c r="AZ24" s="139" t="str">
        <f t="shared" si="14"/>
        <v>o</v>
      </c>
      <c r="BA24" s="139" t="str">
        <f t="shared" si="14"/>
        <v>X</v>
      </c>
      <c r="BB24" s="139" t="str">
        <f t="shared" si="14"/>
        <v>X</v>
      </c>
      <c r="BC24" s="139" t="str">
        <f t="shared" si="14"/>
        <v>X</v>
      </c>
      <c r="BD24" s="139" t="str">
        <f t="shared" si="14"/>
        <v>X</v>
      </c>
      <c r="BE24" s="139" t="str">
        <f t="shared" si="14"/>
        <v>X</v>
      </c>
      <c r="BF24" s="139" t="str">
        <f t="shared" si="14"/>
        <v>X</v>
      </c>
      <c r="BG24" s="139" t="str">
        <f t="shared" si="14"/>
        <v>X</v>
      </c>
      <c r="BH24" s="139" t="str">
        <f t="shared" si="14"/>
        <v>X</v>
      </c>
      <c r="BI24" s="139" t="str">
        <f t="shared" si="14"/>
        <v>X</v>
      </c>
      <c r="BJ24" s="139" t="str">
        <f t="shared" si="14"/>
        <v>X</v>
      </c>
      <c r="BK24" s="139" t="str">
        <f t="shared" si="14"/>
        <v>X</v>
      </c>
      <c r="BM24" s="10"/>
      <c r="BN24" s="85">
        <f t="shared" si="4"/>
        <v>20</v>
      </c>
      <c r="BO24" s="253" t="str">
        <v>s(i)</v>
      </c>
      <c r="BP24" s="86" t="str">
        <v>S</v>
      </c>
      <c r="BQ24" s="76" t="str">
        <v>v</v>
      </c>
      <c r="BR24" s="77" t="str">
        <v>ㄒ</v>
      </c>
      <c r="BS24" s="87" t="s">
        <v>282</v>
      </c>
      <c r="BT24" s="88">
        <f t="shared" si="0"/>
        <v>4</v>
      </c>
      <c r="BU24" s="138"/>
      <c r="BV24" s="89" t="str">
        <f t="shared" si="5"/>
        <v xml:space="preserve">    "v": { commit: "ㄒ" }  # /h/ ==&gt; S</v>
      </c>
      <c r="BW24" s="143"/>
      <c r="BX24" s="85">
        <f t="shared" si="6"/>
        <v>20</v>
      </c>
      <c r="BY24" s="93"/>
      <c r="BZ24" s="91"/>
      <c r="CA24" s="92"/>
      <c r="CB24" s="77"/>
      <c r="CC24" s="94"/>
      <c r="CD24" s="95"/>
      <c r="CF24" s="17" t="str">
        <f t="shared" si="1"/>
        <v/>
      </c>
      <c r="CG24" s="85">
        <f t="shared" si="7"/>
        <v>20</v>
      </c>
      <c r="CH24" s="93"/>
      <c r="CI24" s="91"/>
      <c r="CJ24" s="92"/>
      <c r="CK24" s="77"/>
      <c r="CL24" s="94"/>
      <c r="CM24" s="95"/>
      <c r="CO24" s="17" t="str">
        <f t="shared" si="2"/>
        <v/>
      </c>
      <c r="CP24" s="85">
        <f t="shared" si="8"/>
        <v>20</v>
      </c>
      <c r="CQ24" s="93" t="str">
        <v>s</v>
      </c>
      <c r="CR24" s="91" t="str">
        <v>s</v>
      </c>
      <c r="CS24" s="92" t="str">
        <v>n</v>
      </c>
      <c r="CT24" s="77" t="str">
        <v>ㄙ</v>
      </c>
      <c r="CU24" s="94" t="str">
        <v>聲</v>
      </c>
      <c r="CV24" s="95">
        <v>1</v>
      </c>
      <c r="CX24" s="96" t="str">
        <f t="shared" si="10"/>
        <v xml:space="preserve">    - xform/^s/s/      # ㄙ [s]</v>
      </c>
      <c r="CY24" s="85">
        <f t="shared" si="9"/>
        <v>20</v>
      </c>
      <c r="CZ24" s="93"/>
      <c r="DA24" s="91"/>
      <c r="DB24" s="92"/>
      <c r="DC24" s="77"/>
      <c r="DD24" s="94"/>
      <c r="DE24" s="95"/>
      <c r="DG24" s="17"/>
    </row>
    <row r="25" spans="1:111" s="135" customFormat="1" ht="45" customHeight="1">
      <c r="AD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M25" s="10"/>
      <c r="BN25" s="85">
        <f t="shared" si="4"/>
        <v>21</v>
      </c>
      <c r="BO25" s="253" t="str">
        <v>h</v>
      </c>
      <c r="BP25" s="86" t="str">
        <v>h</v>
      </c>
      <c r="BQ25" s="76" t="str">
        <v>c</v>
      </c>
      <c r="BR25" s="77" t="str">
        <v>ㄏ</v>
      </c>
      <c r="BS25" s="87" t="s">
        <v>282</v>
      </c>
      <c r="BT25" s="88">
        <f t="shared" si="0"/>
        <v>1</v>
      </c>
      <c r="BV25" s="89" t="str">
        <f t="shared" si="5"/>
        <v xml:space="preserve">    "c": { commit: "ㄏ" }  # /a/ ==&gt; h</v>
      </c>
      <c r="BW25" s="90"/>
      <c r="BX25" s="85">
        <f t="shared" si="6"/>
        <v>21</v>
      </c>
      <c r="BY25" s="93"/>
      <c r="BZ25" s="91"/>
      <c r="CA25" s="92"/>
      <c r="CB25" s="77"/>
      <c r="CC25" s="94"/>
      <c r="CD25" s="95"/>
      <c r="CF25" s="17" t="str">
        <f t="shared" si="1"/>
        <v/>
      </c>
      <c r="CG25" s="85">
        <f t="shared" si="7"/>
        <v>21</v>
      </c>
      <c r="CH25" s="93"/>
      <c r="CI25" s="91"/>
      <c r="CJ25" s="92"/>
      <c r="CK25" s="77"/>
      <c r="CL25" s="94"/>
      <c r="CM25" s="95"/>
      <c r="CO25" s="17" t="str">
        <f t="shared" si="2"/>
        <v/>
      </c>
      <c r="CP25" s="85">
        <f t="shared" si="8"/>
        <v>21</v>
      </c>
      <c r="CQ25" s="93" t="str">
        <v>h</v>
      </c>
      <c r="CR25" s="91" t="str">
        <v>h</v>
      </c>
      <c r="CS25" s="92" t="str">
        <v>c</v>
      </c>
      <c r="CT25" s="77" t="str">
        <v>ㄏ</v>
      </c>
      <c r="CU25" s="94" t="str">
        <v>聲</v>
      </c>
      <c r="CV25" s="95">
        <v>1</v>
      </c>
      <c r="CX25" s="96" t="str">
        <f t="shared" si="10"/>
        <v xml:space="preserve">    - xform/^h/h/      # ㄏ [h]</v>
      </c>
      <c r="CY25" s="85">
        <f t="shared" si="9"/>
        <v>21</v>
      </c>
      <c r="CZ25" s="93"/>
      <c r="DA25" s="91"/>
      <c r="DB25" s="92"/>
      <c r="DC25" s="77"/>
      <c r="DD25" s="94"/>
      <c r="DE25" s="95"/>
      <c r="DG25" s="17"/>
    </row>
    <row r="26" spans="1:111" s="135" customFormat="1" ht="45" hidden="1" customHeight="1" outlineLevel="1">
      <c r="A26" s="145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D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M26" s="10"/>
      <c r="BN26" s="85">
        <f t="shared" si="4"/>
        <v>22</v>
      </c>
      <c r="BO26" s="253" t="str">
        <v>a</v>
      </c>
      <c r="BP26" s="86" t="str">
        <v>a</v>
      </c>
      <c r="BQ26" s="76" t="str">
        <v>8</v>
      </c>
      <c r="BR26" s="77" t="str">
        <v>ㄚ</v>
      </c>
      <c r="BS26" s="87"/>
      <c r="BT26" s="88">
        <f t="shared" si="0"/>
        <v>1</v>
      </c>
      <c r="BV26" s="89" t="str">
        <f t="shared" si="5"/>
        <v xml:space="preserve">    "8": { commit: "ㄚ" }  # /i/ ==&gt; a</v>
      </c>
      <c r="BW26" s="90"/>
      <c r="BX26" s="85">
        <f t="shared" si="6"/>
        <v>22</v>
      </c>
      <c r="BY26" s="93"/>
      <c r="BZ26" s="91"/>
      <c r="CA26" s="92"/>
      <c r="CB26" s="77"/>
      <c r="CC26" s="94"/>
      <c r="CD26" s="95"/>
      <c r="CF26" s="17" t="str">
        <f t="shared" si="1"/>
        <v/>
      </c>
      <c r="CG26" s="85">
        <f t="shared" si="7"/>
        <v>22</v>
      </c>
      <c r="CH26" s="93"/>
      <c r="CI26" s="91"/>
      <c r="CJ26" s="92"/>
      <c r="CK26" s="77"/>
      <c r="CL26" s="94"/>
      <c r="CM26" s="95"/>
      <c r="CO26" s="17" t="str">
        <f t="shared" si="2"/>
        <v/>
      </c>
      <c r="CP26" s="85">
        <f t="shared" si="8"/>
        <v>22</v>
      </c>
      <c r="CQ26" s="93"/>
      <c r="CR26" s="91"/>
      <c r="CS26" s="92"/>
      <c r="CT26" s="77"/>
      <c r="CU26" s="94"/>
      <c r="CV26" s="95"/>
      <c r="CX26" s="96" t="str">
        <f t="shared" ref="CX26:CX31" si="15" xml:space="preserve"> IFERROR( IF(LEN(CR26)=0, "", IF(EXACT(CR26,CQ26), "", "    - xform/^" &amp; CQ26 &amp; "/" &amp; CR26 &amp; "/  # " &amp; "【" &amp; CS26 &amp; "】 ==&gt; " &amp; CU26 &amp; "： " &amp; CT26 &amp; " [" &amp; CQ26 &amp; "]")), "")</f>
        <v/>
      </c>
      <c r="CY26" s="85">
        <f t="shared" si="9"/>
        <v>22</v>
      </c>
      <c r="CZ26" s="93"/>
      <c r="DA26" s="91"/>
      <c r="DB26" s="92"/>
      <c r="DC26" s="77"/>
      <c r="DD26" s="94"/>
      <c r="DE26" s="95"/>
      <c r="DG26" s="17"/>
    </row>
    <row r="27" spans="1:111" s="135" customFormat="1" ht="45" hidden="1" customHeight="1" outlineLevel="1">
      <c r="A27" s="61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D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M27" s="10"/>
      <c r="BN27" s="85">
        <f t="shared" si="4"/>
        <v>23</v>
      </c>
      <c r="BO27" s="253" t="str">
        <v>i</v>
      </c>
      <c r="BP27" s="86" t="str">
        <v>i</v>
      </c>
      <c r="BQ27" s="76" t="str">
        <v>u</v>
      </c>
      <c r="BR27" s="77" t="str">
        <v>ㄧ</v>
      </c>
      <c r="BS27" s="87"/>
      <c r="BT27" s="88">
        <f t="shared" si="0"/>
        <v>1</v>
      </c>
      <c r="BV27" s="89" t="str">
        <f t="shared" si="5"/>
        <v xml:space="preserve">    "u": { commit: "ㄧ" }  # /ir/ ==&gt; i</v>
      </c>
      <c r="BW27" s="90"/>
      <c r="BX27" s="85">
        <f t="shared" si="6"/>
        <v>23</v>
      </c>
      <c r="BY27" s="93"/>
      <c r="BZ27" s="91"/>
      <c r="CA27" s="92"/>
      <c r="CB27" s="77"/>
      <c r="CC27" s="94"/>
      <c r="CD27" s="95"/>
      <c r="CF27" s="17" t="str">
        <f t="shared" si="1"/>
        <v/>
      </c>
      <c r="CG27" s="85">
        <f t="shared" si="7"/>
        <v>23</v>
      </c>
      <c r="CH27" s="93"/>
      <c r="CI27" s="91"/>
      <c r="CJ27" s="92"/>
      <c r="CK27" s="77"/>
      <c r="CL27" s="94"/>
      <c r="CM27" s="95"/>
      <c r="CO27" s="17" t="str">
        <f t="shared" si="2"/>
        <v/>
      </c>
      <c r="CP27" s="85">
        <f t="shared" si="8"/>
        <v>23</v>
      </c>
      <c r="CQ27" s="93"/>
      <c r="CR27" s="91"/>
      <c r="CS27" s="92"/>
      <c r="CT27" s="77"/>
      <c r="CU27" s="94"/>
      <c r="CV27" s="95"/>
      <c r="CX27" s="96" t="str">
        <f t="shared" si="15"/>
        <v/>
      </c>
      <c r="CY27" s="85">
        <f t="shared" si="9"/>
        <v>23</v>
      </c>
      <c r="CZ27" s="93"/>
      <c r="DA27" s="91"/>
      <c r="DB27" s="92"/>
      <c r="DC27" s="77"/>
      <c r="DD27" s="94"/>
      <c r="DE27" s="95"/>
      <c r="DG27" s="17"/>
    </row>
    <row r="28" spans="1:111" s="135" customFormat="1" ht="45" hidden="1" customHeight="1" outlineLevel="1">
      <c r="A28" s="61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D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M28" s="10"/>
      <c r="BN28" s="85">
        <f t="shared" si="4"/>
        <v>24</v>
      </c>
      <c r="BO28" s="253" t="str">
        <v>ir</v>
      </c>
      <c r="BP28" s="86" t="str">
        <v>w</v>
      </c>
      <c r="BQ28" s="76" t="str">
        <v>K</v>
      </c>
      <c r="BR28" s="77" t="str">
        <v>ㆨ</v>
      </c>
      <c r="BS28" s="87"/>
      <c r="BT28" s="88">
        <f t="shared" si="0"/>
        <v>2</v>
      </c>
      <c r="BV28" s="89" t="str">
        <f t="shared" si="5"/>
        <v xml:space="preserve">    "K": { commit: "ㆨ" }  # /u/ ==&gt; w</v>
      </c>
      <c r="BW28" s="90"/>
      <c r="BX28" s="85">
        <f t="shared" si="6"/>
        <v>24</v>
      </c>
      <c r="BY28" s="93"/>
      <c r="BZ28" s="91"/>
      <c r="CA28" s="92"/>
      <c r="CB28" s="77"/>
      <c r="CC28" s="94"/>
      <c r="CD28" s="95"/>
      <c r="CF28" s="17"/>
      <c r="CG28" s="85">
        <f t="shared" si="7"/>
        <v>24</v>
      </c>
      <c r="CH28" s="93"/>
      <c r="CI28" s="91"/>
      <c r="CJ28" s="92"/>
      <c r="CK28" s="77"/>
      <c r="CL28" s="94"/>
      <c r="CM28" s="95"/>
      <c r="CO28" s="17"/>
      <c r="CP28" s="85">
        <f t="shared" si="8"/>
        <v>24</v>
      </c>
      <c r="CQ28" s="93"/>
      <c r="CR28" s="91"/>
      <c r="CS28" s="92"/>
      <c r="CT28" s="77"/>
      <c r="CU28" s="94"/>
      <c r="CV28" s="95"/>
      <c r="CX28" s="96" t="str">
        <f t="shared" si="15"/>
        <v/>
      </c>
      <c r="CY28" s="85">
        <f t="shared" si="9"/>
        <v>24</v>
      </c>
      <c r="CZ28" s="93"/>
      <c r="DA28" s="91"/>
      <c r="DB28" s="92"/>
      <c r="DC28" s="77"/>
      <c r="DD28" s="94"/>
      <c r="DE28" s="95"/>
      <c r="DG28" s="17"/>
    </row>
    <row r="29" spans="1:111" s="135" customFormat="1" ht="45" hidden="1" customHeight="1" outlineLevel="1"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D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M29" s="10"/>
      <c r="BN29" s="85">
        <f t="shared" si="4"/>
        <v>25</v>
      </c>
      <c r="BO29" s="253" t="str">
        <v>u</v>
      </c>
      <c r="BP29" s="86" t="str">
        <v>u</v>
      </c>
      <c r="BQ29" s="76" t="str">
        <v>j</v>
      </c>
      <c r="BR29" s="77" t="str">
        <v>ㄨ</v>
      </c>
      <c r="BS29" s="87"/>
      <c r="BT29" s="88">
        <f t="shared" si="0"/>
        <v>1</v>
      </c>
      <c r="BV29" s="89" t="str">
        <f t="shared" si="5"/>
        <v xml:space="preserve">    "j": { commit: "ㄨ" }  # /e/ ==&gt; u</v>
      </c>
      <c r="BW29" s="90"/>
      <c r="BX29" s="85">
        <f t="shared" si="6"/>
        <v>25</v>
      </c>
      <c r="BY29" s="93"/>
      <c r="BZ29" s="91"/>
      <c r="CA29" s="92"/>
      <c r="CB29" s="77"/>
      <c r="CC29" s="94"/>
      <c r="CD29" s="95"/>
      <c r="CF29" s="17"/>
      <c r="CG29" s="85">
        <f t="shared" si="7"/>
        <v>25</v>
      </c>
      <c r="CH29" s="93"/>
      <c r="CI29" s="91"/>
      <c r="CJ29" s="92"/>
      <c r="CK29" s="77"/>
      <c r="CL29" s="94"/>
      <c r="CM29" s="95"/>
      <c r="CO29" s="17"/>
      <c r="CP29" s="85">
        <f t="shared" si="8"/>
        <v>25</v>
      </c>
      <c r="CQ29" s="93"/>
      <c r="CR29" s="91"/>
      <c r="CS29" s="92"/>
      <c r="CT29" s="77"/>
      <c r="CU29" s="94"/>
      <c r="CV29" s="95"/>
      <c r="CX29" s="96" t="str">
        <f t="shared" si="15"/>
        <v/>
      </c>
      <c r="CY29" s="85">
        <f t="shared" si="9"/>
        <v>25</v>
      </c>
      <c r="CZ29" s="93"/>
      <c r="DA29" s="91"/>
      <c r="DB29" s="92"/>
      <c r="DC29" s="77"/>
      <c r="DD29" s="94"/>
      <c r="DE29" s="95"/>
      <c r="DG29" s="17"/>
    </row>
    <row r="30" spans="1:111" s="147" customFormat="1" ht="45" hidden="1" customHeight="1" outlineLevel="1">
      <c r="A30" s="135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35"/>
      <c r="AC30" s="135"/>
      <c r="AD30" s="144"/>
      <c r="AE30" s="135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35"/>
      <c r="BE30" s="135"/>
      <c r="BF30" s="135"/>
      <c r="BG30" s="135"/>
      <c r="BH30" s="135"/>
      <c r="BI30" s="135"/>
      <c r="BJ30" s="135"/>
      <c r="BK30" s="135"/>
      <c r="BL30" s="135"/>
      <c r="BM30" s="10"/>
      <c r="BN30" s="85">
        <f t="shared" si="4"/>
        <v>26</v>
      </c>
      <c r="BO30" s="253" t="str">
        <v>e</v>
      </c>
      <c r="BP30" s="86" t="str">
        <v>e</v>
      </c>
      <c r="BQ30" s="76" t="str">
        <v>,</v>
      </c>
      <c r="BR30" s="77" t="str">
        <v>ㆤ</v>
      </c>
      <c r="BS30" s="87"/>
      <c r="BT30" s="88">
        <f t="shared" si="0"/>
        <v>1</v>
      </c>
      <c r="BU30" s="135"/>
      <c r="BV30" s="89" t="str">
        <f t="shared" si="5"/>
        <v xml:space="preserve">    ",": { commit: "ㆤ" }  # /oo/ ==&gt; e</v>
      </c>
      <c r="BW30" s="90"/>
      <c r="BX30" s="85">
        <f t="shared" si="6"/>
        <v>26</v>
      </c>
      <c r="BY30" s="93"/>
      <c r="BZ30" s="91"/>
      <c r="CA30" s="92"/>
      <c r="CB30" s="77"/>
      <c r="CC30" s="94"/>
      <c r="CD30" s="95"/>
      <c r="CE30" s="135"/>
      <c r="CF30" s="17"/>
      <c r="CG30" s="85">
        <f t="shared" si="7"/>
        <v>26</v>
      </c>
      <c r="CH30" s="93"/>
      <c r="CI30" s="91"/>
      <c r="CJ30" s="92"/>
      <c r="CK30" s="77"/>
      <c r="CL30" s="94"/>
      <c r="CM30" s="95"/>
      <c r="CN30" s="135"/>
      <c r="CO30" s="17"/>
      <c r="CP30" s="85">
        <f t="shared" si="8"/>
        <v>26</v>
      </c>
      <c r="CQ30" s="93"/>
      <c r="CR30" s="91"/>
      <c r="CS30" s="92"/>
      <c r="CT30" s="77"/>
      <c r="CU30" s="94"/>
      <c r="CV30" s="95"/>
      <c r="CW30" s="135"/>
      <c r="CX30" s="96" t="str">
        <f t="shared" si="15"/>
        <v/>
      </c>
      <c r="CY30" s="85">
        <f t="shared" si="9"/>
        <v>26</v>
      </c>
      <c r="CZ30" s="93"/>
      <c r="DA30" s="91"/>
      <c r="DB30" s="92"/>
      <c r="DC30" s="77"/>
      <c r="DD30" s="94"/>
      <c r="DE30" s="95"/>
      <c r="DF30" s="135"/>
      <c r="DG30" s="17"/>
    </row>
    <row r="31" spans="1:111" s="135" customFormat="1" ht="45" hidden="1" customHeight="1" outlineLevel="1"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D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M31" s="10"/>
      <c r="BN31" s="85">
        <f t="shared" si="4"/>
        <v>27</v>
      </c>
      <c r="BO31" s="253" t="str">
        <v>oo</v>
      </c>
      <c r="BP31" s="86" t="str">
        <v>O</v>
      </c>
      <c r="BQ31" s="76" t="str">
        <v>i</v>
      </c>
      <c r="BR31" s="77" t="str">
        <v>ㆦ</v>
      </c>
      <c r="BS31" s="87"/>
      <c r="BT31" s="88">
        <f t="shared" si="0"/>
        <v>2</v>
      </c>
      <c r="BV31" s="89" t="str">
        <f t="shared" si="5"/>
        <v xml:space="preserve">    "i": { commit: "ㆦ" }  # /o/ ==&gt; O</v>
      </c>
      <c r="BW31" s="90"/>
      <c r="BX31" s="85">
        <f t="shared" si="6"/>
        <v>27</v>
      </c>
      <c r="BY31" s="93"/>
      <c r="BZ31" s="91"/>
      <c r="CA31" s="92"/>
      <c r="CB31" s="77"/>
      <c r="CC31" s="94"/>
      <c r="CD31" s="95"/>
      <c r="CE31" s="147"/>
      <c r="CF31" s="17"/>
      <c r="CG31" s="85">
        <f t="shared" si="7"/>
        <v>27</v>
      </c>
      <c r="CH31" s="93"/>
      <c r="CI31" s="91"/>
      <c r="CJ31" s="92"/>
      <c r="CK31" s="77"/>
      <c r="CL31" s="94"/>
      <c r="CM31" s="95"/>
      <c r="CN31" s="147"/>
      <c r="CO31" s="17"/>
      <c r="CP31" s="85">
        <f t="shared" si="8"/>
        <v>27</v>
      </c>
      <c r="CQ31" s="93"/>
      <c r="CR31" s="91"/>
      <c r="CS31" s="92"/>
      <c r="CT31" s="77"/>
      <c r="CU31" s="94"/>
      <c r="CV31" s="95"/>
      <c r="CW31" s="147"/>
      <c r="CX31" s="96" t="str">
        <f t="shared" si="15"/>
        <v/>
      </c>
      <c r="CY31" s="85">
        <f t="shared" si="9"/>
        <v>27</v>
      </c>
      <c r="CZ31" s="93"/>
      <c r="DA31" s="91"/>
      <c r="DB31" s="92"/>
      <c r="DC31" s="77"/>
      <c r="DD31" s="94"/>
      <c r="DE31" s="95"/>
      <c r="DF31" s="147"/>
      <c r="DG31" s="17"/>
    </row>
    <row r="32" spans="1:111" s="135" customFormat="1" ht="45" customHeight="1" outlineLevel="1">
      <c r="AD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M32" s="10"/>
      <c r="BN32" s="85">
        <f t="shared" si="4"/>
        <v>28</v>
      </c>
      <c r="BO32" s="253" t="str">
        <v>o</v>
      </c>
      <c r="BP32" s="86" t="str">
        <v>ə</v>
      </c>
      <c r="BQ32" s="76" t="str">
        <v>k</v>
      </c>
      <c r="BR32" s="77" t="str">
        <v>ㄜ</v>
      </c>
      <c r="BS32" s="87" t="s">
        <v>283</v>
      </c>
      <c r="BT32" s="88">
        <f t="shared" si="0"/>
        <v>1</v>
      </c>
      <c r="BV32" s="89"/>
      <c r="BW32" s="90"/>
      <c r="BX32" s="85">
        <f t="shared" si="6"/>
        <v>28</v>
      </c>
      <c r="BY32" s="93"/>
      <c r="BZ32" s="91"/>
      <c r="CA32" s="92"/>
      <c r="CB32" s="77"/>
      <c r="CC32" s="94"/>
      <c r="CD32" s="95"/>
      <c r="CE32" s="147"/>
      <c r="CF32" s="17"/>
      <c r="CG32" s="85">
        <f t="shared" si="7"/>
        <v>28</v>
      </c>
      <c r="CH32" s="93"/>
      <c r="CI32" s="91"/>
      <c r="CJ32" s="92"/>
      <c r="CK32" s="77"/>
      <c r="CL32" s="94"/>
      <c r="CM32" s="95"/>
      <c r="CN32" s="147"/>
      <c r="CO32" s="17"/>
      <c r="CP32" s="85">
        <f t="shared" si="8"/>
        <v>28</v>
      </c>
      <c r="CQ32" s="93"/>
      <c r="CR32" s="91"/>
      <c r="CS32" s="92"/>
      <c r="CT32" s="77"/>
      <c r="CU32" s="94"/>
      <c r="CV32" s="95"/>
      <c r="CW32" s="147"/>
      <c r="CX32" s="17"/>
      <c r="CY32" s="85">
        <f t="shared" si="9"/>
        <v>28</v>
      </c>
      <c r="CZ32" s="93"/>
      <c r="DA32" s="91"/>
      <c r="DB32" s="92"/>
      <c r="DC32" s="77"/>
      <c r="DD32" s="94"/>
      <c r="DE32" s="95"/>
      <c r="DF32" s="147"/>
      <c r="DG32" s="17"/>
    </row>
    <row r="33" spans="1:111" s="135" customFormat="1" ht="45" customHeight="1">
      <c r="B33" s="148" t="s">
        <v>198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50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51"/>
      <c r="AJ33" s="151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M33" s="10"/>
      <c r="BN33" s="85">
        <f t="shared" si="4"/>
        <v>29</v>
      </c>
      <c r="BO33" s="253" t="str">
        <v>ai</v>
      </c>
      <c r="BP33" s="86" t="str">
        <v>I</v>
      </c>
      <c r="BQ33" s="76" t="str">
        <v>9</v>
      </c>
      <c r="BR33" s="77" t="str">
        <v>ㄞ</v>
      </c>
      <c r="BS33" s="87" t="s">
        <v>33</v>
      </c>
      <c r="BT33" s="88">
        <f t="shared" si="0"/>
        <v>2</v>
      </c>
      <c r="BV33" s="89" t="str">
        <f t="shared" ref="BV33:BV62" si="16" xml:space="preserve"> "    """ &amp; BQ33 &amp; """: { commit: """ &amp; BR33 &amp; """ }" &amp; "  # " &amp; "/" &amp; BO33 &amp; "/ ==&gt; " &amp; BP33</f>
        <v xml:space="preserve">    "9": { commit: "ㄞ" }  # /ai/ ==&gt; I</v>
      </c>
      <c r="BW33" s="90"/>
      <c r="BX33" s="85">
        <f t="shared" si="6"/>
        <v>29</v>
      </c>
      <c r="BY33" s="93"/>
      <c r="BZ33" s="91"/>
      <c r="CA33" s="92"/>
      <c r="CB33" s="77"/>
      <c r="CC33" s="94"/>
      <c r="CD33" s="95"/>
      <c r="CF33" s="17"/>
      <c r="CG33" s="85">
        <f t="shared" si="7"/>
        <v>29</v>
      </c>
      <c r="CH33" s="93"/>
      <c r="CI33" s="91"/>
      <c r="CJ33" s="92"/>
      <c r="CK33" s="77"/>
      <c r="CL33" s="94"/>
      <c r="CM33" s="95"/>
      <c r="CO33" s="17"/>
      <c r="CP33" s="85">
        <f t="shared" si="8"/>
        <v>29</v>
      </c>
      <c r="CQ33" s="93"/>
      <c r="CR33" s="91"/>
      <c r="CS33" s="92"/>
      <c r="CT33" s="77"/>
      <c r="CU33" s="94"/>
      <c r="CV33" s="95"/>
      <c r="CX33" s="17" t="str">
        <f t="shared" ref="CX33:CX56" si="17" xml:space="preserve"> IF(CU33=0, "", "    - xform/^" &amp; CU33 &amp; "(?!\d)/" &amp; CQ33 &amp; "/  # " &amp; CR33 &amp; " [ " &amp; CU33 &amp; "]")</f>
        <v/>
      </c>
      <c r="CY33" s="85">
        <f t="shared" si="9"/>
        <v>29</v>
      </c>
      <c r="CZ33" s="93"/>
      <c r="DA33" s="91"/>
      <c r="DB33" s="92"/>
      <c r="DC33" s="77"/>
      <c r="DD33" s="94"/>
      <c r="DE33" s="95"/>
      <c r="DG33" s="17"/>
    </row>
    <row r="34" spans="1:111" s="135" customFormat="1" ht="45" customHeight="1">
      <c r="A34" s="147"/>
      <c r="B34" s="268" t="str">
        <f>_xlfn.CONCAT("  alphabet: """,D19:BC19, BD19:BJ19,"""")</f>
        <v xml:space="preserve">  alphabet: "!1qa2wsxEedGYyhnRrfvc8uKj,ik9l*UJ&lt;I(Lm/pM0;Oobtgz7-="5346]["</v>
      </c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61"/>
      <c r="AL34" s="61"/>
      <c r="AM34" s="61"/>
      <c r="AN34" s="61"/>
      <c r="AO34" s="61"/>
      <c r="AP34" s="61"/>
      <c r="AQ34" s="61"/>
      <c r="AR34" s="9"/>
      <c r="AS34" s="9"/>
      <c r="AT34" s="61"/>
      <c r="AU34" s="61"/>
      <c r="AV34" s="61"/>
      <c r="AW34" s="10"/>
      <c r="AX34" s="10"/>
      <c r="AY34" s="10"/>
      <c r="AZ34" s="10"/>
      <c r="BA34" s="10"/>
      <c r="BB34" s="10"/>
      <c r="BJ34" s="151"/>
      <c r="BK34" s="151"/>
      <c r="BL34" s="151"/>
      <c r="BM34" s="10"/>
      <c r="BN34" s="85">
        <f t="shared" si="4"/>
        <v>30</v>
      </c>
      <c r="BO34" s="253" t="str">
        <v>au</v>
      </c>
      <c r="BP34" s="86" t="str">
        <v>U</v>
      </c>
      <c r="BQ34" s="76" t="str">
        <v>l</v>
      </c>
      <c r="BR34" s="77" t="str">
        <v>ㄠ</v>
      </c>
      <c r="BS34" s="87" t="s">
        <v>33</v>
      </c>
      <c r="BT34" s="88">
        <f t="shared" si="0"/>
        <v>2</v>
      </c>
      <c r="BV34" s="89" t="str">
        <f t="shared" si="16"/>
        <v xml:space="preserve">    "l": { commit: "ㄠ" }  # /au/ ==&gt; U</v>
      </c>
      <c r="BW34" s="90"/>
      <c r="BX34" s="85">
        <f t="shared" si="6"/>
        <v>30</v>
      </c>
      <c r="BY34" s="93"/>
      <c r="BZ34" s="91"/>
      <c r="CA34" s="92"/>
      <c r="CB34" s="77"/>
      <c r="CC34" s="94"/>
      <c r="CD34" s="95"/>
      <c r="CF34" s="17"/>
      <c r="CG34" s="85">
        <f t="shared" si="7"/>
        <v>30</v>
      </c>
      <c r="CH34" s="93"/>
      <c r="CI34" s="91"/>
      <c r="CJ34" s="92"/>
      <c r="CK34" s="77"/>
      <c r="CL34" s="94"/>
      <c r="CM34" s="95"/>
      <c r="CO34" s="17"/>
      <c r="CP34" s="85">
        <f t="shared" si="8"/>
        <v>30</v>
      </c>
      <c r="CQ34" s="93"/>
      <c r="CR34" s="91"/>
      <c r="CS34" s="92"/>
      <c r="CT34" s="77"/>
      <c r="CU34" s="94"/>
      <c r="CV34" s="95"/>
      <c r="CX34" s="17" t="str">
        <f t="shared" si="17"/>
        <v/>
      </c>
      <c r="CY34" s="85">
        <f t="shared" si="9"/>
        <v>30</v>
      </c>
      <c r="CZ34" s="93"/>
      <c r="DA34" s="91"/>
      <c r="DB34" s="92"/>
      <c r="DC34" s="77"/>
      <c r="DD34" s="94"/>
      <c r="DE34" s="95"/>
      <c r="DG34" s="17"/>
    </row>
    <row r="35" spans="1:111" s="135" customFormat="1" ht="45" customHeight="1">
      <c r="A35" s="61"/>
      <c r="B35" s="268" t="str">
        <f>_xlfn.CONCAT("  initials: """,D19:BC19, """")</f>
        <v xml:space="preserve">  initials: "!1qa2wsxEedGYyhnRrfvc8uKj,ik9l*UJ&lt;I(Lm/pM0;Oobtgz7-="</v>
      </c>
      <c r="C35" s="154"/>
      <c r="D35" s="155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1"/>
      <c r="AL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0"/>
      <c r="BN35" s="85">
        <f t="shared" si="4"/>
        <v>31</v>
      </c>
      <c r="BO35" s="253" t="str">
        <v>ann</v>
      </c>
      <c r="BP35" s="86" t="str">
        <v>D</v>
      </c>
      <c r="BQ35" s="76" t="str">
        <v>*</v>
      </c>
      <c r="BR35" s="77" t="str">
        <v>ㆩ</v>
      </c>
      <c r="BS35" s="87" t="s">
        <v>33</v>
      </c>
      <c r="BT35" s="88">
        <f t="shared" si="0"/>
        <v>3</v>
      </c>
      <c r="BV35" s="89" t="str">
        <f t="shared" si="16"/>
        <v xml:space="preserve">    "*": { commit: "ㆩ" }  # /ann/ ==&gt; D</v>
      </c>
      <c r="BW35" s="90"/>
      <c r="BX35" s="85">
        <f t="shared" si="6"/>
        <v>31</v>
      </c>
      <c r="BY35" s="93"/>
      <c r="BZ35" s="91"/>
      <c r="CA35" s="92"/>
      <c r="CB35" s="77"/>
      <c r="CC35" s="94"/>
      <c r="CD35" s="95"/>
      <c r="CF35" s="17"/>
      <c r="CG35" s="85">
        <f t="shared" si="7"/>
        <v>31</v>
      </c>
      <c r="CH35" s="93"/>
      <c r="CI35" s="91"/>
      <c r="CJ35" s="92"/>
      <c r="CK35" s="77"/>
      <c r="CL35" s="94"/>
      <c r="CM35" s="95"/>
      <c r="CO35" s="17"/>
      <c r="CP35" s="85">
        <f t="shared" si="8"/>
        <v>31</v>
      </c>
      <c r="CQ35" s="93"/>
      <c r="CR35" s="91"/>
      <c r="CS35" s="92"/>
      <c r="CT35" s="77"/>
      <c r="CU35" s="94"/>
      <c r="CV35" s="95"/>
      <c r="CX35" s="17" t="str">
        <f t="shared" si="17"/>
        <v/>
      </c>
      <c r="CY35" s="85">
        <f t="shared" si="9"/>
        <v>31</v>
      </c>
      <c r="CZ35" s="93"/>
      <c r="DA35" s="91"/>
      <c r="DB35" s="92"/>
      <c r="DC35" s="77"/>
      <c r="DD35" s="94"/>
      <c r="DE35" s="95"/>
      <c r="DG35" s="17"/>
    </row>
    <row r="36" spans="1:111" s="135" customFormat="1" ht="45" customHeight="1">
      <c r="B36" s="268" t="str">
        <f>_xlfn.CONCAT("  finals: """,BD19:BJ19,"""")</f>
        <v xml:space="preserve">  finals: ""5346]["</v>
      </c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45"/>
      <c r="AL36" s="145"/>
      <c r="AM36" s="145"/>
      <c r="AN36" s="145"/>
      <c r="AO36" s="145"/>
      <c r="AP36" s="145"/>
      <c r="AQ36" s="145"/>
      <c r="AR36" s="157"/>
      <c r="AS36" s="157"/>
      <c r="AT36" s="145"/>
      <c r="AU36" s="145"/>
      <c r="AV36" s="145"/>
      <c r="AW36" s="158"/>
      <c r="AX36" s="158"/>
      <c r="AY36" s="158"/>
      <c r="AZ36" s="158"/>
      <c r="BA36" s="158"/>
      <c r="BB36" s="158"/>
      <c r="BC36" s="138"/>
      <c r="BD36" s="138"/>
      <c r="BE36" s="138"/>
      <c r="BF36" s="138"/>
      <c r="BG36" s="138"/>
      <c r="BH36" s="138"/>
      <c r="BI36" s="138"/>
      <c r="BJ36" s="159"/>
      <c r="BK36" s="159"/>
      <c r="BL36" s="151"/>
      <c r="BN36" s="85">
        <f t="shared" si="4"/>
        <v>32</v>
      </c>
      <c r="BO36" s="253" t="str">
        <v>inn</v>
      </c>
      <c r="BP36" s="86" t="str">
        <v>f</v>
      </c>
      <c r="BQ36" s="76" t="str">
        <v>U</v>
      </c>
      <c r="BR36" s="77" t="str">
        <v>ㆪ</v>
      </c>
      <c r="BS36" s="87" t="s">
        <v>33</v>
      </c>
      <c r="BT36" s="88">
        <f t="shared" si="0"/>
        <v>3</v>
      </c>
      <c r="BV36" s="89" t="str">
        <f t="shared" si="16"/>
        <v xml:space="preserve">    "U": { commit: "ㆪ" }  # /inn/ ==&gt; f</v>
      </c>
      <c r="BW36" s="90"/>
      <c r="BX36" s="85">
        <f t="shared" si="6"/>
        <v>32</v>
      </c>
      <c r="BY36" s="93"/>
      <c r="BZ36" s="91"/>
      <c r="CA36" s="92"/>
      <c r="CB36" s="77"/>
      <c r="CC36" s="94"/>
      <c r="CD36" s="95"/>
      <c r="CF36" s="17"/>
      <c r="CG36" s="85">
        <f t="shared" si="7"/>
        <v>32</v>
      </c>
      <c r="CH36" s="93"/>
      <c r="CI36" s="91"/>
      <c r="CJ36" s="92"/>
      <c r="CK36" s="77"/>
      <c r="CL36" s="94"/>
      <c r="CM36" s="95"/>
      <c r="CO36" s="17"/>
      <c r="CP36" s="85">
        <f t="shared" si="8"/>
        <v>32</v>
      </c>
      <c r="CQ36" s="93"/>
      <c r="CR36" s="91"/>
      <c r="CS36" s="92"/>
      <c r="CT36" s="77"/>
      <c r="CU36" s="94"/>
      <c r="CV36" s="95"/>
      <c r="CX36" s="17" t="str">
        <f t="shared" si="17"/>
        <v/>
      </c>
      <c r="CY36" s="85">
        <f t="shared" si="9"/>
        <v>32</v>
      </c>
      <c r="CZ36" s="93"/>
      <c r="DA36" s="91"/>
      <c r="DB36" s="92"/>
      <c r="DC36" s="77"/>
      <c r="DD36" s="94"/>
      <c r="DE36" s="95"/>
      <c r="DG36" s="17"/>
    </row>
    <row r="37" spans="1:111" s="135" customFormat="1" ht="45" customHeight="1">
      <c r="AK37" s="61"/>
      <c r="AL37" s="61"/>
      <c r="AM37" s="61"/>
      <c r="AN37" s="61"/>
      <c r="AO37" s="61"/>
      <c r="AP37" s="61"/>
      <c r="AQ37" s="61"/>
      <c r="AR37" s="9"/>
      <c r="AS37" s="9"/>
      <c r="AT37" s="61"/>
      <c r="AU37" s="61"/>
      <c r="AV37" s="61"/>
      <c r="AW37" s="10"/>
      <c r="AX37" s="10"/>
      <c r="AY37" s="10"/>
      <c r="AZ37" s="10"/>
      <c r="BA37" s="10"/>
      <c r="BB37" s="10"/>
      <c r="BJ37" s="151"/>
      <c r="BK37" s="151"/>
      <c r="BL37" s="151"/>
      <c r="BN37" s="85">
        <f t="shared" si="4"/>
        <v>33</v>
      </c>
      <c r="BO37" s="253" t="str">
        <v>unn</v>
      </c>
      <c r="BP37" s="86" t="str">
        <v>q</v>
      </c>
      <c r="BQ37" s="76" t="str">
        <v>J</v>
      </c>
      <c r="BR37" s="77" t="str">
        <v>ㆫ</v>
      </c>
      <c r="BS37" s="87" t="s">
        <v>33</v>
      </c>
      <c r="BT37" s="88">
        <f t="shared" si="0"/>
        <v>3</v>
      </c>
      <c r="BV37" s="89" t="str">
        <f t="shared" si="16"/>
        <v xml:space="preserve">    "J": { commit: "ㆫ" }  # /unn/ ==&gt; q</v>
      </c>
      <c r="BW37" s="90"/>
      <c r="BX37" s="85">
        <f t="shared" si="6"/>
        <v>33</v>
      </c>
      <c r="BY37" s="93"/>
      <c r="BZ37" s="91"/>
      <c r="CA37" s="92"/>
      <c r="CB37" s="77"/>
      <c r="CC37" s="94"/>
      <c r="CD37" s="95"/>
      <c r="CF37" s="17"/>
      <c r="CG37" s="85">
        <f t="shared" si="7"/>
        <v>33</v>
      </c>
      <c r="CH37" s="93"/>
      <c r="CI37" s="91"/>
      <c r="CJ37" s="92"/>
      <c r="CK37" s="77"/>
      <c r="CL37" s="94"/>
      <c r="CM37" s="95"/>
      <c r="CO37" s="17"/>
      <c r="CP37" s="85">
        <f t="shared" si="8"/>
        <v>33</v>
      </c>
      <c r="CQ37" s="93"/>
      <c r="CR37" s="91"/>
      <c r="CS37" s="92"/>
      <c r="CT37" s="77"/>
      <c r="CU37" s="94"/>
      <c r="CV37" s="95"/>
      <c r="CX37" s="17" t="str">
        <f t="shared" si="17"/>
        <v/>
      </c>
      <c r="CY37" s="85">
        <f t="shared" si="9"/>
        <v>33</v>
      </c>
      <c r="CZ37" s="93"/>
      <c r="DA37" s="91"/>
      <c r="DB37" s="92"/>
      <c r="DC37" s="77"/>
      <c r="DD37" s="94"/>
      <c r="DE37" s="95"/>
      <c r="DG37" s="17"/>
    </row>
    <row r="38" spans="1:111" s="135" customFormat="1" ht="45" customHeight="1">
      <c r="AF38" s="160" t="str">
        <f>_xlfn.CONCAT(D18:X18)</f>
        <v>BbpmdtnlĞgkŋZzcsJjCSh</v>
      </c>
      <c r="AK38" s="61"/>
      <c r="AL38" s="61"/>
      <c r="AM38" s="61"/>
      <c r="AN38" s="61"/>
      <c r="AO38" s="61"/>
      <c r="AP38" s="61"/>
      <c r="AQ38" s="61"/>
      <c r="AR38" s="9"/>
      <c r="AS38" s="9"/>
      <c r="AT38" s="61"/>
      <c r="AU38" s="61"/>
      <c r="AV38" s="61"/>
      <c r="AW38" s="10"/>
      <c r="AX38" s="10"/>
      <c r="AY38" s="10"/>
      <c r="AZ38" s="10"/>
      <c r="BA38" s="10"/>
      <c r="BB38" s="10"/>
      <c r="BJ38" s="151"/>
      <c r="BK38" s="151"/>
      <c r="BL38" s="151"/>
      <c r="BN38" s="85">
        <f t="shared" si="4"/>
        <v>34</v>
      </c>
      <c r="BO38" s="253" t="str">
        <v>enn</v>
      </c>
      <c r="BP38" s="86" t="str">
        <v>r</v>
      </c>
      <c r="BQ38" s="76" t="str">
        <v>&lt;</v>
      </c>
      <c r="BR38" s="77" t="str">
        <v>ㆥ</v>
      </c>
      <c r="BS38" s="87" t="s">
        <v>33</v>
      </c>
      <c r="BT38" s="88">
        <f t="shared" si="0"/>
        <v>3</v>
      </c>
      <c r="BV38" s="89" t="str">
        <f t="shared" si="16"/>
        <v xml:space="preserve">    "&lt;": { commit: "ㆥ" }  # /enn/ ==&gt; r</v>
      </c>
      <c r="BW38" s="90"/>
      <c r="BX38" s="85">
        <f t="shared" si="6"/>
        <v>34</v>
      </c>
      <c r="BY38" s="93"/>
      <c r="BZ38" s="91"/>
      <c r="CA38" s="92"/>
      <c r="CB38" s="77"/>
      <c r="CC38" s="94"/>
      <c r="CD38" s="95"/>
      <c r="CF38" s="17"/>
      <c r="CG38" s="85">
        <f t="shared" si="7"/>
        <v>34</v>
      </c>
      <c r="CH38" s="93"/>
      <c r="CI38" s="91"/>
      <c r="CJ38" s="92"/>
      <c r="CK38" s="77"/>
      <c r="CL38" s="94"/>
      <c r="CM38" s="95"/>
      <c r="CO38" s="17"/>
      <c r="CP38" s="85">
        <f t="shared" si="8"/>
        <v>34</v>
      </c>
      <c r="CQ38" s="93"/>
      <c r="CR38" s="91"/>
      <c r="CS38" s="92"/>
      <c r="CT38" s="77"/>
      <c r="CU38" s="94"/>
      <c r="CV38" s="95"/>
      <c r="CX38" s="17" t="str">
        <f t="shared" si="17"/>
        <v/>
      </c>
      <c r="CY38" s="85">
        <f t="shared" si="9"/>
        <v>34</v>
      </c>
      <c r="CZ38" s="93"/>
      <c r="DA38" s="91"/>
      <c r="DB38" s="92"/>
      <c r="DC38" s="77"/>
      <c r="DD38" s="94"/>
      <c r="DE38" s="95"/>
      <c r="DG38" s="17"/>
    </row>
    <row r="39" spans="1:111" s="135" customFormat="1" ht="45" customHeight="1">
      <c r="B39" s="148" t="s">
        <v>199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K39" s="61"/>
      <c r="AL39" s="61"/>
      <c r="AM39" s="61"/>
      <c r="AN39" s="61"/>
      <c r="AO39" s="61"/>
      <c r="AP39" s="61"/>
      <c r="AQ39" s="61"/>
      <c r="AR39" s="9"/>
      <c r="AS39" s="9"/>
      <c r="AT39" s="61"/>
      <c r="AU39" s="61"/>
      <c r="AV39" s="61"/>
      <c r="AW39" s="10"/>
      <c r="AX39" s="10"/>
      <c r="AY39" s="10"/>
      <c r="AZ39" s="10"/>
      <c r="BA39" s="10"/>
      <c r="BB39" s="10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N39" s="85">
        <f t="shared" si="4"/>
        <v>35</v>
      </c>
      <c r="BO39" s="253" t="str">
        <v>onn</v>
      </c>
      <c r="BP39" s="86" t="str">
        <v>v</v>
      </c>
      <c r="BQ39" s="76" t="str">
        <v>I</v>
      </c>
      <c r="BR39" s="77" t="str">
        <v>ㆧ</v>
      </c>
      <c r="BS39" s="87" t="s">
        <v>33</v>
      </c>
      <c r="BT39" s="88">
        <f t="shared" si="0"/>
        <v>3</v>
      </c>
      <c r="BV39" s="89" t="str">
        <f t="shared" si="16"/>
        <v xml:space="preserve">    "I": { commit: "ㆧ" }  # /onn/ ==&gt; v</v>
      </c>
      <c r="BW39" s="90"/>
      <c r="BX39" s="85">
        <f t="shared" si="6"/>
        <v>35</v>
      </c>
      <c r="BY39" s="93"/>
      <c r="BZ39" s="91"/>
      <c r="CA39" s="92"/>
      <c r="CB39" s="77"/>
      <c r="CC39" s="94"/>
      <c r="CD39" s="95"/>
      <c r="CF39" s="17"/>
      <c r="CG39" s="85">
        <f t="shared" si="7"/>
        <v>35</v>
      </c>
      <c r="CH39" s="93"/>
      <c r="CI39" s="91"/>
      <c r="CJ39" s="92"/>
      <c r="CK39" s="77"/>
      <c r="CL39" s="94"/>
      <c r="CM39" s="95"/>
      <c r="CO39" s="17"/>
      <c r="CP39" s="85">
        <f t="shared" si="8"/>
        <v>35</v>
      </c>
      <c r="CQ39" s="93"/>
      <c r="CR39" s="91"/>
      <c r="CS39" s="92"/>
      <c r="CT39" s="77"/>
      <c r="CU39" s="94"/>
      <c r="CV39" s="95"/>
      <c r="CX39" s="17" t="str">
        <f t="shared" si="17"/>
        <v/>
      </c>
      <c r="CY39" s="85">
        <f t="shared" si="9"/>
        <v>35</v>
      </c>
      <c r="CZ39" s="93"/>
      <c r="DA39" s="91"/>
      <c r="DB39" s="92"/>
      <c r="DC39" s="77"/>
      <c r="DD39" s="94"/>
      <c r="DE39" s="95"/>
      <c r="DG39" s="17"/>
    </row>
    <row r="40" spans="1:111" ht="45" customHeight="1">
      <c r="A40" s="135"/>
      <c r="B40" s="149" t="s">
        <v>200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50"/>
      <c r="U40" s="149"/>
      <c r="V40" s="149"/>
      <c r="W40" s="149"/>
      <c r="X40" s="149"/>
      <c r="Y40" s="149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35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63"/>
      <c r="BM40" s="135"/>
      <c r="BN40" s="85">
        <f t="shared" si="4"/>
        <v>36</v>
      </c>
      <c r="BO40" s="253" t="str">
        <v>ainn</v>
      </c>
      <c r="BP40" s="86" t="str">
        <v>x</v>
      </c>
      <c r="BQ40" s="76" t="str">
        <v>(</v>
      </c>
      <c r="BR40" s="77" t="str">
        <v>ㆮ</v>
      </c>
      <c r="BS40" s="87" t="s">
        <v>283</v>
      </c>
      <c r="BT40" s="88">
        <f t="shared" si="0"/>
        <v>4</v>
      </c>
      <c r="BU40" s="135"/>
      <c r="BV40" s="89" t="str">
        <f t="shared" si="16"/>
        <v xml:space="preserve">    "(": { commit: "ㆮ" }  # /ainn/ ==&gt; x</v>
      </c>
      <c r="BW40" s="90"/>
      <c r="BX40" s="85">
        <f t="shared" si="6"/>
        <v>36</v>
      </c>
      <c r="BY40" s="93"/>
      <c r="BZ40" s="91"/>
      <c r="CA40" s="92"/>
      <c r="CB40" s="77"/>
      <c r="CC40" s="94"/>
      <c r="CD40" s="95"/>
      <c r="CE40" s="135"/>
      <c r="CG40" s="85">
        <f t="shared" si="7"/>
        <v>36</v>
      </c>
      <c r="CH40" s="93"/>
      <c r="CI40" s="91"/>
      <c r="CJ40" s="92"/>
      <c r="CK40" s="77"/>
      <c r="CL40" s="94"/>
      <c r="CM40" s="95"/>
      <c r="CN40" s="135"/>
      <c r="CP40" s="85">
        <f t="shared" si="8"/>
        <v>36</v>
      </c>
      <c r="CQ40" s="93"/>
      <c r="CR40" s="91"/>
      <c r="CS40" s="92"/>
      <c r="CT40" s="77"/>
      <c r="CU40" s="94"/>
      <c r="CV40" s="95"/>
      <c r="CW40" s="135"/>
      <c r="CX40" s="17" t="str">
        <f t="shared" si="17"/>
        <v/>
      </c>
      <c r="CY40" s="85">
        <f t="shared" si="9"/>
        <v>36</v>
      </c>
      <c r="CZ40" s="93"/>
      <c r="DA40" s="91"/>
      <c r="DB40" s="92"/>
      <c r="DC40" s="77"/>
      <c r="DD40" s="94"/>
      <c r="DE40" s="95"/>
      <c r="DF40" s="135"/>
    </row>
    <row r="41" spans="1:111" ht="45" customHeight="1">
      <c r="A41" s="135"/>
      <c r="B41" s="164" t="s">
        <v>201</v>
      </c>
      <c r="C41" s="165"/>
      <c r="D41" s="166">
        <f xml:space="preserve"> LEN(E41)</f>
        <v>59</v>
      </c>
      <c r="E41" s="167" t="str">
        <f xml:space="preserve"> _xlfn.CONCAT(D18:BJ18)</f>
        <v>BbpmdtnlĞgkŋZzcsJjCShaiwueOəIUDfqrvxyMGNY@AWHRFQV&amp;LØ1732584</v>
      </c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35"/>
      <c r="AD41" s="135"/>
      <c r="AE41" s="135">
        <f xml:space="preserve"> LEN(AF41)</f>
        <v>49</v>
      </c>
      <c r="AF41" s="167" t="str">
        <f>_xlfn.CONCAT(D18:AZ18)</f>
        <v>BbpmdtnlĞgkŋZzcsJjCShaiwueOəIUDfqrvxyMGNY@AWHRFQV</v>
      </c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35"/>
      <c r="BD41" s="135">
        <f xml:space="preserve"> LEN(BE41)</f>
        <v>9</v>
      </c>
      <c r="BE41" s="167" t="str">
        <f>_xlfn.CONCAT(BA18:BI18)</f>
        <v>&amp;LØ173258</v>
      </c>
      <c r="BF41" s="168"/>
      <c r="BG41" s="167"/>
      <c r="BH41" s="168"/>
      <c r="BI41" s="167"/>
      <c r="BJ41" s="168"/>
      <c r="BK41" s="167"/>
      <c r="BL41" s="163"/>
      <c r="BM41" s="135"/>
      <c r="BN41" s="85">
        <f t="shared" si="4"/>
        <v>37</v>
      </c>
      <c r="BO41" s="253" t="str">
        <v>aunn</v>
      </c>
      <c r="BP41" s="86" t="str">
        <v>y</v>
      </c>
      <c r="BQ41" s="76" t="str">
        <v>L</v>
      </c>
      <c r="BR41" s="77" t="str">
        <v>ㆯ</v>
      </c>
      <c r="BS41" s="87" t="s">
        <v>283</v>
      </c>
      <c r="BT41" s="88">
        <f t="shared" si="0"/>
        <v>4</v>
      </c>
      <c r="BU41" s="135"/>
      <c r="BV41" s="89" t="str">
        <f t="shared" si="16"/>
        <v xml:space="preserve">    "L": { commit: "ㆯ" }  # /aunn/ ==&gt; y</v>
      </c>
      <c r="BW41" s="90"/>
      <c r="BX41" s="85">
        <f t="shared" si="6"/>
        <v>37</v>
      </c>
      <c r="BY41" s="93"/>
      <c r="BZ41" s="91"/>
      <c r="CA41" s="92"/>
      <c r="CB41" s="77"/>
      <c r="CC41" s="94"/>
      <c r="CD41" s="95"/>
      <c r="CG41" s="85">
        <f t="shared" si="7"/>
        <v>37</v>
      </c>
      <c r="CH41" s="93"/>
      <c r="CI41" s="91"/>
      <c r="CJ41" s="92"/>
      <c r="CK41" s="77"/>
      <c r="CL41" s="94"/>
      <c r="CM41" s="95"/>
      <c r="CP41" s="85">
        <f t="shared" si="8"/>
        <v>37</v>
      </c>
      <c r="CQ41" s="93"/>
      <c r="CR41" s="91"/>
      <c r="CS41" s="92"/>
      <c r="CT41" s="77"/>
      <c r="CU41" s="94"/>
      <c r="CV41" s="95"/>
      <c r="CX41" s="17" t="str">
        <f t="shared" si="17"/>
        <v/>
      </c>
      <c r="CY41" s="85">
        <f t="shared" si="9"/>
        <v>37</v>
      </c>
      <c r="CZ41" s="93"/>
      <c r="DA41" s="91"/>
      <c r="DB41" s="92"/>
      <c r="DC41" s="77"/>
      <c r="DD41" s="94"/>
      <c r="DE41" s="95"/>
    </row>
    <row r="42" spans="1:111" ht="45" customHeight="1">
      <c r="A42" s="135"/>
      <c r="B42" s="169" t="s">
        <v>202</v>
      </c>
      <c r="C42" s="170"/>
      <c r="D42" s="171">
        <f xml:space="preserve"> LEN(E42)</f>
        <v>59</v>
      </c>
      <c r="E42" s="172" t="str">
        <f xml:space="preserve"> _xlfn.CONCAT(D19:BJ19)</f>
        <v>!1qa2wsxEedGYyhnRrfvc8uKj,ik9l*UJ&lt;I(Lm/pM0;Oobtgz7-="5346][</v>
      </c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35"/>
      <c r="AD42" s="135"/>
      <c r="AE42" s="135">
        <f xml:space="preserve"> LEN(AF42)</f>
        <v>49</v>
      </c>
      <c r="AF42" s="172" t="str">
        <f>_xlfn.CONCAT(D19:AZ19)</f>
        <v>!1qa2wsxEedGYyhnRrfvc8uKj,ik9l*UJ&lt;I(Lm/pM0;Oobtgz</v>
      </c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  <c r="BB42" s="173"/>
      <c r="BC42" s="135"/>
      <c r="BD42" s="135">
        <f xml:space="preserve"> LEN(BE42)</f>
        <v>9</v>
      </c>
      <c r="BE42" s="172" t="str">
        <f>_xlfn.CONCAT(BA19:BI19)</f>
        <v>7-="5346]</v>
      </c>
      <c r="BF42" s="173"/>
      <c r="BG42" s="172"/>
      <c r="BH42" s="173"/>
      <c r="BI42" s="172"/>
      <c r="BJ42" s="173"/>
      <c r="BK42" s="172"/>
      <c r="BL42" s="163"/>
      <c r="BM42" s="135"/>
      <c r="BN42" s="85">
        <f t="shared" si="4"/>
        <v>38</v>
      </c>
      <c r="BO42" s="253" t="str">
        <v>-m</v>
      </c>
      <c r="BP42" s="86" t="str">
        <v>M</v>
      </c>
      <c r="BQ42" s="76" t="str">
        <v>m</v>
      </c>
      <c r="BR42" s="77" t="str">
        <v>ㆬ</v>
      </c>
      <c r="BS42" s="87" t="s">
        <v>283</v>
      </c>
      <c r="BT42" s="88">
        <f t="shared" si="0"/>
        <v>2</v>
      </c>
      <c r="BV42" s="89" t="str">
        <f t="shared" si="16"/>
        <v xml:space="preserve">    "m": { commit: "ㆬ" }  # /-m/ ==&gt; M</v>
      </c>
      <c r="BW42" s="90"/>
      <c r="BX42" s="85">
        <f t="shared" si="6"/>
        <v>38</v>
      </c>
      <c r="BY42" s="93"/>
      <c r="BZ42" s="91"/>
      <c r="CA42" s="92"/>
      <c r="CB42" s="77"/>
      <c r="CC42" s="94"/>
      <c r="CD42" s="95"/>
      <c r="CG42" s="85">
        <f t="shared" si="7"/>
        <v>38</v>
      </c>
      <c r="CH42" s="93"/>
      <c r="CI42" s="91"/>
      <c r="CJ42" s="92"/>
      <c r="CK42" s="77"/>
      <c r="CL42" s="94"/>
      <c r="CM42" s="95"/>
      <c r="CP42" s="85">
        <f t="shared" si="8"/>
        <v>38</v>
      </c>
      <c r="CQ42" s="93"/>
      <c r="CR42" s="91"/>
      <c r="CS42" s="92"/>
      <c r="CT42" s="77"/>
      <c r="CU42" s="94"/>
      <c r="CV42" s="95"/>
      <c r="CX42" s="17" t="str">
        <f t="shared" si="17"/>
        <v/>
      </c>
      <c r="CY42" s="85">
        <f t="shared" si="9"/>
        <v>38</v>
      </c>
      <c r="CZ42" s="93"/>
      <c r="DA42" s="91"/>
      <c r="DB42" s="92"/>
      <c r="DC42" s="77"/>
      <c r="DD42" s="94"/>
      <c r="DE42" s="95"/>
    </row>
    <row r="43" spans="1:111" ht="45" customHeight="1">
      <c r="A43" s="135"/>
      <c r="B43" s="270" t="str">
        <f xml:space="preserve"> "    - xlit|" &amp; E41 &amp; "|" &amp; E42 &amp; "|"</f>
        <v xml:space="preserve">    - xlit|BbpmdtnlĞgkŋZzcsJjCShaiwueOəIUDfqrvxyMGNY@AWHRFQV&amp;LØ1732584|!1qa2wsxEedGYyhnRrfvc8uKj,ik9l*UJ&lt;I(Lm/pM0;Oobtgz7-="5346][|</v>
      </c>
      <c r="C43" s="175"/>
      <c r="D43" s="175"/>
      <c r="E43" s="269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35"/>
      <c r="AD43" s="135"/>
      <c r="AE43" s="151"/>
      <c r="AF43" s="176" t="str">
        <f xml:space="preserve"> "    - xlit|" &amp; AF41 &amp; "|" &amp; AF42 &amp; "|"</f>
        <v xml:space="preserve">    - xlit|BbpmdtnlĞgkŋZzcsJjCShaiwueOəIUDfqrvxyMGNY@AWHRFQV|!1qa2wsxEedGYyhnRrfvc8uKj,ik9l*UJ&lt;I(Lm/pM0;Oobtgz|</v>
      </c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35"/>
      <c r="BD43" s="135"/>
      <c r="BE43" s="176" t="str">
        <f xml:space="preserve"> "    - xlit|" &amp; BE41 &amp; "|" &amp; BE42 &amp; "|"</f>
        <v xml:space="preserve">    - xlit|&amp;LØ173258|7-="5346]|</v>
      </c>
      <c r="BF43" s="177"/>
      <c r="BG43" s="177"/>
      <c r="BH43" s="177"/>
      <c r="BI43" s="177"/>
      <c r="BJ43" s="177"/>
      <c r="BK43" s="177"/>
      <c r="BL43" s="163"/>
      <c r="BN43" s="85">
        <f t="shared" si="4"/>
        <v>39</v>
      </c>
      <c r="BO43" s="253" t="str">
        <v>-ng</v>
      </c>
      <c r="BP43" s="86" t="str">
        <v>G</v>
      </c>
      <c r="BQ43" s="76" t="str">
        <v>/</v>
      </c>
      <c r="BR43" s="77" t="str">
        <v>ㆭ</v>
      </c>
      <c r="BS43" s="87" t="s">
        <v>283</v>
      </c>
      <c r="BT43" s="88">
        <f t="shared" si="0"/>
        <v>3</v>
      </c>
      <c r="BV43" s="89" t="str">
        <f t="shared" si="16"/>
        <v xml:space="preserve">    "/": { commit: "ㆭ" }  # /-ng/ ==&gt; G</v>
      </c>
      <c r="BW43" s="90"/>
      <c r="BX43" s="85">
        <f t="shared" si="6"/>
        <v>39</v>
      </c>
      <c r="BY43" s="93"/>
      <c r="BZ43" s="91"/>
      <c r="CA43" s="92"/>
      <c r="CB43" s="77"/>
      <c r="CC43" s="94"/>
      <c r="CD43" s="95"/>
      <c r="CG43" s="85">
        <f t="shared" si="7"/>
        <v>39</v>
      </c>
      <c r="CH43" s="93"/>
      <c r="CI43" s="91"/>
      <c r="CJ43" s="92"/>
      <c r="CK43" s="77"/>
      <c r="CL43" s="94"/>
      <c r="CM43" s="95"/>
      <c r="CP43" s="85">
        <f t="shared" si="8"/>
        <v>39</v>
      </c>
      <c r="CQ43" s="93"/>
      <c r="CR43" s="91"/>
      <c r="CS43" s="92"/>
      <c r="CT43" s="77"/>
      <c r="CU43" s="94"/>
      <c r="CV43" s="95"/>
      <c r="CX43" s="17" t="str">
        <f t="shared" si="17"/>
        <v/>
      </c>
      <c r="CY43" s="85">
        <f t="shared" si="9"/>
        <v>39</v>
      </c>
      <c r="CZ43" s="93"/>
      <c r="DA43" s="91"/>
      <c r="DB43" s="92"/>
      <c r="DC43" s="77"/>
      <c r="DD43" s="94"/>
      <c r="DE43" s="95"/>
    </row>
    <row r="44" spans="1:111" ht="45" customHeight="1">
      <c r="A44" s="61"/>
      <c r="BC44" s="151"/>
      <c r="BD44" s="151"/>
      <c r="BE44" s="151"/>
      <c r="BF44" s="151"/>
      <c r="BG44" s="151"/>
      <c r="BH44" s="151"/>
      <c r="BI44" s="151"/>
      <c r="BJ44" s="163"/>
      <c r="BK44" s="163"/>
      <c r="BL44" s="163"/>
      <c r="BN44" s="85">
        <f t="shared" si="4"/>
        <v>40</v>
      </c>
      <c r="BO44" s="253" t="str">
        <v>-n</v>
      </c>
      <c r="BP44" s="86" t="str">
        <v>N</v>
      </c>
      <c r="BQ44" s="76" t="str">
        <v>p</v>
      </c>
      <c r="BR44" s="77" t="str">
        <v>ㄣ</v>
      </c>
      <c r="BS44" s="87" t="s">
        <v>283</v>
      </c>
      <c r="BT44" s="88">
        <f t="shared" si="0"/>
        <v>2</v>
      </c>
      <c r="BV44" s="89" t="str">
        <f t="shared" si="16"/>
        <v xml:space="preserve">    "p": { commit: "ㄣ" }  # /-n/ ==&gt; N</v>
      </c>
      <c r="BW44" s="90"/>
      <c r="BX44" s="85">
        <f t="shared" si="6"/>
        <v>40</v>
      </c>
      <c r="BY44" s="93"/>
      <c r="BZ44" s="91"/>
      <c r="CA44" s="92"/>
      <c r="CB44" s="77"/>
      <c r="CC44" s="94"/>
      <c r="CD44" s="95"/>
      <c r="CG44" s="85">
        <f t="shared" si="7"/>
        <v>40</v>
      </c>
      <c r="CH44" s="93"/>
      <c r="CI44" s="91"/>
      <c r="CJ44" s="92"/>
      <c r="CK44" s="77"/>
      <c r="CL44" s="94"/>
      <c r="CM44" s="95"/>
      <c r="CP44" s="85">
        <f t="shared" si="8"/>
        <v>40</v>
      </c>
      <c r="CQ44" s="93"/>
      <c r="CR44" s="91"/>
      <c r="CS44" s="92"/>
      <c r="CT44" s="77"/>
      <c r="CU44" s="94"/>
      <c r="CV44" s="95"/>
      <c r="CX44" s="17" t="str">
        <f t="shared" si="17"/>
        <v/>
      </c>
      <c r="CY44" s="85">
        <f t="shared" si="9"/>
        <v>40</v>
      </c>
      <c r="CZ44" s="93"/>
      <c r="DA44" s="91"/>
      <c r="DB44" s="92"/>
      <c r="DC44" s="77"/>
      <c r="DD44" s="94"/>
      <c r="DE44" s="95"/>
    </row>
    <row r="45" spans="1:111" ht="45" customHeight="1">
      <c r="BL45" s="163"/>
      <c r="BN45" s="85">
        <f t="shared" si="4"/>
        <v>41</v>
      </c>
      <c r="BO45" s="253" t="str">
        <v>am</v>
      </c>
      <c r="BP45" s="86" t="str">
        <v>Y</v>
      </c>
      <c r="BQ45" s="76" t="str">
        <v>M</v>
      </c>
      <c r="BR45" s="77" t="str">
        <v>ㆰ</v>
      </c>
      <c r="BS45" s="87" t="s">
        <v>283</v>
      </c>
      <c r="BT45" s="88">
        <f t="shared" si="0"/>
        <v>2</v>
      </c>
      <c r="BV45" s="89" t="str">
        <f t="shared" si="16"/>
        <v xml:space="preserve">    "M": { commit: "ㆰ" }  # /am/ ==&gt; Y</v>
      </c>
      <c r="BW45" s="90"/>
      <c r="BX45" s="85">
        <f t="shared" si="6"/>
        <v>41</v>
      </c>
      <c r="BY45" s="93"/>
      <c r="BZ45" s="91"/>
      <c r="CA45" s="92"/>
      <c r="CB45" s="77"/>
      <c r="CC45" s="94"/>
      <c r="CD45" s="95"/>
      <c r="CG45" s="85">
        <f t="shared" si="7"/>
        <v>41</v>
      </c>
      <c r="CH45" s="93"/>
      <c r="CI45" s="91"/>
      <c r="CJ45" s="92"/>
      <c r="CK45" s="77"/>
      <c r="CL45" s="94"/>
      <c r="CM45" s="95"/>
      <c r="CP45" s="85">
        <f t="shared" si="8"/>
        <v>41</v>
      </c>
      <c r="CQ45" s="93"/>
      <c r="CR45" s="91"/>
      <c r="CS45" s="92"/>
      <c r="CT45" s="77"/>
      <c r="CU45" s="94"/>
      <c r="CV45" s="95"/>
      <c r="CX45" s="17" t="str">
        <f t="shared" si="17"/>
        <v/>
      </c>
      <c r="CY45" s="85">
        <f t="shared" si="9"/>
        <v>41</v>
      </c>
      <c r="CZ45" s="93"/>
      <c r="DA45" s="91"/>
      <c r="DB45" s="92"/>
      <c r="DC45" s="77"/>
      <c r="DD45" s="94"/>
      <c r="DE45" s="95"/>
    </row>
    <row r="46" spans="1:111" ht="45" customHeight="1">
      <c r="B46" s="178">
        <v>1</v>
      </c>
      <c r="C46" s="178">
        <v>2</v>
      </c>
      <c r="D46" s="178">
        <v>3</v>
      </c>
      <c r="E46" s="178">
        <v>4</v>
      </c>
      <c r="F46" s="178">
        <v>5</v>
      </c>
      <c r="G46" s="178">
        <v>6</v>
      </c>
      <c r="H46" s="178">
        <v>7</v>
      </c>
      <c r="I46" s="178">
        <v>8</v>
      </c>
      <c r="J46" s="178">
        <v>9</v>
      </c>
      <c r="K46" s="178">
        <v>10</v>
      </c>
      <c r="L46" s="178">
        <v>11</v>
      </c>
      <c r="M46" s="178">
        <v>12</v>
      </c>
      <c r="N46" s="178">
        <v>13</v>
      </c>
      <c r="O46" s="178">
        <v>14</v>
      </c>
      <c r="P46" s="178">
        <v>15</v>
      </c>
      <c r="Q46" s="178">
        <v>16</v>
      </c>
      <c r="R46" s="178">
        <v>17</v>
      </c>
      <c r="S46" s="179">
        <v>18</v>
      </c>
      <c r="T46" s="178">
        <v>19</v>
      </c>
      <c r="U46" s="178">
        <v>20</v>
      </c>
      <c r="V46" s="178">
        <v>21</v>
      </c>
      <c r="W46" s="178">
        <v>22</v>
      </c>
      <c r="X46" s="178">
        <v>23</v>
      </c>
      <c r="Y46" s="178">
        <v>24</v>
      </c>
      <c r="Z46" s="178">
        <v>25</v>
      </c>
      <c r="AA46" s="178">
        <v>26</v>
      </c>
      <c r="AB46" s="178">
        <v>27</v>
      </c>
      <c r="AC46" s="178">
        <v>28</v>
      </c>
      <c r="AD46" s="178">
        <v>29</v>
      </c>
      <c r="AE46" s="178">
        <v>30</v>
      </c>
      <c r="AF46" s="178">
        <v>31</v>
      </c>
      <c r="AG46" s="178">
        <v>32</v>
      </c>
      <c r="AH46" s="180">
        <v>33</v>
      </c>
      <c r="AI46" s="180">
        <v>34</v>
      </c>
      <c r="AJ46" s="180">
        <v>35</v>
      </c>
      <c r="AK46" s="180">
        <v>36</v>
      </c>
      <c r="AL46" s="181">
        <v>37</v>
      </c>
      <c r="AM46" s="180">
        <v>38</v>
      </c>
      <c r="AN46" s="180">
        <v>39</v>
      </c>
      <c r="AO46" s="180">
        <v>40</v>
      </c>
      <c r="AP46" s="180">
        <v>41</v>
      </c>
      <c r="AQ46" s="180">
        <v>42</v>
      </c>
      <c r="AR46" s="180">
        <v>43</v>
      </c>
      <c r="AS46" s="180">
        <v>44</v>
      </c>
      <c r="AT46" s="180">
        <v>45</v>
      </c>
      <c r="AU46" s="180">
        <v>46</v>
      </c>
      <c r="AV46" s="180">
        <v>47</v>
      </c>
      <c r="AW46" s="180">
        <v>48</v>
      </c>
      <c r="AX46" s="180">
        <v>49</v>
      </c>
      <c r="AY46" s="180">
        <v>50</v>
      </c>
      <c r="AZ46" s="180">
        <v>51</v>
      </c>
      <c r="BA46" s="180">
        <v>52</v>
      </c>
      <c r="BB46" s="180">
        <v>53</v>
      </c>
      <c r="BC46" s="180">
        <v>54</v>
      </c>
      <c r="BD46" s="180">
        <v>55</v>
      </c>
      <c r="BE46" s="180">
        <v>56</v>
      </c>
      <c r="BF46" s="180">
        <v>57</v>
      </c>
      <c r="BG46" s="180">
        <v>58</v>
      </c>
      <c r="BH46" s="180">
        <v>59</v>
      </c>
      <c r="BI46" s="180">
        <v>60</v>
      </c>
      <c r="BJ46" s="163"/>
      <c r="BK46" s="163"/>
      <c r="BL46" s="163"/>
      <c r="BN46" s="85">
        <f t="shared" si="4"/>
        <v>42</v>
      </c>
      <c r="BO46" s="253" t="str">
        <v>an</v>
      </c>
      <c r="BP46" s="86" t="str">
        <v>@</v>
      </c>
      <c r="BQ46" s="76" t="str">
        <v>0</v>
      </c>
      <c r="BR46" s="77" t="str">
        <v>ㄢ</v>
      </c>
      <c r="BS46" s="87" t="s">
        <v>283</v>
      </c>
      <c r="BT46" s="88">
        <f t="shared" si="0"/>
        <v>2</v>
      </c>
      <c r="BV46" s="89" t="str">
        <f t="shared" si="16"/>
        <v xml:space="preserve">    "0": { commit: "ㄢ" }  # /an/ ==&gt; @</v>
      </c>
      <c r="BW46" s="90"/>
      <c r="BX46" s="85">
        <f t="shared" si="6"/>
        <v>42</v>
      </c>
      <c r="BY46" s="93"/>
      <c r="BZ46" s="91"/>
      <c r="CA46" s="92"/>
      <c r="CB46" s="77"/>
      <c r="CC46" s="94"/>
      <c r="CD46" s="95"/>
      <c r="CG46" s="85">
        <f t="shared" si="7"/>
        <v>42</v>
      </c>
      <c r="CH46" s="93"/>
      <c r="CI46" s="91"/>
      <c r="CJ46" s="92"/>
      <c r="CK46" s="77"/>
      <c r="CL46" s="94"/>
      <c r="CM46" s="95"/>
      <c r="CP46" s="85">
        <f t="shared" si="8"/>
        <v>42</v>
      </c>
      <c r="CQ46" s="93"/>
      <c r="CR46" s="91"/>
      <c r="CS46" s="92"/>
      <c r="CT46" s="77"/>
      <c r="CU46" s="94"/>
      <c r="CV46" s="95"/>
      <c r="CX46" s="17" t="str">
        <f t="shared" si="17"/>
        <v/>
      </c>
      <c r="CY46" s="85">
        <f t="shared" si="9"/>
        <v>42</v>
      </c>
      <c r="CZ46" s="93"/>
      <c r="DA46" s="91"/>
      <c r="DB46" s="92"/>
      <c r="DC46" s="77"/>
      <c r="DD46" s="94"/>
      <c r="DE46" s="95"/>
    </row>
    <row r="47" spans="1:111" ht="45" customHeight="1">
      <c r="B47" s="182" t="str">
        <f xml:space="preserve"> MID($E$41, B$46, 1)</f>
        <v>B</v>
      </c>
      <c r="C47" s="182" t="str">
        <f t="shared" ref="C47:BI47" si="18" xml:space="preserve"> MID($E$41, C$46, 1)</f>
        <v>b</v>
      </c>
      <c r="D47" s="182" t="str">
        <f t="shared" si="18"/>
        <v>p</v>
      </c>
      <c r="E47" s="182" t="str">
        <f t="shared" si="18"/>
        <v>m</v>
      </c>
      <c r="F47" s="182" t="str">
        <f t="shared" si="18"/>
        <v>d</v>
      </c>
      <c r="G47" s="182" t="str">
        <f t="shared" si="18"/>
        <v>t</v>
      </c>
      <c r="H47" s="182" t="str">
        <f t="shared" si="18"/>
        <v>n</v>
      </c>
      <c r="I47" s="182" t="str">
        <f t="shared" si="18"/>
        <v>l</v>
      </c>
      <c r="J47" s="182" t="str">
        <f t="shared" si="18"/>
        <v>Ğ</v>
      </c>
      <c r="K47" s="182" t="str">
        <f t="shared" si="18"/>
        <v>g</v>
      </c>
      <c r="L47" s="182" t="str">
        <f t="shared" si="18"/>
        <v>k</v>
      </c>
      <c r="M47" s="182" t="str">
        <f t="shared" si="18"/>
        <v>ŋ</v>
      </c>
      <c r="N47" s="182" t="str">
        <f t="shared" si="18"/>
        <v>Z</v>
      </c>
      <c r="O47" s="182" t="str">
        <f t="shared" si="18"/>
        <v>z</v>
      </c>
      <c r="P47" s="182" t="str">
        <f t="shared" si="18"/>
        <v>c</v>
      </c>
      <c r="Q47" s="182" t="str">
        <f t="shared" si="18"/>
        <v>s</v>
      </c>
      <c r="R47" s="182" t="str">
        <f t="shared" si="18"/>
        <v>J</v>
      </c>
      <c r="S47" s="182" t="str">
        <f t="shared" si="18"/>
        <v>j</v>
      </c>
      <c r="T47" s="182" t="str">
        <f t="shared" si="18"/>
        <v>C</v>
      </c>
      <c r="U47" s="182" t="str">
        <f t="shared" si="18"/>
        <v>S</v>
      </c>
      <c r="V47" s="182" t="str">
        <f t="shared" si="18"/>
        <v>h</v>
      </c>
      <c r="W47" s="182" t="str">
        <f t="shared" si="18"/>
        <v>a</v>
      </c>
      <c r="X47" s="182" t="str">
        <f t="shared" si="18"/>
        <v>i</v>
      </c>
      <c r="Y47" s="182" t="str">
        <f t="shared" si="18"/>
        <v>w</v>
      </c>
      <c r="Z47" s="182" t="str">
        <f t="shared" si="18"/>
        <v>u</v>
      </c>
      <c r="AA47" s="182" t="str">
        <f t="shared" si="18"/>
        <v>e</v>
      </c>
      <c r="AB47" s="182" t="str">
        <f t="shared" si="18"/>
        <v>O</v>
      </c>
      <c r="AC47" s="182" t="str">
        <f t="shared" si="18"/>
        <v>ə</v>
      </c>
      <c r="AD47" s="182" t="str">
        <f t="shared" si="18"/>
        <v>I</v>
      </c>
      <c r="AE47" s="182" t="str">
        <f t="shared" si="18"/>
        <v>U</v>
      </c>
      <c r="AF47" s="182" t="str">
        <f t="shared" si="18"/>
        <v>D</v>
      </c>
      <c r="AG47" s="182" t="str">
        <f t="shared" si="18"/>
        <v>f</v>
      </c>
      <c r="AH47" s="182" t="str">
        <f t="shared" si="18"/>
        <v>q</v>
      </c>
      <c r="AI47" s="182" t="str">
        <f t="shared" si="18"/>
        <v>r</v>
      </c>
      <c r="AJ47" s="182" t="str">
        <f t="shared" si="18"/>
        <v>v</v>
      </c>
      <c r="AK47" s="182" t="str">
        <f t="shared" si="18"/>
        <v>x</v>
      </c>
      <c r="AL47" s="182" t="str">
        <f t="shared" si="18"/>
        <v>y</v>
      </c>
      <c r="AM47" s="182" t="str">
        <f t="shared" si="18"/>
        <v>M</v>
      </c>
      <c r="AN47" s="182" t="str">
        <f t="shared" si="18"/>
        <v>G</v>
      </c>
      <c r="AO47" s="182" t="str">
        <f t="shared" si="18"/>
        <v>N</v>
      </c>
      <c r="AP47" s="182" t="str">
        <f t="shared" si="18"/>
        <v>Y</v>
      </c>
      <c r="AQ47" s="182" t="str">
        <f t="shared" si="18"/>
        <v>@</v>
      </c>
      <c r="AR47" s="182" t="str">
        <f t="shared" si="18"/>
        <v>A</v>
      </c>
      <c r="AS47" s="182" t="str">
        <f t="shared" si="18"/>
        <v>W</v>
      </c>
      <c r="AT47" s="182" t="str">
        <f t="shared" si="18"/>
        <v>H</v>
      </c>
      <c r="AU47" s="182" t="str">
        <f t="shared" si="18"/>
        <v>R</v>
      </c>
      <c r="AV47" s="182" t="str">
        <f t="shared" si="18"/>
        <v>F</v>
      </c>
      <c r="AW47" s="182" t="str">
        <f t="shared" si="18"/>
        <v>Q</v>
      </c>
      <c r="AX47" s="182" t="str">
        <f t="shared" si="18"/>
        <v>V</v>
      </c>
      <c r="AY47" s="182" t="str">
        <f t="shared" si="18"/>
        <v>&amp;</v>
      </c>
      <c r="AZ47" s="182" t="str">
        <f t="shared" si="18"/>
        <v>L</v>
      </c>
      <c r="BA47" s="182" t="str">
        <f t="shared" si="18"/>
        <v>Ø</v>
      </c>
      <c r="BB47" s="182" t="str">
        <f t="shared" si="18"/>
        <v>1</v>
      </c>
      <c r="BC47" s="182" t="str">
        <f t="shared" si="18"/>
        <v>7</v>
      </c>
      <c r="BD47" s="182" t="str">
        <f t="shared" si="18"/>
        <v>3</v>
      </c>
      <c r="BE47" s="182" t="str">
        <f t="shared" si="18"/>
        <v>2</v>
      </c>
      <c r="BF47" s="182" t="str">
        <f t="shared" si="18"/>
        <v>5</v>
      </c>
      <c r="BG47" s="182" t="str">
        <f t="shared" si="18"/>
        <v>8</v>
      </c>
      <c r="BH47" s="182" t="str">
        <f t="shared" si="18"/>
        <v>4</v>
      </c>
      <c r="BI47" s="182" t="str">
        <f t="shared" si="18"/>
        <v/>
      </c>
      <c r="BJ47" s="163"/>
      <c r="BK47" s="163"/>
      <c r="BL47" s="163"/>
      <c r="BN47" s="85">
        <f t="shared" si="4"/>
        <v>43</v>
      </c>
      <c r="BO47" s="253" t="str">
        <v>ang</v>
      </c>
      <c r="BP47" s="86" t="str">
        <v>A</v>
      </c>
      <c r="BQ47" s="76" t="str">
        <v>;</v>
      </c>
      <c r="BR47" s="77" t="str">
        <v>ㄤ</v>
      </c>
      <c r="BS47" s="87" t="s">
        <v>283</v>
      </c>
      <c r="BT47" s="88">
        <f t="shared" si="0"/>
        <v>3</v>
      </c>
      <c r="BV47" s="89" t="str">
        <f t="shared" si="16"/>
        <v xml:space="preserve">    ";": { commit: "ㄤ" }  # /ang/ ==&gt; A</v>
      </c>
      <c r="BX47" s="85">
        <f t="shared" si="6"/>
        <v>43</v>
      </c>
      <c r="BY47" s="93"/>
      <c r="BZ47" s="91"/>
      <c r="CA47" s="92"/>
      <c r="CB47" s="77"/>
      <c r="CC47" s="94"/>
      <c r="CD47" s="95"/>
      <c r="CG47" s="85">
        <f t="shared" si="7"/>
        <v>43</v>
      </c>
      <c r="CH47" s="93"/>
      <c r="CI47" s="91"/>
      <c r="CJ47" s="92"/>
      <c r="CK47" s="77"/>
      <c r="CL47" s="94"/>
      <c r="CM47" s="95"/>
      <c r="CP47" s="85">
        <f t="shared" si="8"/>
        <v>43</v>
      </c>
      <c r="CQ47" s="93"/>
      <c r="CR47" s="91"/>
      <c r="CS47" s="92"/>
      <c r="CT47" s="77"/>
      <c r="CU47" s="94"/>
      <c r="CV47" s="95"/>
      <c r="CX47" s="17" t="str">
        <f t="shared" si="17"/>
        <v/>
      </c>
      <c r="CY47" s="85">
        <f t="shared" si="9"/>
        <v>43</v>
      </c>
      <c r="CZ47" s="93"/>
      <c r="DA47" s="91"/>
      <c r="DB47" s="92"/>
      <c r="DC47" s="77"/>
      <c r="DD47" s="94"/>
      <c r="DE47" s="95"/>
    </row>
    <row r="48" spans="1:111" ht="45" customHeight="1">
      <c r="B48" s="183" t="str">
        <f xml:space="preserve"> MID($E$42, B$46, 1)</f>
        <v>!</v>
      </c>
      <c r="C48" s="183" t="str">
        <f t="shared" ref="C48:BI48" si="19" xml:space="preserve"> MID($E$42, C$46, 1)</f>
        <v>1</v>
      </c>
      <c r="D48" s="183" t="str">
        <f t="shared" si="19"/>
        <v>q</v>
      </c>
      <c r="E48" s="183" t="str">
        <f t="shared" si="19"/>
        <v>a</v>
      </c>
      <c r="F48" s="183" t="str">
        <f t="shared" si="19"/>
        <v>2</v>
      </c>
      <c r="G48" s="183" t="str">
        <f t="shared" si="19"/>
        <v>w</v>
      </c>
      <c r="H48" s="183" t="str">
        <f t="shared" si="19"/>
        <v>s</v>
      </c>
      <c r="I48" s="183" t="str">
        <f t="shared" si="19"/>
        <v>x</v>
      </c>
      <c r="J48" s="183" t="str">
        <f t="shared" si="19"/>
        <v>E</v>
      </c>
      <c r="K48" s="183" t="str">
        <f t="shared" si="19"/>
        <v>e</v>
      </c>
      <c r="L48" s="183" t="str">
        <f t="shared" si="19"/>
        <v>d</v>
      </c>
      <c r="M48" s="183" t="str">
        <f t="shared" si="19"/>
        <v>G</v>
      </c>
      <c r="N48" s="183" t="str">
        <f t="shared" si="19"/>
        <v>Y</v>
      </c>
      <c r="O48" s="183" t="str">
        <f t="shared" si="19"/>
        <v>y</v>
      </c>
      <c r="P48" s="183" t="str">
        <f t="shared" si="19"/>
        <v>h</v>
      </c>
      <c r="Q48" s="183" t="str">
        <f t="shared" si="19"/>
        <v>n</v>
      </c>
      <c r="R48" s="183" t="str">
        <f t="shared" si="19"/>
        <v>R</v>
      </c>
      <c r="S48" s="183" t="str">
        <f t="shared" si="19"/>
        <v>r</v>
      </c>
      <c r="T48" s="183" t="str">
        <f t="shared" si="19"/>
        <v>f</v>
      </c>
      <c r="U48" s="183" t="str">
        <f t="shared" si="19"/>
        <v>v</v>
      </c>
      <c r="V48" s="183" t="str">
        <f t="shared" si="19"/>
        <v>c</v>
      </c>
      <c r="W48" s="183" t="str">
        <f t="shared" si="19"/>
        <v>8</v>
      </c>
      <c r="X48" s="183" t="str">
        <f t="shared" si="19"/>
        <v>u</v>
      </c>
      <c r="Y48" s="183" t="str">
        <f t="shared" si="19"/>
        <v>K</v>
      </c>
      <c r="Z48" s="183" t="str">
        <f t="shared" si="19"/>
        <v>j</v>
      </c>
      <c r="AA48" s="183" t="str">
        <f t="shared" si="19"/>
        <v>,</v>
      </c>
      <c r="AB48" s="183" t="str">
        <f t="shared" si="19"/>
        <v>i</v>
      </c>
      <c r="AC48" s="183" t="str">
        <f t="shared" si="19"/>
        <v>k</v>
      </c>
      <c r="AD48" s="183" t="str">
        <f t="shared" si="19"/>
        <v>9</v>
      </c>
      <c r="AE48" s="183" t="str">
        <f t="shared" si="19"/>
        <v>l</v>
      </c>
      <c r="AF48" s="183" t="str">
        <f t="shared" si="19"/>
        <v>*</v>
      </c>
      <c r="AG48" s="183" t="str">
        <f t="shared" si="19"/>
        <v>U</v>
      </c>
      <c r="AH48" s="183" t="str">
        <f t="shared" si="19"/>
        <v>J</v>
      </c>
      <c r="AI48" s="183" t="str">
        <f t="shared" si="19"/>
        <v>&lt;</v>
      </c>
      <c r="AJ48" s="183" t="str">
        <f t="shared" si="19"/>
        <v>I</v>
      </c>
      <c r="AK48" s="183" t="str">
        <f t="shared" si="19"/>
        <v>(</v>
      </c>
      <c r="AL48" s="183" t="str">
        <f t="shared" si="19"/>
        <v>L</v>
      </c>
      <c r="AM48" s="183" t="str">
        <f t="shared" si="19"/>
        <v>m</v>
      </c>
      <c r="AN48" s="183" t="str">
        <f t="shared" si="19"/>
        <v>/</v>
      </c>
      <c r="AO48" s="183" t="str">
        <f t="shared" si="19"/>
        <v>p</v>
      </c>
      <c r="AP48" s="183" t="str">
        <f t="shared" si="19"/>
        <v>M</v>
      </c>
      <c r="AQ48" s="183" t="str">
        <f t="shared" si="19"/>
        <v>0</v>
      </c>
      <c r="AR48" s="183" t="str">
        <f t="shared" si="19"/>
        <v>;</v>
      </c>
      <c r="AS48" s="183" t="str">
        <f t="shared" si="19"/>
        <v>O</v>
      </c>
      <c r="AT48" s="183" t="str">
        <f t="shared" si="19"/>
        <v>o</v>
      </c>
      <c r="AU48" s="183" t="str">
        <f t="shared" si="19"/>
        <v>b</v>
      </c>
      <c r="AV48" s="183" t="str">
        <f t="shared" si="19"/>
        <v>t</v>
      </c>
      <c r="AW48" s="183" t="str">
        <f t="shared" si="19"/>
        <v>g</v>
      </c>
      <c r="AX48" s="183" t="str">
        <f t="shared" si="19"/>
        <v>z</v>
      </c>
      <c r="AY48" s="183" t="str">
        <f t="shared" si="19"/>
        <v>7</v>
      </c>
      <c r="AZ48" s="183" t="str">
        <f t="shared" si="19"/>
        <v>-</v>
      </c>
      <c r="BA48" s="183" t="str">
        <f t="shared" si="19"/>
        <v>=</v>
      </c>
      <c r="BB48" s="183" t="str">
        <f t="shared" si="19"/>
        <v>"</v>
      </c>
      <c r="BC48" s="183" t="str">
        <f t="shared" si="19"/>
        <v>5</v>
      </c>
      <c r="BD48" s="183" t="str">
        <f t="shared" si="19"/>
        <v>3</v>
      </c>
      <c r="BE48" s="183" t="str">
        <f t="shared" si="19"/>
        <v>4</v>
      </c>
      <c r="BF48" s="183" t="str">
        <f t="shared" si="19"/>
        <v>6</v>
      </c>
      <c r="BG48" s="183" t="str">
        <f t="shared" si="19"/>
        <v>]</v>
      </c>
      <c r="BH48" s="183" t="str">
        <f t="shared" si="19"/>
        <v>[</v>
      </c>
      <c r="BI48" s="183" t="str">
        <f t="shared" si="19"/>
        <v/>
      </c>
      <c r="BJ48" s="163"/>
      <c r="BK48" s="163"/>
      <c r="BL48" s="163"/>
      <c r="BN48" s="85">
        <f t="shared" si="4"/>
        <v>44</v>
      </c>
      <c r="BO48" s="253" t="str">
        <v>om</v>
      </c>
      <c r="BP48" s="86" t="str">
        <v>W</v>
      </c>
      <c r="BQ48" s="76" t="str">
        <v>O</v>
      </c>
      <c r="BR48" s="77" t="str">
        <v>ㆱ</v>
      </c>
      <c r="BS48" s="87" t="s">
        <v>283</v>
      </c>
      <c r="BT48" s="88">
        <f t="shared" si="0"/>
        <v>2</v>
      </c>
      <c r="BV48" s="89" t="str">
        <f t="shared" si="16"/>
        <v xml:space="preserve">    "O": { commit: "ㆱ" }  # /om/ ==&gt; W</v>
      </c>
      <c r="BX48" s="85">
        <f t="shared" si="6"/>
        <v>44</v>
      </c>
      <c r="BY48" s="93"/>
      <c r="BZ48" s="91"/>
      <c r="CA48" s="92"/>
      <c r="CB48" s="77"/>
      <c r="CC48" s="94"/>
      <c r="CD48" s="95"/>
      <c r="CG48" s="85">
        <f t="shared" si="7"/>
        <v>44</v>
      </c>
      <c r="CH48" s="93"/>
      <c r="CI48" s="91"/>
      <c r="CJ48" s="92"/>
      <c r="CK48" s="77"/>
      <c r="CL48" s="94"/>
      <c r="CM48" s="95"/>
      <c r="CP48" s="85">
        <f t="shared" si="8"/>
        <v>44</v>
      </c>
      <c r="CQ48" s="93"/>
      <c r="CR48" s="91"/>
      <c r="CS48" s="92"/>
      <c r="CT48" s="77"/>
      <c r="CU48" s="94"/>
      <c r="CV48" s="95"/>
      <c r="CX48" s="17" t="str">
        <f t="shared" si="17"/>
        <v/>
      </c>
      <c r="CY48" s="85">
        <f t="shared" si="9"/>
        <v>44</v>
      </c>
      <c r="CZ48" s="93"/>
      <c r="DA48" s="91"/>
      <c r="DB48" s="92"/>
      <c r="DC48" s="77"/>
      <c r="DD48" s="94"/>
      <c r="DE48" s="95"/>
    </row>
    <row r="49" spans="1:109" ht="45" customHeight="1">
      <c r="BC49" s="151"/>
      <c r="BD49" s="151"/>
      <c r="BE49" s="151"/>
      <c r="BF49" s="151"/>
      <c r="BG49" s="151"/>
      <c r="BH49" s="151"/>
      <c r="BI49" s="151"/>
      <c r="BJ49" s="163"/>
      <c r="BK49" s="163"/>
      <c r="BL49" s="163"/>
      <c r="BN49" s="85">
        <f t="shared" si="4"/>
        <v>45</v>
      </c>
      <c r="BO49" s="253" t="str">
        <v>ong</v>
      </c>
      <c r="BP49" s="86" t="str">
        <v>H</v>
      </c>
      <c r="BQ49" s="76" t="str">
        <v>o</v>
      </c>
      <c r="BR49" s="77" t="str">
        <v>ㆲ</v>
      </c>
      <c r="BS49" s="87" t="s">
        <v>283</v>
      </c>
      <c r="BT49" s="88">
        <f t="shared" si="0"/>
        <v>3</v>
      </c>
      <c r="BV49" s="89" t="str">
        <f t="shared" si="16"/>
        <v xml:space="preserve">    "o": { commit: "ㆲ" }  # /ong/ ==&gt; H</v>
      </c>
      <c r="BX49" s="85">
        <f t="shared" si="6"/>
        <v>45</v>
      </c>
      <c r="BY49" s="93"/>
      <c r="BZ49" s="91"/>
      <c r="CA49" s="92"/>
      <c r="CB49" s="77"/>
      <c r="CC49" s="94"/>
      <c r="CD49" s="95"/>
      <c r="CG49" s="85">
        <f t="shared" si="7"/>
        <v>45</v>
      </c>
      <c r="CH49" s="93"/>
      <c r="CI49" s="91"/>
      <c r="CJ49" s="92"/>
      <c r="CK49" s="77"/>
      <c r="CL49" s="94"/>
      <c r="CM49" s="95"/>
      <c r="CP49" s="85">
        <f t="shared" si="8"/>
        <v>45</v>
      </c>
      <c r="CQ49" s="93"/>
      <c r="CR49" s="91"/>
      <c r="CS49" s="92"/>
      <c r="CT49" s="77"/>
      <c r="CU49" s="94"/>
      <c r="CV49" s="95"/>
      <c r="CX49" s="17" t="str">
        <f t="shared" si="17"/>
        <v/>
      </c>
      <c r="CY49" s="85">
        <f t="shared" si="9"/>
        <v>45</v>
      </c>
      <c r="CZ49" s="93"/>
      <c r="DA49" s="91"/>
      <c r="DB49" s="92"/>
      <c r="DC49" s="77"/>
      <c r="DD49" s="94"/>
      <c r="DE49" s="95"/>
    </row>
    <row r="50" spans="1:109" ht="45" customHeight="1"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63"/>
      <c r="BK50" s="163"/>
      <c r="BL50" s="163"/>
      <c r="BN50" s="85">
        <f t="shared" si="4"/>
        <v>46</v>
      </c>
      <c r="BO50" s="253" t="str">
        <v>-p</v>
      </c>
      <c r="BP50" s="86" t="str">
        <v>R</v>
      </c>
      <c r="BQ50" s="76" t="str">
        <v>b</v>
      </c>
      <c r="BR50" s="77" t="str">
        <v>ㆴ</v>
      </c>
      <c r="BS50" s="87" t="s">
        <v>283</v>
      </c>
      <c r="BT50" s="88">
        <f t="shared" si="0"/>
        <v>2</v>
      </c>
      <c r="BV50" s="89" t="str">
        <f t="shared" si="16"/>
        <v xml:space="preserve">    "b": { commit: "ㆴ" }  # /-p/ ==&gt; R</v>
      </c>
      <c r="BX50" s="85">
        <f t="shared" si="6"/>
        <v>46</v>
      </c>
      <c r="BY50" s="93"/>
      <c r="BZ50" s="91"/>
      <c r="CA50" s="92"/>
      <c r="CB50" s="77"/>
      <c r="CC50" s="94"/>
      <c r="CD50" s="95"/>
      <c r="CG50" s="85">
        <f t="shared" si="7"/>
        <v>46</v>
      </c>
      <c r="CH50" s="93"/>
      <c r="CI50" s="91"/>
      <c r="CJ50" s="92"/>
      <c r="CK50" s="77"/>
      <c r="CL50" s="94"/>
      <c r="CM50" s="95"/>
      <c r="CP50" s="85">
        <f t="shared" si="8"/>
        <v>46</v>
      </c>
      <c r="CQ50" s="93"/>
      <c r="CR50" s="91"/>
      <c r="CS50" s="92"/>
      <c r="CT50" s="77"/>
      <c r="CU50" s="94"/>
      <c r="CV50" s="95"/>
      <c r="CX50" s="17" t="str">
        <f t="shared" si="17"/>
        <v/>
      </c>
      <c r="CY50" s="85">
        <f t="shared" si="9"/>
        <v>46</v>
      </c>
      <c r="CZ50" s="93"/>
      <c r="DA50" s="91"/>
      <c r="DB50" s="92"/>
      <c r="DC50" s="77"/>
      <c r="DD50" s="94"/>
      <c r="DE50" s="95"/>
    </row>
    <row r="51" spans="1:109" ht="45" customHeight="1">
      <c r="A51" s="151"/>
      <c r="B51" s="184" t="s">
        <v>203</v>
      </c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63"/>
      <c r="BK51" s="163"/>
      <c r="BL51" s="163"/>
      <c r="BN51" s="85">
        <f t="shared" si="4"/>
        <v>47</v>
      </c>
      <c r="BO51" s="253" t="str">
        <v>-t</v>
      </c>
      <c r="BP51" s="86" t="str">
        <v>F</v>
      </c>
      <c r="BQ51" s="76" t="str">
        <v>t</v>
      </c>
      <c r="BR51" s="77" t="str">
        <v>ㆵ</v>
      </c>
      <c r="BS51" s="87" t="s">
        <v>283</v>
      </c>
      <c r="BT51" s="88">
        <f t="shared" si="0"/>
        <v>2</v>
      </c>
      <c r="BV51" s="89" t="str">
        <f t="shared" si="16"/>
        <v xml:space="preserve">    "t": { commit: "ㆵ" }  # /-t/ ==&gt; F</v>
      </c>
      <c r="BX51" s="85">
        <f t="shared" si="6"/>
        <v>47</v>
      </c>
      <c r="BY51" s="93"/>
      <c r="BZ51" s="91"/>
      <c r="CA51" s="92"/>
      <c r="CB51" s="77"/>
      <c r="CC51" s="94"/>
      <c r="CD51" s="95"/>
      <c r="CG51" s="85">
        <f t="shared" si="7"/>
        <v>47</v>
      </c>
      <c r="CH51" s="93"/>
      <c r="CI51" s="91"/>
      <c r="CJ51" s="92"/>
      <c r="CK51" s="77"/>
      <c r="CL51" s="94"/>
      <c r="CM51" s="95"/>
      <c r="CP51" s="85">
        <f t="shared" si="8"/>
        <v>47</v>
      </c>
      <c r="CQ51" s="93"/>
      <c r="CR51" s="91"/>
      <c r="CS51" s="92"/>
      <c r="CT51" s="77"/>
      <c r="CU51" s="94"/>
      <c r="CV51" s="95"/>
      <c r="CX51" s="17" t="str">
        <f t="shared" si="17"/>
        <v/>
      </c>
      <c r="CY51" s="85">
        <f t="shared" si="9"/>
        <v>47</v>
      </c>
      <c r="CZ51" s="93"/>
      <c r="DA51" s="91"/>
      <c r="DB51" s="92"/>
      <c r="DC51" s="77"/>
      <c r="DD51" s="94"/>
      <c r="DE51" s="95"/>
    </row>
    <row r="52" spans="1:109" ht="45" customHeight="1">
      <c r="B52" s="149" t="s">
        <v>204</v>
      </c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50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51"/>
      <c r="AI52" s="151"/>
      <c r="AJ52" s="151"/>
      <c r="AK52" s="151"/>
      <c r="AL52" s="151"/>
      <c r="AM52" s="135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63"/>
      <c r="BK52" s="163"/>
      <c r="BL52" s="163"/>
      <c r="BN52" s="85">
        <f t="shared" si="4"/>
        <v>48</v>
      </c>
      <c r="BO52" s="253" t="str">
        <v>-k</v>
      </c>
      <c r="BP52" s="86" t="str">
        <v>Q</v>
      </c>
      <c r="BQ52" s="76" t="str">
        <v>g</v>
      </c>
      <c r="BR52" s="77" t="str">
        <v>ㆻ</v>
      </c>
      <c r="BS52" s="87" t="s">
        <v>283</v>
      </c>
      <c r="BT52" s="88">
        <f t="shared" si="0"/>
        <v>2</v>
      </c>
      <c r="BV52" s="89" t="str">
        <f t="shared" si="16"/>
        <v xml:space="preserve">    "g": { commit: "ㆻ" }  # /-k/ ==&gt; Q</v>
      </c>
      <c r="BX52" s="85">
        <f t="shared" si="6"/>
        <v>48</v>
      </c>
      <c r="BY52" s="93"/>
      <c r="BZ52" s="91"/>
      <c r="CA52" s="92"/>
      <c r="CB52" s="77"/>
      <c r="CC52" s="94"/>
      <c r="CD52" s="95"/>
      <c r="CG52" s="85">
        <f t="shared" si="7"/>
        <v>48</v>
      </c>
      <c r="CH52" s="93"/>
      <c r="CI52" s="91"/>
      <c r="CJ52" s="92"/>
      <c r="CK52" s="77"/>
      <c r="CL52" s="94"/>
      <c r="CM52" s="95"/>
      <c r="CP52" s="85">
        <f t="shared" si="8"/>
        <v>48</v>
      </c>
      <c r="CQ52" s="93"/>
      <c r="CR52" s="91"/>
      <c r="CS52" s="92"/>
      <c r="CT52" s="77"/>
      <c r="CU52" s="94"/>
      <c r="CV52" s="95"/>
      <c r="CX52" s="17" t="str">
        <f t="shared" si="17"/>
        <v/>
      </c>
      <c r="CY52" s="85">
        <f t="shared" si="9"/>
        <v>48</v>
      </c>
      <c r="CZ52" s="93"/>
      <c r="DA52" s="91"/>
      <c r="DB52" s="92"/>
      <c r="DC52" s="77"/>
      <c r="DD52" s="94"/>
      <c r="DE52" s="95"/>
    </row>
    <row r="53" spans="1:109" ht="45" customHeight="1">
      <c r="A53" s="185"/>
      <c r="B53" s="186" t="s">
        <v>64</v>
      </c>
      <c r="C53" s="187"/>
      <c r="D53" s="187">
        <f xml:space="preserve"> LEN(E53)</f>
        <v>59</v>
      </c>
      <c r="E53" s="188" t="str">
        <f xml:space="preserve"> _xlfn.CONCAT(D19:BK19)</f>
        <v>!1qa2wsxEedGYyhnRrfvc8uKj,ik9l*UJ&lt;I(Lm/pM0;Oobtgz7-="5346][</v>
      </c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63"/>
      <c r="BK53" s="163"/>
      <c r="BL53" s="163"/>
      <c r="BN53" s="85">
        <f t="shared" si="4"/>
        <v>49</v>
      </c>
      <c r="BO53" s="253" t="str">
        <v>-h</v>
      </c>
      <c r="BP53" s="86" t="str">
        <v>V</v>
      </c>
      <c r="BQ53" s="76" t="str">
        <v>z</v>
      </c>
      <c r="BR53" s="77" t="str">
        <v>ㆷ</v>
      </c>
      <c r="BS53" s="87" t="s">
        <v>283</v>
      </c>
      <c r="BT53" s="88">
        <f t="shared" si="0"/>
        <v>2</v>
      </c>
      <c r="BV53" s="89" t="str">
        <f t="shared" si="16"/>
        <v xml:space="preserve">    "z": { commit: "ㆷ" }  # /-h/ ==&gt; V</v>
      </c>
      <c r="BX53" s="85">
        <f t="shared" si="6"/>
        <v>49</v>
      </c>
      <c r="BY53" s="93"/>
      <c r="BZ53" s="91"/>
      <c r="CA53" s="92"/>
      <c r="CB53" s="77"/>
      <c r="CC53" s="94"/>
      <c r="CD53" s="95"/>
      <c r="CG53" s="85">
        <f t="shared" si="7"/>
        <v>49</v>
      </c>
      <c r="CH53" s="93"/>
      <c r="CI53" s="91"/>
      <c r="CJ53" s="92"/>
      <c r="CK53" s="77"/>
      <c r="CL53" s="94"/>
      <c r="CM53" s="95"/>
      <c r="CP53" s="85">
        <f t="shared" si="8"/>
        <v>49</v>
      </c>
      <c r="CQ53" s="93"/>
      <c r="CR53" s="91"/>
      <c r="CS53" s="92"/>
      <c r="CT53" s="77"/>
      <c r="CU53" s="94"/>
      <c r="CV53" s="95"/>
      <c r="CX53" s="17" t="str">
        <f t="shared" si="17"/>
        <v/>
      </c>
      <c r="CY53" s="85">
        <f t="shared" si="9"/>
        <v>49</v>
      </c>
      <c r="CZ53" s="93"/>
      <c r="DA53" s="91"/>
      <c r="DB53" s="92"/>
      <c r="DC53" s="77"/>
      <c r="DD53" s="94"/>
      <c r="DE53" s="95"/>
    </row>
    <row r="54" spans="1:109" ht="45" customHeight="1">
      <c r="A54" s="185"/>
      <c r="B54" s="189" t="s">
        <v>65</v>
      </c>
      <c r="C54" s="190"/>
      <c r="D54" s="190">
        <f>LEN(E54)</f>
        <v>59</v>
      </c>
      <c r="E54" s="191" t="str">
        <f xml:space="preserve"> _xlfn.CONCAT(D20:BK20)</f>
        <v>ㆠㄅㄆㄇㄉㄊㄋㄌㆣㄍㄎㄫㆡㄗㄘㄙㆢㄐㄑㄒㄏㄚㄧㆨㄨㆤㆦㄜㄞㄠㆩㆪㆫㆥㆧㆮㆯㆬㆭㄣㆰㄢㄤㆱㆲㆴㆵㆻㆷ入ㄥØ一七三二五八四</v>
      </c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63"/>
      <c r="BK54" s="163"/>
      <c r="BL54" s="163"/>
      <c r="BN54" s="85">
        <f t="shared" si="4"/>
        <v>50</v>
      </c>
      <c r="BO54" s="253" t="str">
        <v>[48]</v>
      </c>
      <c r="BP54" s="86" t="str">
        <v>&amp;</v>
      </c>
      <c r="BQ54" s="76">
        <v>7</v>
      </c>
      <c r="BR54" s="77" t="str">
        <v>入</v>
      </c>
      <c r="BS54" s="87" t="s">
        <v>284</v>
      </c>
      <c r="BT54" s="88">
        <f t="shared" si="0"/>
        <v>4</v>
      </c>
      <c r="BV54" s="89" t="str">
        <f t="shared" si="16"/>
        <v xml:space="preserve">    "7": { commit: "入" }  # /[48]/ ==&gt; &amp;</v>
      </c>
      <c r="BX54" s="85">
        <f t="shared" si="6"/>
        <v>50</v>
      </c>
      <c r="BY54" s="93"/>
      <c r="BZ54" s="91"/>
      <c r="CA54" s="92"/>
      <c r="CB54" s="77"/>
      <c r="CC54" s="94"/>
      <c r="CD54" s="95"/>
      <c r="CG54" s="85">
        <f t="shared" si="7"/>
        <v>50</v>
      </c>
      <c r="CH54" s="93"/>
      <c r="CI54" s="91"/>
      <c r="CJ54" s="92"/>
      <c r="CK54" s="77"/>
      <c r="CL54" s="94"/>
      <c r="CM54" s="95"/>
      <c r="CP54" s="85">
        <f t="shared" si="8"/>
        <v>50</v>
      </c>
      <c r="CQ54" s="93"/>
      <c r="CR54" s="91"/>
      <c r="CS54" s="92"/>
      <c r="CT54" s="77"/>
      <c r="CU54" s="94"/>
      <c r="CV54" s="95"/>
      <c r="CX54" s="17" t="str">
        <f t="shared" si="17"/>
        <v/>
      </c>
      <c r="CY54" s="85">
        <f t="shared" si="9"/>
        <v>50</v>
      </c>
      <c r="CZ54" s="93"/>
      <c r="DA54" s="91"/>
      <c r="DB54" s="92"/>
      <c r="DC54" s="77"/>
      <c r="DD54" s="94"/>
      <c r="DE54" s="95"/>
    </row>
    <row r="55" spans="1:109" ht="45" customHeight="1">
      <c r="B55" s="270" t="str">
        <f xml:space="preserve"> "    - xlit|" &amp; E53 &amp; "|" &amp; E54 &amp; "|"</f>
        <v xml:space="preserve">    - xlit|!1qa2wsxEedGYyhnRrfvc8uKj,ik9l*UJ&lt;I(Lm/pM0;Oobtgz7-="5346][|ㆠㄅㄆㄇㄉㄊㄋㄌㆣㄍㄎㄫㆡㄗㄘㄙㆢㄐㄑㄒㄏㄚㄧㆨㄨㆤㆦㄜㄞㄠㆩㆪㆫㆥㆧㆮㆯㆬㆭㄣㆰㄢㄤㆱㆲㆴㆵㆻㆷ入ㄥØ一七三二五八四|</v>
      </c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75"/>
      <c r="AH55" s="175"/>
      <c r="AI55" s="175"/>
      <c r="AJ55" s="175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63"/>
      <c r="BK55" s="163"/>
      <c r="BL55" s="163"/>
      <c r="BN55" s="85">
        <f t="shared" si="4"/>
        <v>51</v>
      </c>
      <c r="BO55" s="253" t="str">
        <v>ñ</v>
      </c>
      <c r="BP55" s="86" t="str">
        <v>L</v>
      </c>
      <c r="BQ55" s="76" t="str">
        <v>-</v>
      </c>
      <c r="BR55" s="77" t="str">
        <v>ㄥ</v>
      </c>
      <c r="BS55" s="87" t="s">
        <v>284</v>
      </c>
      <c r="BT55" s="88">
        <f t="shared" si="0"/>
        <v>1</v>
      </c>
      <c r="BV55" s="89" t="str">
        <f t="shared" si="16"/>
        <v xml:space="preserve">    "-": { commit: "ㄥ" }  # /ñ/ ==&gt; L</v>
      </c>
      <c r="BX55" s="85">
        <f t="shared" si="6"/>
        <v>51</v>
      </c>
      <c r="BY55" s="93"/>
      <c r="BZ55" s="91"/>
      <c r="CA55" s="92"/>
      <c r="CB55" s="77"/>
      <c r="CC55" s="94"/>
      <c r="CD55" s="95"/>
      <c r="CG55" s="85">
        <f t="shared" si="7"/>
        <v>51</v>
      </c>
      <c r="CH55" s="93"/>
      <c r="CI55" s="91"/>
      <c r="CJ55" s="92"/>
      <c r="CK55" s="77"/>
      <c r="CL55" s="94"/>
      <c r="CM55" s="95"/>
      <c r="CP55" s="85">
        <f t="shared" si="8"/>
        <v>51</v>
      </c>
      <c r="CQ55" s="93"/>
      <c r="CR55" s="91"/>
      <c r="CS55" s="92"/>
      <c r="CT55" s="77"/>
      <c r="CU55" s="94"/>
      <c r="CV55" s="95"/>
      <c r="CX55" s="17" t="str">
        <f t="shared" si="17"/>
        <v/>
      </c>
      <c r="CY55" s="85">
        <f t="shared" si="9"/>
        <v>51</v>
      </c>
      <c r="CZ55" s="93"/>
      <c r="DA55" s="91"/>
      <c r="DB55" s="92"/>
      <c r="DC55" s="77"/>
      <c r="DD55" s="94"/>
      <c r="DE55" s="95"/>
    </row>
    <row r="56" spans="1:109" ht="45" customHeight="1"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93" t="str">
        <f xml:space="preserve"> _xlfn.CONCAT(AY60:BF60)</f>
        <v>入ㄥØ一七三二五</v>
      </c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63"/>
      <c r="BK56" s="163"/>
      <c r="BL56" s="163"/>
      <c r="BN56" s="85">
        <f t="shared" si="4"/>
        <v>52</v>
      </c>
      <c r="BO56" s="253" t="str">
        <v>Ø</v>
      </c>
      <c r="BP56" s="86" t="str">
        <v>Ø</v>
      </c>
      <c r="BQ56" s="76" t="str">
        <v>=</v>
      </c>
      <c r="BR56" s="77" t="str">
        <v>Ø</v>
      </c>
      <c r="BS56" s="87" t="s">
        <v>284</v>
      </c>
      <c r="BT56" s="88">
        <f t="shared" si="0"/>
        <v>1</v>
      </c>
      <c r="BV56" s="89" t="str">
        <f t="shared" si="16"/>
        <v xml:space="preserve">    "=": { commit: "Ø" }  # /Ø/ ==&gt; Ø</v>
      </c>
      <c r="BX56" s="85">
        <f t="shared" si="6"/>
        <v>52</v>
      </c>
      <c r="BY56" s="93"/>
      <c r="BZ56" s="91"/>
      <c r="CA56" s="92"/>
      <c r="CB56" s="77"/>
      <c r="CC56" s="94"/>
      <c r="CD56" s="95"/>
      <c r="CG56" s="85">
        <f t="shared" si="7"/>
        <v>52</v>
      </c>
      <c r="CH56" s="93"/>
      <c r="CI56" s="91"/>
      <c r="CJ56" s="92"/>
      <c r="CK56" s="77"/>
      <c r="CL56" s="94"/>
      <c r="CM56" s="95"/>
      <c r="CP56" s="85">
        <f t="shared" si="8"/>
        <v>52</v>
      </c>
      <c r="CQ56" s="93"/>
      <c r="CR56" s="91"/>
      <c r="CS56" s="92"/>
      <c r="CT56" s="77"/>
      <c r="CU56" s="94"/>
      <c r="CV56" s="95"/>
      <c r="CX56" s="17" t="str">
        <f t="shared" si="17"/>
        <v/>
      </c>
      <c r="CY56" s="85">
        <f t="shared" si="9"/>
        <v>52</v>
      </c>
      <c r="CZ56" s="93"/>
      <c r="DA56" s="91"/>
      <c r="DB56" s="92"/>
      <c r="DC56" s="77"/>
      <c r="DD56" s="94"/>
      <c r="DE56" s="95"/>
    </row>
    <row r="57" spans="1:109" ht="45" customHeight="1">
      <c r="BJ57" s="163"/>
      <c r="BK57" s="163"/>
      <c r="BL57" s="163"/>
      <c r="BN57" s="85">
        <f t="shared" si="4"/>
        <v>53</v>
      </c>
      <c r="BO57" s="253">
        <v>1</v>
      </c>
      <c r="BP57" s="86" t="str">
        <v>1</v>
      </c>
      <c r="BQ57" s="76" t="str">
        <v>"</v>
      </c>
      <c r="BR57" s="77" t="str">
        <v>一</v>
      </c>
      <c r="BS57" s="87" t="s">
        <v>284</v>
      </c>
      <c r="BT57" s="88">
        <f t="shared" si="0"/>
        <v>1</v>
      </c>
      <c r="BV57" s="89" t="str">
        <f t="shared" si="16"/>
        <v xml:space="preserve">    """: { commit: "一" }  # /1/ ==&gt; 1</v>
      </c>
      <c r="BX57" s="85">
        <f t="shared" si="6"/>
        <v>53</v>
      </c>
      <c r="BY57" s="93"/>
      <c r="BZ57" s="91"/>
      <c r="CA57" s="92"/>
      <c r="CB57" s="77"/>
      <c r="CC57" s="94"/>
      <c r="CD57" s="95"/>
      <c r="CG57" s="85">
        <f t="shared" si="7"/>
        <v>53</v>
      </c>
      <c r="CH57" s="93"/>
      <c r="CI57" s="91"/>
      <c r="CJ57" s="92"/>
      <c r="CK57" s="77"/>
      <c r="CL57" s="94"/>
      <c r="CM57" s="95"/>
      <c r="CP57" s="85">
        <f t="shared" si="8"/>
        <v>53</v>
      </c>
      <c r="CQ57" s="93"/>
      <c r="CR57" s="91"/>
      <c r="CS57" s="92"/>
      <c r="CT57" s="77"/>
      <c r="CU57" s="94"/>
      <c r="CV57" s="95"/>
      <c r="CY57" s="85">
        <f t="shared" si="9"/>
        <v>53</v>
      </c>
      <c r="CZ57" s="93"/>
      <c r="DA57" s="91"/>
      <c r="DB57" s="92"/>
      <c r="DC57" s="77"/>
      <c r="DD57" s="94"/>
      <c r="DE57" s="95"/>
    </row>
    <row r="58" spans="1:109" ht="46.5" customHeight="1">
      <c r="B58" s="178">
        <v>1</v>
      </c>
      <c r="C58" s="178">
        <v>2</v>
      </c>
      <c r="D58" s="178">
        <v>3</v>
      </c>
      <c r="E58" s="178">
        <v>4</v>
      </c>
      <c r="F58" s="178">
        <v>5</v>
      </c>
      <c r="G58" s="178">
        <v>6</v>
      </c>
      <c r="H58" s="178">
        <v>7</v>
      </c>
      <c r="I58" s="178">
        <v>8</v>
      </c>
      <c r="J58" s="178">
        <v>9</v>
      </c>
      <c r="K58" s="178">
        <v>10</v>
      </c>
      <c r="L58" s="178">
        <v>11</v>
      </c>
      <c r="M58" s="178">
        <v>12</v>
      </c>
      <c r="N58" s="178">
        <v>13</v>
      </c>
      <c r="O58" s="178">
        <v>14</v>
      </c>
      <c r="P58" s="178">
        <v>15</v>
      </c>
      <c r="Q58" s="178">
        <v>16</v>
      </c>
      <c r="R58" s="178">
        <v>17</v>
      </c>
      <c r="S58" s="179">
        <v>18</v>
      </c>
      <c r="T58" s="178">
        <v>19</v>
      </c>
      <c r="U58" s="178">
        <v>20</v>
      </c>
      <c r="V58" s="178">
        <v>21</v>
      </c>
      <c r="W58" s="178">
        <v>22</v>
      </c>
      <c r="X58" s="178">
        <v>23</v>
      </c>
      <c r="Y58" s="178">
        <v>24</v>
      </c>
      <c r="Z58" s="178">
        <v>25</v>
      </c>
      <c r="AA58" s="178">
        <v>26</v>
      </c>
      <c r="AB58" s="178">
        <v>27</v>
      </c>
      <c r="AC58" s="178">
        <v>28</v>
      </c>
      <c r="AD58" s="178">
        <v>29</v>
      </c>
      <c r="AE58" s="178">
        <v>30</v>
      </c>
      <c r="AF58" s="178">
        <v>31</v>
      </c>
      <c r="AG58" s="178">
        <v>32</v>
      </c>
      <c r="AH58" s="180">
        <v>33</v>
      </c>
      <c r="AI58" s="180">
        <v>34</v>
      </c>
      <c r="AJ58" s="180">
        <v>35</v>
      </c>
      <c r="AK58" s="180">
        <v>36</v>
      </c>
      <c r="AL58" s="181">
        <v>37</v>
      </c>
      <c r="AM58" s="180">
        <v>38</v>
      </c>
      <c r="AN58" s="180">
        <v>39</v>
      </c>
      <c r="AO58" s="180">
        <v>40</v>
      </c>
      <c r="AP58" s="180">
        <v>41</v>
      </c>
      <c r="AQ58" s="180">
        <v>42</v>
      </c>
      <c r="AR58" s="180">
        <v>43</v>
      </c>
      <c r="AS58" s="180">
        <v>44</v>
      </c>
      <c r="AT58" s="180">
        <v>45</v>
      </c>
      <c r="AU58" s="180">
        <v>46</v>
      </c>
      <c r="AV58" s="180">
        <v>47</v>
      </c>
      <c r="AW58" s="180">
        <v>48</v>
      </c>
      <c r="AX58" s="180">
        <v>49</v>
      </c>
      <c r="AY58" s="180">
        <v>50</v>
      </c>
      <c r="AZ58" s="180">
        <v>51</v>
      </c>
      <c r="BA58" s="180">
        <v>52</v>
      </c>
      <c r="BB58" s="180">
        <v>53</v>
      </c>
      <c r="BC58" s="180">
        <v>54</v>
      </c>
      <c r="BD58" s="180">
        <v>55</v>
      </c>
      <c r="BE58" s="180">
        <v>56</v>
      </c>
      <c r="BF58" s="180">
        <v>57</v>
      </c>
      <c r="BG58" s="180">
        <v>58</v>
      </c>
      <c r="BH58" s="180">
        <v>59</v>
      </c>
      <c r="BI58" s="180">
        <v>60</v>
      </c>
      <c r="BJ58" s="163"/>
      <c r="BK58" s="163"/>
      <c r="BL58" s="163"/>
      <c r="BN58" s="85">
        <f t="shared" si="4"/>
        <v>54</v>
      </c>
      <c r="BO58" s="253">
        <v>7</v>
      </c>
      <c r="BP58" s="86" t="str">
        <v>7</v>
      </c>
      <c r="BQ58" s="76" t="str">
        <v>5</v>
      </c>
      <c r="BR58" s="77" t="str">
        <v>七</v>
      </c>
      <c r="BS58" s="87" t="s">
        <v>284</v>
      </c>
      <c r="BT58" s="88">
        <f t="shared" si="0"/>
        <v>1</v>
      </c>
      <c r="BV58" s="89" t="str">
        <f t="shared" si="16"/>
        <v xml:space="preserve">    "5": { commit: "七" }  # /7/ ==&gt; 7</v>
      </c>
      <c r="BX58" s="85">
        <f t="shared" si="6"/>
        <v>54</v>
      </c>
      <c r="BY58" s="93"/>
      <c r="BZ58" s="91"/>
      <c r="CA58" s="92"/>
      <c r="CB58" s="77"/>
      <c r="CC58" s="94"/>
      <c r="CD58" s="95"/>
      <c r="CG58" s="85">
        <f t="shared" si="7"/>
        <v>54</v>
      </c>
      <c r="CH58" s="93"/>
      <c r="CI58" s="91"/>
      <c r="CJ58" s="92"/>
      <c r="CK58" s="77"/>
      <c r="CL58" s="94"/>
      <c r="CM58" s="95"/>
      <c r="CP58" s="85">
        <f t="shared" si="8"/>
        <v>54</v>
      </c>
      <c r="CQ58" s="93"/>
      <c r="CR58" s="91"/>
      <c r="CS58" s="92"/>
      <c r="CT58" s="77"/>
      <c r="CU58" s="94"/>
      <c r="CV58" s="95"/>
      <c r="CY58" s="85">
        <f t="shared" si="9"/>
        <v>54</v>
      </c>
      <c r="CZ58" s="93"/>
      <c r="DA58" s="91"/>
      <c r="DB58" s="92"/>
      <c r="DC58" s="77"/>
      <c r="DD58" s="94"/>
      <c r="DE58" s="95"/>
    </row>
    <row r="59" spans="1:109" ht="54" customHeight="1">
      <c r="B59" s="183" t="str">
        <f xml:space="preserve"> MID($E$53, B$46, 1)</f>
        <v>!</v>
      </c>
      <c r="C59" s="183" t="str">
        <f t="shared" ref="C59:BI59" si="20" xml:space="preserve"> MID($E$53, C$46, 1)</f>
        <v>1</v>
      </c>
      <c r="D59" s="183" t="str">
        <f t="shared" si="20"/>
        <v>q</v>
      </c>
      <c r="E59" s="183" t="str">
        <f t="shared" si="20"/>
        <v>a</v>
      </c>
      <c r="F59" s="183" t="str">
        <f t="shared" si="20"/>
        <v>2</v>
      </c>
      <c r="G59" s="183" t="str">
        <f t="shared" si="20"/>
        <v>w</v>
      </c>
      <c r="H59" s="183" t="str">
        <f t="shared" si="20"/>
        <v>s</v>
      </c>
      <c r="I59" s="183" t="str">
        <f t="shared" si="20"/>
        <v>x</v>
      </c>
      <c r="J59" s="183" t="str">
        <f t="shared" si="20"/>
        <v>E</v>
      </c>
      <c r="K59" s="183" t="str">
        <f t="shared" si="20"/>
        <v>e</v>
      </c>
      <c r="L59" s="183" t="str">
        <f t="shared" si="20"/>
        <v>d</v>
      </c>
      <c r="M59" s="183" t="str">
        <f t="shared" si="20"/>
        <v>G</v>
      </c>
      <c r="N59" s="183" t="str">
        <f t="shared" si="20"/>
        <v>Y</v>
      </c>
      <c r="O59" s="183" t="str">
        <f t="shared" si="20"/>
        <v>y</v>
      </c>
      <c r="P59" s="183" t="str">
        <f t="shared" si="20"/>
        <v>h</v>
      </c>
      <c r="Q59" s="183" t="str">
        <f t="shared" si="20"/>
        <v>n</v>
      </c>
      <c r="R59" s="183" t="str">
        <f t="shared" si="20"/>
        <v>R</v>
      </c>
      <c r="S59" s="183" t="str">
        <f t="shared" si="20"/>
        <v>r</v>
      </c>
      <c r="T59" s="183" t="str">
        <f t="shared" si="20"/>
        <v>f</v>
      </c>
      <c r="U59" s="183" t="str">
        <f t="shared" si="20"/>
        <v>v</v>
      </c>
      <c r="V59" s="183" t="str">
        <f t="shared" si="20"/>
        <v>c</v>
      </c>
      <c r="W59" s="183" t="str">
        <f t="shared" si="20"/>
        <v>8</v>
      </c>
      <c r="X59" s="183" t="str">
        <f t="shared" si="20"/>
        <v>u</v>
      </c>
      <c r="Y59" s="183" t="str">
        <f t="shared" si="20"/>
        <v>K</v>
      </c>
      <c r="Z59" s="183" t="str">
        <f t="shared" si="20"/>
        <v>j</v>
      </c>
      <c r="AA59" s="183" t="str">
        <f t="shared" si="20"/>
        <v>,</v>
      </c>
      <c r="AB59" s="183" t="str">
        <f t="shared" si="20"/>
        <v>i</v>
      </c>
      <c r="AC59" s="183" t="str">
        <f t="shared" si="20"/>
        <v>k</v>
      </c>
      <c r="AD59" s="183" t="str">
        <f t="shared" si="20"/>
        <v>9</v>
      </c>
      <c r="AE59" s="183" t="str">
        <f t="shared" si="20"/>
        <v>l</v>
      </c>
      <c r="AF59" s="183" t="str">
        <f t="shared" si="20"/>
        <v>*</v>
      </c>
      <c r="AG59" s="183" t="str">
        <f t="shared" si="20"/>
        <v>U</v>
      </c>
      <c r="AH59" s="183" t="str">
        <f t="shared" si="20"/>
        <v>J</v>
      </c>
      <c r="AI59" s="183" t="str">
        <f t="shared" si="20"/>
        <v>&lt;</v>
      </c>
      <c r="AJ59" s="183" t="str">
        <f t="shared" si="20"/>
        <v>I</v>
      </c>
      <c r="AK59" s="183" t="str">
        <f t="shared" si="20"/>
        <v>(</v>
      </c>
      <c r="AL59" s="183" t="str">
        <f t="shared" si="20"/>
        <v>L</v>
      </c>
      <c r="AM59" s="183" t="str">
        <f t="shared" si="20"/>
        <v>m</v>
      </c>
      <c r="AN59" s="183" t="str">
        <f t="shared" si="20"/>
        <v>/</v>
      </c>
      <c r="AO59" s="183" t="str">
        <f t="shared" si="20"/>
        <v>p</v>
      </c>
      <c r="AP59" s="183" t="str">
        <f t="shared" si="20"/>
        <v>M</v>
      </c>
      <c r="AQ59" s="183" t="str">
        <f t="shared" si="20"/>
        <v>0</v>
      </c>
      <c r="AR59" s="183" t="str">
        <f t="shared" si="20"/>
        <v>;</v>
      </c>
      <c r="AS59" s="183" t="str">
        <f t="shared" si="20"/>
        <v>O</v>
      </c>
      <c r="AT59" s="183" t="str">
        <f t="shared" si="20"/>
        <v>o</v>
      </c>
      <c r="AU59" s="183" t="str">
        <f t="shared" si="20"/>
        <v>b</v>
      </c>
      <c r="AV59" s="183" t="str">
        <f t="shared" si="20"/>
        <v>t</v>
      </c>
      <c r="AW59" s="183" t="str">
        <f t="shared" si="20"/>
        <v>g</v>
      </c>
      <c r="AX59" s="183" t="str">
        <f t="shared" si="20"/>
        <v>z</v>
      </c>
      <c r="AY59" s="183" t="str">
        <f t="shared" si="20"/>
        <v>7</v>
      </c>
      <c r="AZ59" s="183" t="str">
        <f t="shared" si="20"/>
        <v>-</v>
      </c>
      <c r="BA59" s="183" t="str">
        <f t="shared" si="20"/>
        <v>=</v>
      </c>
      <c r="BB59" s="183" t="str">
        <f t="shared" si="20"/>
        <v>"</v>
      </c>
      <c r="BC59" s="183" t="str">
        <f t="shared" si="20"/>
        <v>5</v>
      </c>
      <c r="BD59" s="183" t="str">
        <f t="shared" si="20"/>
        <v>3</v>
      </c>
      <c r="BE59" s="183" t="str">
        <f t="shared" si="20"/>
        <v>4</v>
      </c>
      <c r="BF59" s="183" t="str">
        <f t="shared" si="20"/>
        <v>6</v>
      </c>
      <c r="BG59" s="183" t="str">
        <f t="shared" si="20"/>
        <v>]</v>
      </c>
      <c r="BH59" s="183" t="str">
        <f t="shared" si="20"/>
        <v>[</v>
      </c>
      <c r="BI59" s="183" t="str">
        <f t="shared" si="20"/>
        <v/>
      </c>
      <c r="BJ59" s="163"/>
      <c r="BK59" s="163"/>
      <c r="BL59" s="163"/>
      <c r="BN59" s="85">
        <f t="shared" si="4"/>
        <v>55</v>
      </c>
      <c r="BO59" s="253">
        <v>3</v>
      </c>
      <c r="BP59" s="86" t="str">
        <v>3</v>
      </c>
      <c r="BQ59" s="76" t="str">
        <v>3</v>
      </c>
      <c r="BR59" s="77" t="str">
        <v>三</v>
      </c>
      <c r="BS59" s="87" t="s">
        <v>284</v>
      </c>
      <c r="BT59" s="88">
        <f t="shared" si="0"/>
        <v>1</v>
      </c>
      <c r="BV59" s="89" t="str">
        <f t="shared" si="16"/>
        <v xml:space="preserve">    "3": { commit: "三" }  # /3/ ==&gt; 3</v>
      </c>
      <c r="BX59" s="85">
        <f t="shared" si="6"/>
        <v>55</v>
      </c>
      <c r="BY59" s="93"/>
      <c r="BZ59" s="91"/>
      <c r="CA59" s="92"/>
      <c r="CB59" s="77"/>
      <c r="CC59" s="94"/>
      <c r="CD59" s="95"/>
      <c r="CG59" s="85">
        <f t="shared" si="7"/>
        <v>55</v>
      </c>
      <c r="CH59" s="93"/>
      <c r="CI59" s="91"/>
      <c r="CJ59" s="92"/>
      <c r="CK59" s="77"/>
      <c r="CL59" s="94"/>
      <c r="CM59" s="95"/>
      <c r="CP59" s="85">
        <f t="shared" si="8"/>
        <v>55</v>
      </c>
      <c r="CQ59" s="93"/>
      <c r="CR59" s="91"/>
      <c r="CS59" s="92"/>
      <c r="CT59" s="77"/>
      <c r="CU59" s="94"/>
      <c r="CV59" s="95"/>
      <c r="CY59" s="85">
        <f t="shared" si="9"/>
        <v>55</v>
      </c>
      <c r="CZ59" s="93"/>
      <c r="DA59" s="91"/>
      <c r="DB59" s="92"/>
      <c r="DC59" s="77"/>
      <c r="DD59" s="94"/>
      <c r="DE59" s="95"/>
    </row>
    <row r="60" spans="1:109" ht="54" customHeight="1">
      <c r="B60" s="194" t="str">
        <f xml:space="preserve"> MID($E$54, B$46, 1)</f>
        <v>ㆠ</v>
      </c>
      <c r="C60" s="194" t="str">
        <f t="shared" ref="C60:BI60" si="21" xml:space="preserve"> MID($E$54, C$46, 1)</f>
        <v>ㄅ</v>
      </c>
      <c r="D60" s="194" t="str">
        <f t="shared" si="21"/>
        <v>ㄆ</v>
      </c>
      <c r="E60" s="194" t="str">
        <f t="shared" si="21"/>
        <v>ㄇ</v>
      </c>
      <c r="F60" s="194" t="str">
        <f t="shared" si="21"/>
        <v>ㄉ</v>
      </c>
      <c r="G60" s="194" t="str">
        <f t="shared" si="21"/>
        <v>ㄊ</v>
      </c>
      <c r="H60" s="194" t="str">
        <f t="shared" si="21"/>
        <v>ㄋ</v>
      </c>
      <c r="I60" s="194" t="str">
        <f t="shared" si="21"/>
        <v>ㄌ</v>
      </c>
      <c r="J60" s="194" t="str">
        <f t="shared" si="21"/>
        <v>ㆣ</v>
      </c>
      <c r="K60" s="194" t="str">
        <f t="shared" si="21"/>
        <v>ㄍ</v>
      </c>
      <c r="L60" s="194" t="str">
        <f t="shared" si="21"/>
        <v>ㄎ</v>
      </c>
      <c r="M60" s="194" t="str">
        <f t="shared" si="21"/>
        <v>ㄫ</v>
      </c>
      <c r="N60" s="194" t="str">
        <f t="shared" si="21"/>
        <v>ㆡ</v>
      </c>
      <c r="O60" s="194" t="str">
        <f t="shared" si="21"/>
        <v>ㄗ</v>
      </c>
      <c r="P60" s="194" t="str">
        <f t="shared" si="21"/>
        <v>ㄘ</v>
      </c>
      <c r="Q60" s="194" t="str">
        <f t="shared" si="21"/>
        <v>ㄙ</v>
      </c>
      <c r="R60" s="194" t="str">
        <f t="shared" si="21"/>
        <v>ㆢ</v>
      </c>
      <c r="S60" s="194" t="str">
        <f t="shared" si="21"/>
        <v>ㄐ</v>
      </c>
      <c r="T60" s="194" t="str">
        <f t="shared" si="21"/>
        <v>ㄑ</v>
      </c>
      <c r="U60" s="194" t="str">
        <f t="shared" si="21"/>
        <v>ㄒ</v>
      </c>
      <c r="V60" s="194" t="str">
        <f t="shared" si="21"/>
        <v>ㄏ</v>
      </c>
      <c r="W60" s="194" t="str">
        <f t="shared" si="21"/>
        <v>ㄚ</v>
      </c>
      <c r="X60" s="194" t="str">
        <f t="shared" si="21"/>
        <v>ㄧ</v>
      </c>
      <c r="Y60" s="194" t="str">
        <f t="shared" si="21"/>
        <v>ㆨ</v>
      </c>
      <c r="Z60" s="194" t="str">
        <f t="shared" si="21"/>
        <v>ㄨ</v>
      </c>
      <c r="AA60" s="194" t="str">
        <f t="shared" si="21"/>
        <v>ㆤ</v>
      </c>
      <c r="AB60" s="194" t="str">
        <f t="shared" si="21"/>
        <v>ㆦ</v>
      </c>
      <c r="AC60" s="194" t="str">
        <f t="shared" si="21"/>
        <v>ㄜ</v>
      </c>
      <c r="AD60" s="194" t="str">
        <f t="shared" si="21"/>
        <v>ㄞ</v>
      </c>
      <c r="AE60" s="194" t="str">
        <f t="shared" si="21"/>
        <v>ㄠ</v>
      </c>
      <c r="AF60" s="194" t="str">
        <f t="shared" si="21"/>
        <v>ㆩ</v>
      </c>
      <c r="AG60" s="194" t="str">
        <f t="shared" si="21"/>
        <v>ㆪ</v>
      </c>
      <c r="AH60" s="194" t="str">
        <f t="shared" si="21"/>
        <v>ㆫ</v>
      </c>
      <c r="AI60" s="194" t="str">
        <f t="shared" si="21"/>
        <v>ㆥ</v>
      </c>
      <c r="AJ60" s="194" t="str">
        <f t="shared" si="21"/>
        <v>ㆧ</v>
      </c>
      <c r="AK60" s="194" t="str">
        <f t="shared" si="21"/>
        <v>ㆮ</v>
      </c>
      <c r="AL60" s="194" t="str">
        <f t="shared" si="21"/>
        <v>ㆯ</v>
      </c>
      <c r="AM60" s="194" t="str">
        <f t="shared" si="21"/>
        <v>ㆬ</v>
      </c>
      <c r="AN60" s="194" t="str">
        <f t="shared" si="21"/>
        <v>ㆭ</v>
      </c>
      <c r="AO60" s="194" t="str">
        <f t="shared" si="21"/>
        <v>ㄣ</v>
      </c>
      <c r="AP60" s="194" t="str">
        <f t="shared" si="21"/>
        <v>ㆰ</v>
      </c>
      <c r="AQ60" s="194" t="str">
        <f t="shared" si="21"/>
        <v>ㄢ</v>
      </c>
      <c r="AR60" s="194" t="str">
        <f t="shared" si="21"/>
        <v>ㄤ</v>
      </c>
      <c r="AS60" s="194" t="str">
        <f t="shared" si="21"/>
        <v>ㆱ</v>
      </c>
      <c r="AT60" s="194" t="str">
        <f t="shared" si="21"/>
        <v>ㆲ</v>
      </c>
      <c r="AU60" s="194" t="str">
        <f t="shared" si="21"/>
        <v>ㆴ</v>
      </c>
      <c r="AV60" s="194" t="str">
        <f t="shared" si="21"/>
        <v>ㆵ</v>
      </c>
      <c r="AW60" s="194" t="str">
        <f t="shared" si="21"/>
        <v>ㆻ</v>
      </c>
      <c r="AX60" s="194" t="str">
        <f t="shared" si="21"/>
        <v>ㆷ</v>
      </c>
      <c r="AY60" s="194" t="str">
        <f t="shared" si="21"/>
        <v>入</v>
      </c>
      <c r="AZ60" s="194" t="str">
        <f t="shared" si="21"/>
        <v>ㄥ</v>
      </c>
      <c r="BA60" s="194" t="str">
        <f t="shared" si="21"/>
        <v>Ø</v>
      </c>
      <c r="BB60" s="194" t="str">
        <f t="shared" si="21"/>
        <v>一</v>
      </c>
      <c r="BC60" s="194" t="str">
        <f t="shared" si="21"/>
        <v>七</v>
      </c>
      <c r="BD60" s="194" t="str">
        <f t="shared" si="21"/>
        <v>三</v>
      </c>
      <c r="BE60" s="194" t="str">
        <f t="shared" si="21"/>
        <v>二</v>
      </c>
      <c r="BF60" s="194" t="str">
        <f t="shared" si="21"/>
        <v>五</v>
      </c>
      <c r="BG60" s="194" t="str">
        <f t="shared" si="21"/>
        <v>八</v>
      </c>
      <c r="BH60" s="194" t="str">
        <f t="shared" si="21"/>
        <v>四</v>
      </c>
      <c r="BI60" s="194" t="str">
        <f t="shared" si="21"/>
        <v/>
      </c>
      <c r="BJ60" s="163"/>
      <c r="BK60" s="163"/>
      <c r="BL60" s="163"/>
      <c r="BN60" s="85">
        <f t="shared" si="4"/>
        <v>56</v>
      </c>
      <c r="BO60" s="253">
        <v>2</v>
      </c>
      <c r="BP60" s="86" t="str">
        <v>2</v>
      </c>
      <c r="BQ60" s="76" t="str">
        <v>4</v>
      </c>
      <c r="BR60" s="77" t="str">
        <v>二</v>
      </c>
      <c r="BS60" s="87" t="s">
        <v>284</v>
      </c>
      <c r="BT60" s="88">
        <f t="shared" si="0"/>
        <v>1</v>
      </c>
      <c r="BV60" s="89" t="str">
        <f t="shared" si="16"/>
        <v xml:space="preserve">    "4": { commit: "二" }  # /2/ ==&gt; 2</v>
      </c>
      <c r="BX60" s="85">
        <f t="shared" si="6"/>
        <v>56</v>
      </c>
      <c r="BY60" s="93"/>
      <c r="BZ60" s="91"/>
      <c r="CA60" s="92"/>
      <c r="CB60" s="77"/>
      <c r="CC60" s="94"/>
      <c r="CD60" s="95"/>
      <c r="CG60" s="85">
        <f t="shared" si="7"/>
        <v>56</v>
      </c>
      <c r="CH60" s="93"/>
      <c r="CI60" s="91"/>
      <c r="CJ60" s="92"/>
      <c r="CK60" s="77"/>
      <c r="CL60" s="94"/>
      <c r="CM60" s="95"/>
      <c r="CP60" s="85">
        <f t="shared" si="8"/>
        <v>56</v>
      </c>
      <c r="CQ60" s="93"/>
      <c r="CR60" s="91"/>
      <c r="CS60" s="92"/>
      <c r="CT60" s="77"/>
      <c r="CU60" s="94"/>
      <c r="CV60" s="95"/>
      <c r="CY60" s="85">
        <f t="shared" si="9"/>
        <v>56</v>
      </c>
      <c r="CZ60" s="93"/>
      <c r="DA60" s="91"/>
      <c r="DB60" s="92"/>
      <c r="DC60" s="77"/>
      <c r="DD60" s="94"/>
      <c r="DE60" s="95"/>
    </row>
    <row r="61" spans="1:109" ht="54" customHeight="1"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63"/>
      <c r="BK61" s="163"/>
      <c r="BL61" s="163"/>
      <c r="BN61" s="85">
        <f t="shared" si="4"/>
        <v>57</v>
      </c>
      <c r="BO61" s="253">
        <v>5</v>
      </c>
      <c r="BP61" s="86" t="str">
        <v>5</v>
      </c>
      <c r="BQ61" s="76" t="str">
        <v>6</v>
      </c>
      <c r="BR61" s="77" t="str">
        <v>五</v>
      </c>
      <c r="BS61" s="87" t="s">
        <v>36</v>
      </c>
      <c r="BT61" s="88">
        <f t="shared" si="0"/>
        <v>1</v>
      </c>
      <c r="BV61" s="89" t="str">
        <f t="shared" si="16"/>
        <v xml:space="preserve">    "6": { commit: "五" }  # /5/ ==&gt; 5</v>
      </c>
      <c r="BX61" s="85">
        <f t="shared" si="6"/>
        <v>57</v>
      </c>
      <c r="BY61" s="93"/>
      <c r="BZ61" s="91"/>
      <c r="CA61" s="92"/>
      <c r="CB61" s="77"/>
      <c r="CC61" s="94"/>
      <c r="CD61" s="95"/>
      <c r="CG61" s="85">
        <f t="shared" si="7"/>
        <v>57</v>
      </c>
      <c r="CH61" s="93"/>
      <c r="CI61" s="91"/>
      <c r="CJ61" s="92"/>
      <c r="CK61" s="77"/>
      <c r="CL61" s="94"/>
      <c r="CM61" s="95"/>
      <c r="CP61" s="85">
        <f t="shared" si="8"/>
        <v>57</v>
      </c>
      <c r="CQ61" s="93"/>
      <c r="CR61" s="91"/>
      <c r="CS61" s="92"/>
      <c r="CT61" s="77"/>
      <c r="CU61" s="94"/>
      <c r="CV61" s="95"/>
      <c r="CY61" s="85">
        <f t="shared" si="9"/>
        <v>57</v>
      </c>
      <c r="CZ61" s="93"/>
      <c r="DA61" s="91"/>
      <c r="DB61" s="92"/>
      <c r="DC61" s="77"/>
      <c r="DD61" s="94"/>
      <c r="DE61" s="95"/>
    </row>
    <row r="62" spans="1:109" ht="45.75"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63"/>
      <c r="BK62" s="163"/>
      <c r="BL62" s="163"/>
      <c r="BN62" s="85">
        <f t="shared" si="4"/>
        <v>58</v>
      </c>
      <c r="BO62" s="253">
        <v>8</v>
      </c>
      <c r="BP62" s="86" t="str">
        <v>8</v>
      </c>
      <c r="BQ62" s="76" t="str">
        <v>]</v>
      </c>
      <c r="BR62" s="77" t="str">
        <v>八</v>
      </c>
      <c r="BS62" s="87" t="s">
        <v>36</v>
      </c>
      <c r="BT62" s="88">
        <f t="shared" si="0"/>
        <v>1</v>
      </c>
      <c r="BV62" s="89" t="str">
        <f t="shared" si="16"/>
        <v xml:space="preserve">    "]": { commit: "八" }  # /8/ ==&gt; 8</v>
      </c>
      <c r="BX62" s="85">
        <f t="shared" si="6"/>
        <v>58</v>
      </c>
      <c r="BY62" s="93"/>
      <c r="BZ62" s="91"/>
      <c r="CA62" s="92"/>
      <c r="CB62" s="77"/>
      <c r="CC62" s="94"/>
      <c r="CD62" s="95"/>
      <c r="CG62" s="85">
        <f t="shared" si="7"/>
        <v>58</v>
      </c>
      <c r="CH62" s="93"/>
      <c r="CI62" s="91"/>
      <c r="CJ62" s="92"/>
      <c r="CK62" s="77"/>
      <c r="CL62" s="94"/>
      <c r="CM62" s="95"/>
      <c r="CP62" s="85">
        <f t="shared" si="8"/>
        <v>58</v>
      </c>
      <c r="CQ62" s="93"/>
      <c r="CR62" s="91"/>
      <c r="CS62" s="92"/>
      <c r="CT62" s="77"/>
      <c r="CU62" s="94"/>
      <c r="CV62" s="95"/>
      <c r="CY62" s="85">
        <f t="shared" si="9"/>
        <v>58</v>
      </c>
      <c r="CZ62" s="93"/>
      <c r="DA62" s="91"/>
      <c r="DB62" s="92"/>
      <c r="DC62" s="77"/>
      <c r="DD62" s="94"/>
      <c r="DE62" s="95"/>
    </row>
    <row r="63" spans="1:109" ht="45.75">
      <c r="B63" s="184" t="s">
        <v>205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51"/>
      <c r="AI63" s="151"/>
      <c r="AJ63" s="151"/>
      <c r="AK63" s="163"/>
      <c r="AL63" s="163"/>
      <c r="AM63" s="151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51"/>
      <c r="BH63" s="151"/>
      <c r="BI63" s="151"/>
      <c r="BJ63" s="163"/>
      <c r="BK63" s="163"/>
      <c r="BL63" s="163"/>
      <c r="BN63" s="85">
        <f t="shared" si="4"/>
        <v>59</v>
      </c>
      <c r="BO63" s="253">
        <v>4</v>
      </c>
      <c r="BP63" s="86" t="str">
        <v>4</v>
      </c>
      <c r="BQ63" s="76" t="str">
        <v>[</v>
      </c>
      <c r="BR63" s="77" t="str">
        <v>四</v>
      </c>
      <c r="BS63" s="87"/>
      <c r="BT63" s="88">
        <f t="shared" si="0"/>
        <v>1</v>
      </c>
      <c r="BX63" s="85">
        <f t="shared" si="6"/>
        <v>59</v>
      </c>
      <c r="BY63" s="93"/>
      <c r="BZ63" s="91"/>
      <c r="CA63" s="92"/>
      <c r="CB63" s="77"/>
      <c r="CC63" s="94"/>
      <c r="CD63" s="95"/>
      <c r="CG63" s="85">
        <f t="shared" si="7"/>
        <v>59</v>
      </c>
      <c r="CH63" s="93"/>
      <c r="CI63" s="91"/>
      <c r="CJ63" s="92"/>
      <c r="CK63" s="77"/>
      <c r="CL63" s="94"/>
      <c r="CM63" s="95"/>
      <c r="CP63" s="85">
        <f t="shared" si="8"/>
        <v>59</v>
      </c>
      <c r="CQ63" s="93"/>
      <c r="CR63" s="91"/>
      <c r="CS63" s="92"/>
      <c r="CT63" s="77"/>
      <c r="CU63" s="94"/>
      <c r="CV63" s="95"/>
      <c r="CY63" s="85">
        <f t="shared" si="9"/>
        <v>59</v>
      </c>
      <c r="CZ63" s="93"/>
      <c r="DA63" s="91"/>
      <c r="DB63" s="92"/>
      <c r="DC63" s="77"/>
      <c r="DD63" s="94"/>
      <c r="DE63" s="95"/>
    </row>
    <row r="64" spans="1:109" ht="45.75">
      <c r="B64" s="149" t="s">
        <v>206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50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51"/>
      <c r="AI64" s="151"/>
      <c r="AJ64" s="151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N64" s="85">
        <f t="shared" si="4"/>
        <v>60</v>
      </c>
      <c r="BO64" s="253"/>
      <c r="BP64" s="86"/>
      <c r="BQ64" s="76"/>
      <c r="BR64" s="77"/>
      <c r="BS64" s="87"/>
      <c r="BT64" s="88">
        <f t="shared" si="0"/>
        <v>0</v>
      </c>
      <c r="BX64" s="85">
        <f t="shared" si="6"/>
        <v>60</v>
      </c>
      <c r="BY64" s="93"/>
      <c r="BZ64" s="91"/>
      <c r="CA64" s="92"/>
      <c r="CB64" s="77"/>
      <c r="CC64" s="94"/>
      <c r="CD64" s="95"/>
      <c r="CG64" s="85">
        <f t="shared" si="7"/>
        <v>60</v>
      </c>
      <c r="CH64" s="93"/>
      <c r="CI64" s="91"/>
      <c r="CJ64" s="92"/>
      <c r="CK64" s="77"/>
      <c r="CL64" s="94"/>
      <c r="CM64" s="95"/>
      <c r="CP64" s="85">
        <f t="shared" si="8"/>
        <v>60</v>
      </c>
      <c r="CQ64" s="93"/>
      <c r="CR64" s="91"/>
      <c r="CS64" s="92"/>
      <c r="CT64" s="77"/>
      <c r="CU64" s="94"/>
      <c r="CV64" s="95"/>
      <c r="CY64" s="85">
        <f t="shared" si="9"/>
        <v>60</v>
      </c>
      <c r="CZ64" s="93"/>
      <c r="DA64" s="91"/>
      <c r="DB64" s="92"/>
      <c r="DC64" s="77"/>
      <c r="DD64" s="94"/>
      <c r="DE64" s="95"/>
    </row>
    <row r="65" spans="1:109" ht="45.75">
      <c r="B65" s="186" t="s">
        <v>207</v>
      </c>
      <c r="C65" s="187"/>
      <c r="D65" s="187">
        <f xml:space="preserve"> LEN(E65)</f>
        <v>55</v>
      </c>
      <c r="E65" s="188" t="str">
        <f xml:space="preserve"> _xlfn.CONCAT(D18:BF18)</f>
        <v>BbpmdtnlĞgkŋZzcsJjCShaiwueOəIUDfqrvxyMGNY@AWHRFQV&amp;LØ173</v>
      </c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J65" s="163"/>
      <c r="BK65" s="163"/>
      <c r="BL65" s="163"/>
      <c r="BR65" s="11"/>
      <c r="BS65" s="11"/>
      <c r="BY65" s="93"/>
      <c r="BZ65" s="195"/>
      <c r="CA65" s="92"/>
      <c r="CB65" s="77"/>
      <c r="CC65" s="94"/>
      <c r="CD65" s="95"/>
      <c r="CH65" s="93"/>
      <c r="CI65" s="195"/>
      <c r="CJ65" s="92"/>
      <c r="CK65" s="77"/>
      <c r="CL65" s="94"/>
      <c r="CM65" s="95"/>
      <c r="CQ65" s="93"/>
      <c r="CR65" s="195"/>
      <c r="CS65" s="92"/>
      <c r="CT65" s="77"/>
      <c r="CU65" s="94"/>
      <c r="CV65" s="95"/>
      <c r="CZ65" s="93"/>
      <c r="DA65" s="195"/>
      <c r="DB65" s="92"/>
      <c r="DC65" s="77"/>
      <c r="DD65" s="94"/>
      <c r="DE65" s="95"/>
    </row>
    <row r="66" spans="1:109">
      <c r="B66" s="191" t="s">
        <v>208</v>
      </c>
      <c r="C66" s="190"/>
      <c r="D66" s="190">
        <f>LEN(E66)</f>
        <v>55</v>
      </c>
      <c r="E66" s="191" t="str">
        <f xml:space="preserve"> _xlfn.CONCAT(D20:BF20)</f>
        <v>ㆠㄅㄆㄇㄉㄊㄋㄌㆣㄍㄎㄫㆡㄗㄘㄙㆢㄐㄑㄒㄏㄚㄧㆨㄨㆤㆦㄜㄞㄠㆩㆪㆫㆥㆧㆮㆯㆬㆭㄣㆰㄢㄤㆱㆲㆴㆵㆻㆷ入ㄥØ一七三</v>
      </c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BJ66" s="163"/>
      <c r="BK66" s="163"/>
      <c r="BL66" s="163"/>
    </row>
    <row r="67" spans="1:109">
      <c r="B67" s="270" t="str">
        <f xml:space="preserve"> "- xlit|" &amp; E65 &amp; "|" &amp; E66 &amp; "|"</f>
        <v>- xlit|BbpmdtnlĞgkŋZzcsJjCShaiwueOəIUDfqrvxyMGNY@AWHRFQV&amp;LØ173|ㆠㄅㄆㄇㄉㄊㄋㄌㆣㄍㄎㄫㆡㄗㄘㄙㆢㄐㄑㄒㄏㄚㄧㆨㄨㆤㆦㄜㄞㄠㆩㆪㆫㆥㆧㆮㆯㆬㆭㄣㆰㄢㄤㆱㆲㆴㆵㆻㆷ入ㄥØ一七三|</v>
      </c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75"/>
      <c r="AH67" s="175"/>
      <c r="AI67" s="175"/>
      <c r="AJ67" s="175"/>
      <c r="BJ67" s="163"/>
      <c r="BK67" s="163"/>
      <c r="BL67" s="163"/>
    </row>
    <row r="68" spans="1:109"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BJ68" s="163"/>
      <c r="BK68" s="163"/>
      <c r="BL68" s="163"/>
    </row>
    <row r="69" spans="1:109">
      <c r="B69" s="196" t="s">
        <v>209</v>
      </c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96" cm="1">
        <f t="array" aca="1" ref="Y69" ca="1" xml:space="preserve"> INDIRECT( ADDRESS( ROW()-1, COLUMN()-1) )</f>
        <v>0</v>
      </c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BJ69" s="163"/>
      <c r="BK69" s="163"/>
      <c r="BL69" s="163"/>
    </row>
    <row r="70" spans="1:109">
      <c r="B70" s="196" t="s">
        <v>210</v>
      </c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96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BJ70" s="163"/>
      <c r="BK70" s="163"/>
      <c r="BL70" s="163"/>
    </row>
    <row r="71" spans="1:109"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BJ71" s="163"/>
      <c r="BK71" s="163"/>
      <c r="BL71" s="163"/>
    </row>
    <row r="72" spans="1:109">
      <c r="B72" s="163"/>
      <c r="C72" s="163"/>
      <c r="D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</row>
    <row r="73" spans="1:109" ht="45" customHeight="1">
      <c r="B73" s="178">
        <v>1</v>
      </c>
      <c r="C73" s="178">
        <v>2</v>
      </c>
      <c r="D73" s="178">
        <v>3</v>
      </c>
      <c r="E73" s="178">
        <v>4</v>
      </c>
      <c r="F73" s="178">
        <v>5</v>
      </c>
      <c r="G73" s="178">
        <v>6</v>
      </c>
      <c r="H73" s="178">
        <v>7</v>
      </c>
      <c r="I73" s="178">
        <v>8</v>
      </c>
      <c r="J73" s="178">
        <v>9</v>
      </c>
      <c r="K73" s="178">
        <v>10</v>
      </c>
      <c r="L73" s="178">
        <v>11</v>
      </c>
      <c r="M73" s="178">
        <v>12</v>
      </c>
      <c r="N73" s="178">
        <v>13</v>
      </c>
      <c r="O73" s="178">
        <v>14</v>
      </c>
      <c r="P73" s="178">
        <v>15</v>
      </c>
      <c r="Q73" s="178">
        <v>16</v>
      </c>
      <c r="R73" s="178">
        <v>17</v>
      </c>
      <c r="S73" s="179">
        <v>18</v>
      </c>
      <c r="T73" s="178">
        <v>19</v>
      </c>
      <c r="U73" s="178">
        <v>20</v>
      </c>
      <c r="V73" s="178">
        <v>21</v>
      </c>
      <c r="W73" s="178">
        <v>22</v>
      </c>
      <c r="X73" s="178">
        <v>23</v>
      </c>
      <c r="Y73" s="178">
        <v>24</v>
      </c>
      <c r="Z73" s="178">
        <v>25</v>
      </c>
      <c r="AA73" s="178">
        <v>26</v>
      </c>
      <c r="AB73" s="178">
        <v>27</v>
      </c>
      <c r="AC73" s="178">
        <v>28</v>
      </c>
      <c r="AD73" s="178">
        <v>29</v>
      </c>
      <c r="AE73" s="178">
        <v>30</v>
      </c>
      <c r="AF73" s="178">
        <v>31</v>
      </c>
      <c r="AG73" s="178">
        <v>32</v>
      </c>
      <c r="AH73" s="180">
        <v>33</v>
      </c>
      <c r="AI73" s="180">
        <v>34</v>
      </c>
      <c r="AJ73" s="180">
        <v>35</v>
      </c>
      <c r="AK73" s="180">
        <v>36</v>
      </c>
      <c r="AL73" s="181">
        <v>37</v>
      </c>
      <c r="AM73" s="180">
        <v>38</v>
      </c>
      <c r="AN73" s="180">
        <v>39</v>
      </c>
      <c r="AO73" s="180">
        <v>40</v>
      </c>
      <c r="AP73" s="180">
        <v>41</v>
      </c>
      <c r="AQ73" s="180">
        <v>42</v>
      </c>
      <c r="AR73" s="180">
        <v>43</v>
      </c>
      <c r="AS73" s="180">
        <v>44</v>
      </c>
      <c r="AT73" s="180">
        <v>45</v>
      </c>
      <c r="AU73" s="180">
        <v>46</v>
      </c>
      <c r="AV73" s="180">
        <v>47</v>
      </c>
      <c r="AW73" s="180">
        <v>48</v>
      </c>
      <c r="AX73" s="180">
        <v>49</v>
      </c>
      <c r="AY73" s="180">
        <v>50</v>
      </c>
      <c r="AZ73" s="180">
        <v>51</v>
      </c>
      <c r="BA73" s="180">
        <v>52</v>
      </c>
      <c r="BB73" s="180">
        <v>53</v>
      </c>
      <c r="BC73" s="180">
        <v>54</v>
      </c>
      <c r="BD73" s="180">
        <v>55</v>
      </c>
      <c r="BE73" s="180">
        <v>56</v>
      </c>
      <c r="BF73" s="180">
        <v>57</v>
      </c>
      <c r="BG73" s="180">
        <v>58</v>
      </c>
      <c r="BH73" s="180">
        <v>59</v>
      </c>
      <c r="BI73" s="180">
        <v>60</v>
      </c>
      <c r="BJ73" s="163"/>
      <c r="BK73" s="163"/>
      <c r="BL73" s="163"/>
    </row>
    <row r="74" spans="1:109" ht="45" customHeight="1">
      <c r="A74" s="185" t="e">
        <f xml:space="preserve"> LEN(B93)</f>
        <v>#REF!</v>
      </c>
      <c r="B74" s="182" t="e">
        <v>#REF!</v>
      </c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97"/>
      <c r="AI74" s="197"/>
      <c r="AJ74" s="197"/>
      <c r="AK74" s="197"/>
      <c r="AL74" s="198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197"/>
      <c r="AY74" s="197"/>
      <c r="AZ74" s="197"/>
      <c r="BA74" s="197"/>
      <c r="BB74" s="197"/>
      <c r="BC74" s="197"/>
      <c r="BD74" s="197"/>
      <c r="BE74" s="197"/>
      <c r="BF74" s="197"/>
      <c r="BG74" s="197"/>
      <c r="BH74" s="197"/>
      <c r="BI74" s="197"/>
      <c r="BJ74" s="163"/>
      <c r="BK74" s="163"/>
    </row>
    <row r="75" spans="1:109" ht="45" customHeight="1">
      <c r="A75" s="185" t="e">
        <f xml:space="preserve"> LEN(B94)</f>
        <v>#REF!</v>
      </c>
      <c r="B75" s="183" t="e">
        <v>#REF!</v>
      </c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99"/>
      <c r="AI75" s="199"/>
      <c r="AJ75" s="199"/>
      <c r="AK75" s="199"/>
      <c r="AL75" s="200"/>
      <c r="AM75" s="199"/>
      <c r="AN75" s="199"/>
      <c r="AO75" s="199"/>
      <c r="AP75" s="199"/>
      <c r="AQ75" s="199"/>
      <c r="AR75" s="199"/>
      <c r="AS75" s="199"/>
      <c r="AT75" s="199"/>
      <c r="AU75" s="199"/>
      <c r="AV75" s="199"/>
      <c r="AW75" s="199"/>
      <c r="AX75" s="199"/>
      <c r="AY75" s="199"/>
      <c r="AZ75" s="199"/>
      <c r="BA75" s="199"/>
      <c r="BB75" s="199"/>
      <c r="BC75" s="199"/>
      <c r="BD75" s="199"/>
      <c r="BE75" s="199"/>
      <c r="BF75" s="199"/>
      <c r="BG75" s="199"/>
      <c r="BH75" s="199"/>
      <c r="BI75" s="199"/>
      <c r="BJ75" s="163"/>
      <c r="BK75" s="163"/>
    </row>
    <row r="76" spans="1:109" ht="45" customHeight="1">
      <c r="B76" s="201" t="e">
        <v>#REF!</v>
      </c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2"/>
      <c r="AI76" s="202"/>
      <c r="AJ76" s="202"/>
      <c r="AK76" s="202"/>
      <c r="AL76" s="203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163"/>
      <c r="BK76" s="163"/>
    </row>
    <row r="77" spans="1:109"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  <c r="BC77" s="163"/>
      <c r="BD77" s="163"/>
      <c r="BE77" s="163"/>
      <c r="BF77" s="163"/>
      <c r="BG77" s="163"/>
      <c r="BH77" s="163"/>
      <c r="BI77" s="163"/>
      <c r="BJ77" s="163"/>
      <c r="BK77" s="163"/>
    </row>
    <row r="78" spans="1:109" ht="39">
      <c r="B78" s="204" t="e">
        <f>_xlfn.CONCAT("  alphabet: """,B75:AX75,BF75:BH75,AY75:BE75,"""")</f>
        <v>#REF!</v>
      </c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  <c r="BI78" s="204"/>
      <c r="BJ78" s="163"/>
      <c r="BK78" s="163"/>
    </row>
    <row r="79" spans="1:109" ht="39">
      <c r="B79" s="204" t="e">
        <f>_xlfn.CONCAT("  initials: """,B75:AX75,BF75:BH75,"""")</f>
        <v>#REF!</v>
      </c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  <c r="BB79" s="204"/>
      <c r="BC79" s="204"/>
      <c r="BD79" s="204"/>
      <c r="BE79" s="204"/>
      <c r="BF79" s="204"/>
      <c r="BG79" s="204"/>
      <c r="BH79" s="204"/>
      <c r="BI79" s="204"/>
      <c r="BJ79" s="163"/>
      <c r="BK79" s="163"/>
    </row>
    <row r="80" spans="1:109" ht="39">
      <c r="A80" s="185">
        <f xml:space="preserve"> LEN(B99)</f>
        <v>49</v>
      </c>
      <c r="B80" s="204" t="str">
        <f>_xlfn.CONCAT("  finals: """,AY75:BE75,"""")</f>
        <v xml:space="preserve">  finals: ""</v>
      </c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  <c r="BB80" s="204"/>
      <c r="BC80" s="204"/>
      <c r="BD80" s="204"/>
      <c r="BE80" s="204"/>
      <c r="BF80" s="204"/>
      <c r="BG80" s="204"/>
      <c r="BH80" s="204"/>
      <c r="BI80" s="204"/>
      <c r="BJ80" s="163"/>
      <c r="BK80" s="163"/>
    </row>
    <row r="81" spans="1:63">
      <c r="A81" s="185">
        <f xml:space="preserve"> LEN(B100)</f>
        <v>49</v>
      </c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  <c r="AV81" s="163"/>
      <c r="AW81" s="163"/>
      <c r="AX81" s="163"/>
      <c r="AY81" s="163"/>
      <c r="AZ81" s="163"/>
      <c r="BA81" s="163"/>
      <c r="BB81" s="163"/>
      <c r="BC81" s="163"/>
      <c r="BD81" s="163"/>
      <c r="BE81" s="163"/>
      <c r="BF81" s="163"/>
      <c r="BG81" s="163"/>
      <c r="BH81" s="163"/>
      <c r="BI81" s="163"/>
      <c r="BJ81" s="163"/>
      <c r="BK81" s="163"/>
    </row>
    <row r="82" spans="1:63"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  <c r="AY82" s="163"/>
      <c r="AZ82" s="163"/>
      <c r="BA82" s="163"/>
      <c r="BB82" s="163"/>
      <c r="BC82" s="163"/>
      <c r="BD82" s="163"/>
      <c r="BE82" s="163"/>
      <c r="BF82" s="163"/>
      <c r="BG82" s="163"/>
      <c r="BH82" s="163"/>
      <c r="BI82" s="163"/>
      <c r="BJ82" s="163"/>
      <c r="BK82" s="163"/>
    </row>
    <row r="83" spans="1:63" ht="39">
      <c r="B83" s="205" t="e">
        <f>_xlfn.CONCAT(_xlfn.ANCHORARRAY(B74))</f>
        <v>#REF!</v>
      </c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  <c r="AV83" s="163"/>
      <c r="AW83" s="163"/>
      <c r="AX83" s="163"/>
      <c r="AY83" s="163"/>
      <c r="AZ83" s="163"/>
      <c r="BA83" s="163"/>
      <c r="BB83" s="163"/>
      <c r="BC83" s="163"/>
      <c r="BD83" s="163"/>
      <c r="BE83" s="163"/>
      <c r="BF83" s="163"/>
      <c r="BG83" s="163"/>
      <c r="BH83" s="163"/>
      <c r="BI83" s="163"/>
      <c r="BJ83" s="163"/>
      <c r="BK83" s="163"/>
    </row>
    <row r="84" spans="1:63" ht="39">
      <c r="B84" s="205" t="e">
        <f>_xlfn.CONCAT(_xlfn.ANCHORARRAY(B75))</f>
        <v>#REF!</v>
      </c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163"/>
      <c r="BB84" s="163"/>
      <c r="BC84" s="163"/>
      <c r="BD84" s="163"/>
      <c r="BE84" s="163"/>
      <c r="BF84" s="163"/>
      <c r="BG84" s="163"/>
      <c r="BH84" s="163"/>
      <c r="BI84" s="163"/>
      <c r="BJ84" s="163"/>
      <c r="BK84" s="163"/>
    </row>
    <row r="85" spans="1:63" ht="39">
      <c r="B85" s="205" t="e">
        <f xml:space="preserve"> _xlfn.CONCAT("    - xlit|", B83, "|", B84,"|")</f>
        <v>#REF!</v>
      </c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  <c r="AY85" s="163"/>
      <c r="AZ85" s="163"/>
      <c r="BA85" s="163"/>
      <c r="BB85" s="163"/>
      <c r="BC85" s="163"/>
      <c r="BD85" s="163"/>
      <c r="BE85" s="163"/>
      <c r="BF85" s="163"/>
      <c r="BG85" s="163"/>
      <c r="BH85" s="163"/>
      <c r="BI85" s="163"/>
      <c r="BJ85" s="163"/>
      <c r="BK85" s="163"/>
    </row>
    <row r="86" spans="1:63">
      <c r="A86" s="185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  <c r="AY86" s="163"/>
      <c r="AZ86" s="163"/>
      <c r="BA86" s="163"/>
      <c r="BB86" s="163"/>
      <c r="BC86" s="163"/>
      <c r="BD86" s="163"/>
      <c r="BE86" s="163"/>
      <c r="BF86" s="163"/>
      <c r="BG86" s="163"/>
      <c r="BH86" s="163"/>
      <c r="BI86" s="163"/>
      <c r="BJ86" s="163"/>
      <c r="BK86" s="163"/>
    </row>
    <row r="87" spans="1:63">
      <c r="A87" s="185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  <c r="AV87" s="163"/>
      <c r="AW87" s="163"/>
      <c r="AX87" s="163"/>
      <c r="AY87" s="163"/>
      <c r="AZ87" s="163"/>
      <c r="BA87" s="163"/>
      <c r="BB87" s="163"/>
      <c r="BC87" s="163"/>
      <c r="BD87" s="163"/>
      <c r="BE87" s="163"/>
      <c r="BF87" s="163"/>
      <c r="BG87" s="163"/>
      <c r="BH87" s="163"/>
      <c r="BI87" s="163"/>
      <c r="BJ87" s="163"/>
      <c r="BK87" s="163"/>
    </row>
    <row r="88" spans="1:63" ht="39">
      <c r="B88" s="205" t="e">
        <f>_xlfn.CONCAT(B75:AX75)</f>
        <v>#REF!</v>
      </c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</row>
    <row r="89" spans="1:63" ht="39">
      <c r="B89" s="205" t="e">
        <f>_xlfn.CONCAT(B76:AX76)</f>
        <v>#REF!</v>
      </c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  <c r="BE89" s="163"/>
      <c r="BF89" s="163"/>
      <c r="BG89" s="163"/>
      <c r="BH89" s="163"/>
      <c r="BI89" s="163"/>
    </row>
    <row r="90" spans="1:63" ht="39">
      <c r="B90" s="205" t="e">
        <f xml:space="preserve"> _xlfn.CONCAT("    - xlit|", B88, "|", B89,"|")</f>
        <v>#REF!</v>
      </c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  <c r="AV90" s="163"/>
      <c r="AW90" s="163"/>
      <c r="AX90" s="163"/>
      <c r="AY90" s="163"/>
      <c r="AZ90" s="163"/>
      <c r="BA90" s="163"/>
      <c r="BB90" s="163"/>
      <c r="BC90" s="163"/>
      <c r="BD90" s="163"/>
      <c r="BE90" s="163"/>
      <c r="BF90" s="163"/>
      <c r="BG90" s="163"/>
      <c r="BH90" s="163"/>
      <c r="BI90" s="163"/>
    </row>
    <row r="91" spans="1:63" ht="39">
      <c r="B91" s="204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/>
      <c r="AX91" s="163"/>
      <c r="AY91" s="163"/>
      <c r="AZ91" s="163"/>
      <c r="BA91" s="163"/>
      <c r="BB91" s="163"/>
      <c r="BC91" s="163"/>
      <c r="BD91" s="163"/>
      <c r="BE91" s="163"/>
      <c r="BF91" s="163"/>
      <c r="BG91" s="163"/>
      <c r="BH91" s="163"/>
      <c r="BI91" s="163"/>
    </row>
    <row r="92" spans="1:63" ht="39">
      <c r="A92" s="185">
        <f ca="1" xml:space="preserve"> LEN(B110)</f>
        <v>49</v>
      </c>
      <c r="B92" s="204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163"/>
      <c r="AY92" s="163"/>
      <c r="AZ92" s="163"/>
      <c r="BA92" s="163"/>
      <c r="BB92" s="163"/>
      <c r="BC92" s="163"/>
      <c r="BD92" s="163"/>
      <c r="BE92" s="163"/>
      <c r="BF92" s="163"/>
      <c r="BG92" s="163"/>
      <c r="BH92" s="163"/>
      <c r="BI92" s="163"/>
    </row>
    <row r="93" spans="1:63" ht="39">
      <c r="A93" s="185">
        <f ca="1" xml:space="preserve"> LEN(B111)</f>
        <v>49</v>
      </c>
      <c r="B93" s="205" t="e">
        <f>_xlfn.CONCAT(_xlfn.ANCHORARRAY(B75))</f>
        <v>#REF!</v>
      </c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63"/>
      <c r="BH93" s="163"/>
      <c r="BI93" s="163"/>
    </row>
    <row r="94" spans="1:63" ht="39">
      <c r="B94" s="205" t="e">
        <f>_xlfn.CONCAT(_xlfn.ANCHORARRAY(B76))</f>
        <v>#REF!</v>
      </c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  <c r="AZ94" s="163"/>
      <c r="BA94" s="163"/>
      <c r="BB94" s="163"/>
      <c r="BC94" s="163"/>
      <c r="BD94" s="163"/>
      <c r="BE94" s="163"/>
      <c r="BF94" s="163"/>
      <c r="BG94" s="163"/>
      <c r="BH94" s="163"/>
      <c r="BI94" s="163"/>
    </row>
    <row r="95" spans="1:63" ht="39">
      <c r="B95" s="205" t="e">
        <f xml:space="preserve"> _xlfn.CONCAT("    - xlit|", B93, "|", B94,"|")</f>
        <v>#REF!</v>
      </c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  <c r="AY95" s="163"/>
      <c r="AZ95" s="163"/>
      <c r="BA95" s="163"/>
      <c r="BB95" s="163"/>
      <c r="BC95" s="163"/>
      <c r="BD95" s="163"/>
      <c r="BE95" s="163"/>
      <c r="BF95" s="163"/>
      <c r="BG95" s="163"/>
      <c r="BH95" s="163"/>
      <c r="BI95" s="163"/>
    </row>
    <row r="96" spans="1:63" ht="39">
      <c r="B96" s="204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  <c r="AV96" s="163"/>
      <c r="AW96" s="163"/>
      <c r="AX96" s="163"/>
      <c r="AY96" s="163"/>
      <c r="AZ96" s="163"/>
      <c r="BA96" s="163"/>
      <c r="BB96" s="163"/>
      <c r="BC96" s="163"/>
      <c r="BD96" s="163"/>
      <c r="BE96" s="163"/>
      <c r="BF96" s="163"/>
      <c r="BG96" s="163"/>
      <c r="BH96" s="163"/>
      <c r="BI96" s="163"/>
    </row>
    <row r="97" spans="2:61" ht="39">
      <c r="B97" s="204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  <c r="AY97" s="163"/>
      <c r="AZ97" s="163"/>
      <c r="BA97" s="163"/>
      <c r="BB97" s="163"/>
      <c r="BC97" s="163"/>
      <c r="BD97" s="163"/>
      <c r="BE97" s="163"/>
      <c r="BF97" s="163"/>
      <c r="BG97" s="163"/>
      <c r="BH97" s="163"/>
      <c r="BI97" s="163"/>
    </row>
    <row r="98" spans="2:61"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63"/>
      <c r="AY98" s="163"/>
      <c r="AZ98" s="163"/>
      <c r="BA98" s="163"/>
      <c r="BB98" s="163"/>
      <c r="BC98" s="163"/>
      <c r="BD98" s="163"/>
      <c r="BE98" s="163"/>
      <c r="BF98" s="163"/>
      <c r="BG98" s="163"/>
      <c r="BH98" s="163"/>
      <c r="BI98" s="163"/>
    </row>
    <row r="99" spans="2:61">
      <c r="B99" s="196" t="s">
        <v>211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163"/>
      <c r="AY99" s="163"/>
      <c r="AZ99" s="163"/>
      <c r="BA99" s="163"/>
      <c r="BB99" s="163"/>
      <c r="BC99" s="163"/>
      <c r="BD99" s="163"/>
      <c r="BE99" s="163"/>
      <c r="BF99" s="163"/>
      <c r="BG99" s="163"/>
      <c r="BH99" s="163"/>
      <c r="BI99" s="163"/>
    </row>
    <row r="100" spans="2:61">
      <c r="B100" s="196" t="s">
        <v>212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3"/>
      <c r="AX100" s="163"/>
      <c r="AY100" s="163"/>
      <c r="AZ100" s="163"/>
      <c r="BA100" s="163"/>
      <c r="BB100" s="163"/>
      <c r="BC100" s="163"/>
      <c r="BD100" s="163"/>
      <c r="BE100" s="163"/>
      <c r="BF100" s="163"/>
      <c r="BG100" s="163"/>
      <c r="BH100" s="163"/>
      <c r="BI100" s="163"/>
    </row>
    <row r="101" spans="2:61"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 t="s">
        <v>38</v>
      </c>
      <c r="AV101" s="163" t="s">
        <v>193</v>
      </c>
      <c r="AW101" s="163" t="s">
        <v>97</v>
      </c>
      <c r="AX101" s="163" t="s">
        <v>102</v>
      </c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/>
    </row>
    <row r="102" spans="2:61"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  <c r="AY102" s="163"/>
      <c r="AZ102" s="163"/>
      <c r="BA102" s="163"/>
      <c r="BB102" s="163"/>
      <c r="BG102" s="163"/>
      <c r="BH102" s="163"/>
      <c r="BI102" s="163"/>
    </row>
    <row r="103" spans="2:61">
      <c r="B103" s="178">
        <v>1</v>
      </c>
      <c r="C103" s="178">
        <v>2</v>
      </c>
      <c r="D103" s="178">
        <v>3</v>
      </c>
      <c r="E103" s="178">
        <v>4</v>
      </c>
      <c r="F103" s="178">
        <v>5</v>
      </c>
      <c r="G103" s="178">
        <v>6</v>
      </c>
      <c r="H103" s="178">
        <v>7</v>
      </c>
      <c r="I103" s="178">
        <v>8</v>
      </c>
      <c r="J103" s="178">
        <v>9</v>
      </c>
      <c r="K103" s="178">
        <v>10</v>
      </c>
      <c r="L103" s="178">
        <v>11</v>
      </c>
      <c r="M103" s="178">
        <v>12</v>
      </c>
      <c r="N103" s="178">
        <v>13</v>
      </c>
      <c r="O103" s="178">
        <v>14</v>
      </c>
      <c r="P103" s="178">
        <v>15</v>
      </c>
      <c r="Q103" s="178">
        <v>16</v>
      </c>
      <c r="R103" s="178">
        <v>17</v>
      </c>
      <c r="S103" s="179">
        <v>18</v>
      </c>
      <c r="T103" s="178">
        <v>19</v>
      </c>
      <c r="U103" s="178">
        <v>20</v>
      </c>
      <c r="V103" s="178">
        <v>21</v>
      </c>
      <c r="W103" s="178">
        <v>22</v>
      </c>
      <c r="X103" s="178">
        <v>23</v>
      </c>
      <c r="Y103" s="178">
        <v>24</v>
      </c>
      <c r="Z103" s="178">
        <v>25</v>
      </c>
      <c r="AA103" s="178">
        <v>26</v>
      </c>
      <c r="AB103" s="178">
        <v>27</v>
      </c>
      <c r="AC103" s="178">
        <v>28</v>
      </c>
      <c r="AD103" s="178">
        <v>29</v>
      </c>
      <c r="AE103" s="178">
        <v>30</v>
      </c>
      <c r="AF103" s="178">
        <v>31</v>
      </c>
      <c r="AG103" s="178">
        <v>32</v>
      </c>
      <c r="AH103" s="180">
        <v>33</v>
      </c>
      <c r="AI103" s="180">
        <v>34</v>
      </c>
      <c r="AJ103" s="180">
        <v>35</v>
      </c>
      <c r="AK103" s="180">
        <v>36</v>
      </c>
      <c r="AL103" s="181">
        <v>37</v>
      </c>
      <c r="AM103" s="180">
        <v>38</v>
      </c>
      <c r="AN103" s="180">
        <v>39</v>
      </c>
      <c r="AO103" s="180">
        <v>40</v>
      </c>
      <c r="AP103" s="180">
        <v>41</v>
      </c>
      <c r="AQ103" s="180">
        <v>42</v>
      </c>
      <c r="AR103" s="180">
        <v>43</v>
      </c>
      <c r="AS103" s="180">
        <v>44</v>
      </c>
      <c r="AT103" s="180">
        <v>45</v>
      </c>
      <c r="AU103" s="180">
        <v>46</v>
      </c>
      <c r="AV103" s="180">
        <v>47</v>
      </c>
      <c r="AW103" s="180">
        <v>48</v>
      </c>
      <c r="AX103" s="180">
        <v>49</v>
      </c>
      <c r="AY103" s="180">
        <v>50</v>
      </c>
      <c r="AZ103" s="180">
        <v>51</v>
      </c>
      <c r="BA103" s="180">
        <v>52</v>
      </c>
      <c r="BB103" s="180">
        <v>53</v>
      </c>
      <c r="BC103" s="180">
        <v>54</v>
      </c>
      <c r="BD103" s="180">
        <v>55</v>
      </c>
      <c r="BE103" s="180">
        <v>56</v>
      </c>
      <c r="BF103" s="180">
        <v>57</v>
      </c>
      <c r="BG103" s="180">
        <v>58</v>
      </c>
      <c r="BH103" s="180">
        <v>59</v>
      </c>
      <c r="BI103" s="180">
        <v>60</v>
      </c>
    </row>
    <row r="104" spans="2:61">
      <c r="B104" s="206" t="str" cm="1">
        <f t="array" aca="1" ref="B104" ca="1" xml:space="preserve"> MID($B$99, INDIRECT( ADDRESS(ROW()-1, COLUMN()) ),1)</f>
        <v>1</v>
      </c>
      <c r="C104" s="206" t="str" cm="1">
        <f t="array" aca="1" ref="C104" ca="1" xml:space="preserve"> MID($B$99, INDIRECT( ADDRESS(ROW()-1, COLUMN()) ),1)</f>
        <v>!</v>
      </c>
      <c r="D104" s="206" t="str" cm="1">
        <f t="array" aca="1" ref="D104" ca="1" xml:space="preserve"> MID($B$99, INDIRECT( ADDRESS(ROW()-1, COLUMN()) ),1)</f>
        <v>q</v>
      </c>
      <c r="E104" s="206" t="str" cm="1">
        <f t="array" aca="1" ref="E104" ca="1" xml:space="preserve"> MID($B$99, INDIRECT( ADDRESS(ROW()-1, COLUMN()) ),1)</f>
        <v>a</v>
      </c>
      <c r="F104" s="206" t="str" cm="1">
        <f t="array" aca="1" ref="F104" ca="1" xml:space="preserve"> MID($B$99, INDIRECT( ADDRESS(ROW()-1, COLUMN()) ),1)</f>
        <v>2</v>
      </c>
      <c r="G104" s="206" t="str" cm="1">
        <f t="array" aca="1" ref="G104" ca="1" xml:space="preserve"> MID($B$99, INDIRECT( ADDRESS(ROW()-1, COLUMN()) ),1)</f>
        <v>w</v>
      </c>
      <c r="H104" s="206" t="str" cm="1">
        <f t="array" aca="1" ref="H104" ca="1" xml:space="preserve"> MID($B$99, INDIRECT( ADDRESS(ROW()-1, COLUMN()) ),1)</f>
        <v>s</v>
      </c>
      <c r="I104" s="206" t="str" cm="1">
        <f t="array" aca="1" ref="I104" ca="1" xml:space="preserve"> MID($B$99, INDIRECT( ADDRESS(ROW()-1, COLUMN()) ),1)</f>
        <v>x</v>
      </c>
      <c r="J104" s="206" t="str" cm="1">
        <f t="array" aca="1" ref="J104" ca="1" xml:space="preserve"> MID($B$99, INDIRECT( ADDRESS(ROW()-1, COLUMN()) ),1)</f>
        <v>e</v>
      </c>
      <c r="K104" s="206" t="str" cm="1">
        <f t="array" aca="1" ref="K104" ca="1" xml:space="preserve"> MID($B$99, INDIRECT( ADDRESS(ROW()-1, COLUMN()) ),1)</f>
        <v>E</v>
      </c>
      <c r="L104" s="206" t="str" cm="1">
        <f t="array" aca="1" ref="L104" ca="1" xml:space="preserve"> MID($B$99, INDIRECT( ADDRESS(ROW()-1, COLUMN()) ),1)</f>
        <v>d</v>
      </c>
      <c r="M104" s="206" t="s">
        <v>213</v>
      </c>
      <c r="N104" s="206" t="str" cm="1">
        <f t="array" aca="1" ref="N104" ca="1" xml:space="preserve"> MID($B$99, INDIRECT( ADDRESS(ROW()-1, COLUMN()) ),1)</f>
        <v>c</v>
      </c>
      <c r="O104" s="206" t="str" cm="1">
        <f t="array" aca="1" ref="O104" ca="1" xml:space="preserve"> MID($B$99, INDIRECT( ADDRESS(ROW()-1, COLUMN()) ),1)</f>
        <v>r</v>
      </c>
      <c r="P104" s="206" t="str" cm="1">
        <f t="array" aca="1" ref="P104" ca="1" xml:space="preserve"> MID($B$99, INDIRECT( ADDRESS(ROW()-1, COLUMN()) ),1)</f>
        <v>R</v>
      </c>
      <c r="Q104" s="206" t="str" cm="1">
        <f t="array" aca="1" ref="Q104" ca="1" xml:space="preserve"> MID($B$99, INDIRECT( ADDRESS(ROW()-1, COLUMN()) ),1)</f>
        <v>f</v>
      </c>
      <c r="R104" s="206" t="str" cm="1">
        <f t="array" aca="1" ref="R104" ca="1" xml:space="preserve"> MID($B$99, INDIRECT( ADDRESS(ROW()-1, COLUMN()) ),1)</f>
        <v>v</v>
      </c>
      <c r="S104" s="206" t="str" cm="1">
        <f t="array" aca="1" ref="S104" ca="1" xml:space="preserve"> MID($B$99, INDIRECT( ADDRESS(ROW()-1, COLUMN()) ),1)</f>
        <v>y</v>
      </c>
      <c r="T104" s="206" t="str" cm="1">
        <f t="array" aca="1" ref="T104" ca="1" xml:space="preserve"> MID($B$99, INDIRECT( ADDRESS(ROW()-1, COLUMN()) ),1)</f>
        <v>Y</v>
      </c>
      <c r="U104" s="206" t="str" cm="1">
        <f t="array" aca="1" ref="U104" ca="1" xml:space="preserve"> MID($B$99, INDIRECT( ADDRESS(ROW()-1, COLUMN()) ),1)</f>
        <v>h</v>
      </c>
      <c r="V104" s="206" t="str" cm="1">
        <f t="array" aca="1" ref="V104" ca="1" xml:space="preserve"> MID($B$99, INDIRECT( ADDRESS(ROW()-1, COLUMN()) ),1)</f>
        <v>n</v>
      </c>
      <c r="W104" s="206" t="str" cm="1">
        <f t="array" aca="1" ref="W104" ca="1" xml:space="preserve"> MID($B$99, INDIRECT( ADDRESS(ROW()-1, COLUMN()) ),1)</f>
        <v>u</v>
      </c>
      <c r="X104" s="206" t="str" cm="1">
        <f t="array" aca="1" ref="X104" ca="1" xml:space="preserve"> MID($B$99, INDIRECT( ADDRESS(ROW()-1, COLUMN()) ),1)</f>
        <v>U</v>
      </c>
      <c r="Y104" s="206" t="str" cm="1">
        <f t="array" aca="1" ref="Y104" ca="1" xml:space="preserve"> MID($B$99, INDIRECT( ADDRESS(ROW()-1, COLUMN()) ),1)</f>
        <v>j</v>
      </c>
      <c r="Z104" s="206" t="str" cm="1">
        <f t="array" aca="1" ref="Z104" ca="1" xml:space="preserve"> MID($B$99, INDIRECT( ADDRESS(ROW()-1, COLUMN()) ),1)</f>
        <v>J</v>
      </c>
      <c r="AA104" s="206" t="str" cm="1">
        <f t="array" aca="1" ref="AA104" ca="1" xml:space="preserve"> MID($B$99, INDIRECT( ADDRESS(ROW()-1, COLUMN()) ),1)</f>
        <v>8</v>
      </c>
      <c r="AB104" s="206" t="str" cm="1">
        <f t="array" aca="1" ref="AB104" ca="1" xml:space="preserve"> MID($B$99, INDIRECT( ADDRESS(ROW()-1, COLUMN()) ),1)</f>
        <v>*</v>
      </c>
      <c r="AC104" s="206" t="str" cm="1">
        <f t="array" aca="1" ref="AC104" ca="1" xml:space="preserve"> MID($B$99, INDIRECT( ADDRESS(ROW()-1, COLUMN()) ),1)</f>
        <v>i</v>
      </c>
      <c r="AD104" s="206" t="str" cm="1">
        <f t="array" aca="1" ref="AD104" ca="1" xml:space="preserve"> MID($B$99, INDIRECT( ADDRESS(ROW()-1, COLUMN()) ),1)</f>
        <v>I</v>
      </c>
      <c r="AE104" s="206" t="str" cm="1">
        <f t="array" aca="1" ref="AE104" ca="1" xml:space="preserve"> MID($B$99, INDIRECT( ADDRESS(ROW()-1, COLUMN()) ),1)</f>
        <v>k</v>
      </c>
      <c r="AF104" s="206" t="str" cm="1">
        <f t="array" aca="1" ref="AF104" ca="1" xml:space="preserve"> MID($B$99, INDIRECT( ADDRESS(ROW()-1, COLUMN()) ),1)</f>
        <v>,</v>
      </c>
      <c r="AG104" s="206" t="str" cm="1">
        <f t="array" aca="1" ref="AG104" ca="1" xml:space="preserve"> MID($B$99, INDIRECT( ADDRESS(ROW()-1, COLUMN()) ),1)</f>
        <v>&lt;</v>
      </c>
      <c r="AH104" s="206" t="str" cm="1">
        <f t="array" aca="1" ref="AH104" ca="1" xml:space="preserve"> MID($B$99, INDIRECT( ADDRESS(ROW()-1, COLUMN()) ),1)</f>
        <v>9</v>
      </c>
      <c r="AI104" s="206" t="str" cm="1">
        <f t="array" aca="1" ref="AI104" ca="1" xml:space="preserve"> MID($B$99, INDIRECT( ADDRESS(ROW()-1, COLUMN()) ),1)</f>
        <v>(</v>
      </c>
      <c r="AJ104" s="206" t="str" cm="1">
        <f t="array" aca="1" ref="AJ104" ca="1" xml:space="preserve"> MID($B$99, INDIRECT( ADDRESS(ROW()-1, COLUMN()) ),1)</f>
        <v>l</v>
      </c>
      <c r="AK104" s="206" t="str" cm="1">
        <f t="array" aca="1" ref="AK104" ca="1" xml:space="preserve"> MID($B$99, INDIRECT( ADDRESS(ROW()-1, COLUMN()) ),1)</f>
        <v>L</v>
      </c>
      <c r="AL104" s="206" t="str" cm="1">
        <f t="array" aca="1" ref="AL104" ca="1" xml:space="preserve"> MID($B$99, INDIRECT( ADDRESS(ROW()-1, COLUMN()) ),1)</f>
        <v>;</v>
      </c>
      <c r="AM104" s="206" t="str" cm="1">
        <f t="array" aca="1" ref="AM104" ca="1" xml:space="preserve"> MID($B$99, INDIRECT( ADDRESS(ROW()-1, COLUMN()) ),1)</f>
        <v>o</v>
      </c>
      <c r="AN104" s="206" t="str" cm="1">
        <f t="array" aca="1" ref="AN104" ca="1" xml:space="preserve"> MID($B$99, INDIRECT( ADDRESS(ROW()-1, COLUMN()) ),1)</f>
        <v>M</v>
      </c>
      <c r="AO104" s="206" t="str" cm="1">
        <f t="array" aca="1" ref="AO104" ca="1" xml:space="preserve"> MID($B$99, INDIRECT( ADDRESS(ROW()-1, COLUMN()) ),1)</f>
        <v>O</v>
      </c>
      <c r="AP104" s="206" t="str" cm="1">
        <f t="array" aca="1" ref="AP104" ca="1" xml:space="preserve"> MID($B$99, INDIRECT( ADDRESS(ROW()-1, COLUMN()) ),1)</f>
        <v>0</v>
      </c>
      <c r="AQ104" s="206" t="str" cm="1">
        <f t="array" aca="1" ref="AQ104" ca="1" xml:space="preserve"> MID($B$99, INDIRECT( ADDRESS(ROW()-1, COLUMN()) ),1)</f>
        <v>m</v>
      </c>
      <c r="AR104" s="206" t="str" cm="1">
        <f t="array" aca="1" ref="AR104" ca="1" xml:space="preserve"> MID($B$99, INDIRECT( ADDRESS(ROW()-1, COLUMN()) ),1)</f>
        <v>p</v>
      </c>
      <c r="AS104" s="206" t="str" cm="1">
        <f t="array" aca="1" ref="AS104" ca="1" xml:space="preserve"> MID($B$99, INDIRECT( ADDRESS(ROW()-1, COLUMN()) ),1)</f>
        <v>/</v>
      </c>
      <c r="AT104" s="206" t="str" cm="1">
        <f t="array" aca="1" ref="AT104" ca="1" xml:space="preserve"> MID($B$99, INDIRECT( ADDRESS(ROW()-1, COLUMN()) ),1)</f>
        <v>K</v>
      </c>
      <c r="AU104" s="206" t="s">
        <v>214</v>
      </c>
      <c r="AV104" s="206" t="s">
        <v>215</v>
      </c>
      <c r="AW104" s="206" t="s">
        <v>11</v>
      </c>
      <c r="AX104" s="206" t="s">
        <v>216</v>
      </c>
      <c r="AY104" s="206" t="str" cm="1">
        <f t="array" aca="1" ref="AY104" ca="1" xml:space="preserve"> MID($B$99, INDIRECT( ADDRESS(ROW()-1, COLUMN()) ),1)</f>
        <v/>
      </c>
      <c r="AZ104" s="206" t="str" cm="1">
        <f t="array" aca="1" ref="AZ104" ca="1" xml:space="preserve"> MID($B$99, INDIRECT( ADDRESS(ROW()-1, COLUMN()) ),1)</f>
        <v/>
      </c>
      <c r="BA104" s="206" t="str" cm="1">
        <f t="array" aca="1" ref="BA104" ca="1" xml:space="preserve"> MID($B$99, INDIRECT( ADDRESS(ROW()-1, COLUMN()) ),1)</f>
        <v/>
      </c>
      <c r="BB104" s="206" t="str" cm="1">
        <f t="array" aca="1" ref="BB104" ca="1" xml:space="preserve"> MID($B$99, INDIRECT( ADDRESS(ROW()-1, COLUMN()) ),1)</f>
        <v/>
      </c>
      <c r="BC104" s="206" t="str" cm="1">
        <f t="array" aca="1" ref="BC104" ca="1" xml:space="preserve"> MID($B$99, INDIRECT( ADDRESS(ROW()-1, COLUMN()) ),1)</f>
        <v/>
      </c>
      <c r="BD104" s="206" t="str" cm="1">
        <f t="array" aca="1" ref="BD104" ca="1" xml:space="preserve"> MID($B$99, INDIRECT( ADDRESS(ROW()-1, COLUMN()) ),1)</f>
        <v/>
      </c>
      <c r="BE104" s="206" t="str" cm="1">
        <f t="array" aca="1" ref="BE104" ca="1" xml:space="preserve"> MID($B$99, INDIRECT( ADDRESS(ROW()-1, COLUMN()) ),1)</f>
        <v/>
      </c>
      <c r="BF104" s="206" t="str" cm="1">
        <f t="array" aca="1" ref="BF104" ca="1" xml:space="preserve"> MID($B$99, INDIRECT( ADDRESS(ROW()-1, COLUMN()) ),1)</f>
        <v/>
      </c>
      <c r="BG104" s="206" t="str" cm="1">
        <f t="array" aca="1" ref="BG104" ca="1" xml:space="preserve"> MID($B$99, INDIRECT( ADDRESS(ROW()-1, COLUMN()) ),1)</f>
        <v/>
      </c>
      <c r="BH104" s="206" t="str" cm="1">
        <f t="array" aca="1" ref="BH104" ca="1" xml:space="preserve"> MID($B$99, INDIRECT( ADDRESS(ROW()-1, COLUMN()) ),1)</f>
        <v/>
      </c>
      <c r="BI104" s="206" t="str" cm="1">
        <f t="array" aca="1" ref="BI104" ca="1" xml:space="preserve"> MID($B$99, INDIRECT( ADDRESS(ROW()-1, COLUMN()) ),1)</f>
        <v/>
      </c>
    </row>
    <row r="105" spans="2:61">
      <c r="B105" s="206" t="str" cm="1">
        <f t="array" aca="1" ref="B105" ca="1" xml:space="preserve"> MID($B$100, INDIRECT( ADDRESS(ROW()-2, COLUMN()) ),1)</f>
        <v>ㄅ</v>
      </c>
      <c r="C105" s="206" t="str" cm="1">
        <f t="array" aca="1" ref="C105" ca="1" xml:space="preserve"> MID($B$100, INDIRECT( ADDRESS(ROW()-2, COLUMN()) ),1)</f>
        <v>ㆠ</v>
      </c>
      <c r="D105" s="206" t="str" cm="1">
        <f t="array" aca="1" ref="D105" ca="1" xml:space="preserve"> MID($B$100, INDIRECT( ADDRESS(ROW()-2, COLUMN()) ),1)</f>
        <v>ㄆ</v>
      </c>
      <c r="E105" s="206" t="str" cm="1">
        <f t="array" aca="1" ref="E105" ca="1" xml:space="preserve"> MID($B$100, INDIRECT( ADDRESS(ROW()-2, COLUMN()) ),1)</f>
        <v>ㄇ</v>
      </c>
      <c r="F105" s="206" t="str" cm="1">
        <f t="array" aca="1" ref="F105" ca="1" xml:space="preserve"> MID($B$100, INDIRECT( ADDRESS(ROW()-2, COLUMN()) ),1)</f>
        <v>ㄉ</v>
      </c>
      <c r="G105" s="206" t="str" cm="1">
        <f t="array" aca="1" ref="G105" ca="1" xml:space="preserve"> MID($B$100, INDIRECT( ADDRESS(ROW()-2, COLUMN()) ),1)</f>
        <v>ㄊ</v>
      </c>
      <c r="H105" s="206" t="str" cm="1">
        <f t="array" aca="1" ref="H105" ca="1" xml:space="preserve"> MID($B$100, INDIRECT( ADDRESS(ROW()-2, COLUMN()) ),1)</f>
        <v>ㄋ</v>
      </c>
      <c r="I105" s="206" t="str" cm="1">
        <f t="array" aca="1" ref="I105" ca="1" xml:space="preserve"> MID($B$100, INDIRECT( ADDRESS(ROW()-2, COLUMN()) ),1)</f>
        <v>ㄌ</v>
      </c>
      <c r="J105" s="206" t="str" cm="1">
        <f t="array" aca="1" ref="J105" ca="1" xml:space="preserve"> MID($B$100, INDIRECT( ADDRESS(ROW()-2, COLUMN()) ),1)</f>
        <v>ㄍ</v>
      </c>
      <c r="K105" s="206" t="str" cm="1">
        <f t="array" aca="1" ref="K105" ca="1" xml:space="preserve"> MID($B$100, INDIRECT( ADDRESS(ROW()-2, COLUMN()) ),1)</f>
        <v>ㆣ</v>
      </c>
      <c r="L105" s="206" t="str" cm="1">
        <f t="array" aca="1" ref="L105" ca="1" xml:space="preserve"> MID($B$100, INDIRECT( ADDRESS(ROW()-2, COLUMN()) ),1)</f>
        <v>ㄎ</v>
      </c>
      <c r="M105" s="206" t="str" cm="1">
        <f t="array" aca="1" ref="M105" ca="1" xml:space="preserve"> MID($B$100, INDIRECT( ADDRESS(ROW()-2, COLUMN()) ),1)</f>
        <v>ㄫ</v>
      </c>
      <c r="N105" s="206" t="str" cm="1">
        <f t="array" aca="1" ref="N105" ca="1" xml:space="preserve"> MID($B$100, INDIRECT( ADDRESS(ROW()-2, COLUMN()) ),1)</f>
        <v>ㄏ</v>
      </c>
      <c r="O105" s="206" t="str" cm="1">
        <f t="array" aca="1" ref="O105" ca="1" xml:space="preserve"> MID($B$100, INDIRECT( ADDRESS(ROW()-2, COLUMN()) ),1)</f>
        <v>ㄐ</v>
      </c>
      <c r="P105" s="206" t="str" cm="1">
        <f t="array" aca="1" ref="P105" ca="1" xml:space="preserve"> MID($B$100, INDIRECT( ADDRESS(ROW()-2, COLUMN()) ),1)</f>
        <v>ㆢ</v>
      </c>
      <c r="Q105" s="206" t="str" cm="1">
        <f t="array" aca="1" ref="Q105" ca="1" xml:space="preserve"> MID($B$100, INDIRECT( ADDRESS(ROW()-2, COLUMN()) ),1)</f>
        <v>ㄑ</v>
      </c>
      <c r="R105" s="206" t="str" cm="1">
        <f t="array" aca="1" ref="R105" ca="1" xml:space="preserve"> MID($B$100, INDIRECT( ADDRESS(ROW()-2, COLUMN()) ),1)</f>
        <v>ㄒ</v>
      </c>
      <c r="S105" s="206" t="str" cm="1">
        <f t="array" aca="1" ref="S105" ca="1" xml:space="preserve"> MID($B$100, INDIRECT( ADDRESS(ROW()-2, COLUMN()) ),1)</f>
        <v>ㄗ</v>
      </c>
      <c r="T105" s="206" t="str" cm="1">
        <f t="array" aca="1" ref="T105" ca="1" xml:space="preserve"> MID($B$100, INDIRECT( ADDRESS(ROW()-2, COLUMN()) ),1)</f>
        <v>ㆡ</v>
      </c>
      <c r="U105" s="206" t="str" cm="1">
        <f t="array" aca="1" ref="U105" ca="1" xml:space="preserve"> MID($B$100, INDIRECT( ADDRESS(ROW()-2, COLUMN()) ),1)</f>
        <v>ㄘ</v>
      </c>
      <c r="V105" s="206" t="str" cm="1">
        <f t="array" aca="1" ref="V105" ca="1" xml:space="preserve"> MID($B$100, INDIRECT( ADDRESS(ROW()-2, COLUMN()) ),1)</f>
        <v>ㄙ</v>
      </c>
      <c r="W105" s="206" t="str" cm="1">
        <f t="array" aca="1" ref="W105" ca="1" xml:space="preserve"> MID($B$100, INDIRECT( ADDRESS(ROW()-2, COLUMN()) ),1)</f>
        <v>ㄧ</v>
      </c>
      <c r="X105" s="206" t="str" cm="1">
        <f t="array" aca="1" ref="X105" ca="1" xml:space="preserve"> MID($B$100, INDIRECT( ADDRESS(ROW()-2, COLUMN()) ),1)</f>
        <v>ㆪ</v>
      </c>
      <c r="Y105" s="206" t="str" cm="1">
        <f t="array" aca="1" ref="Y105" ca="1" xml:space="preserve"> MID($B$100, INDIRECT( ADDRESS(ROW()-2, COLUMN()) ),1)</f>
        <v>ㄨ</v>
      </c>
      <c r="Z105" s="206" t="str" cm="1">
        <f t="array" aca="1" ref="Z105" ca="1" xml:space="preserve"> MID($B$100, INDIRECT( ADDRESS(ROW()-2, COLUMN()) ),1)</f>
        <v>ㆫ</v>
      </c>
      <c r="AA105" s="206" t="str" cm="1">
        <f t="array" aca="1" ref="AA105" ca="1" xml:space="preserve"> MID($B$100, INDIRECT( ADDRESS(ROW()-2, COLUMN()) ),1)</f>
        <v>ㄚ</v>
      </c>
      <c r="AB105" s="206" t="str" cm="1">
        <f t="array" aca="1" ref="AB105" ca="1" xml:space="preserve"> MID($B$100, INDIRECT( ADDRESS(ROW()-2, COLUMN()) ),1)</f>
        <v>ㆩ</v>
      </c>
      <c r="AC105" s="206" t="str" cm="1">
        <f t="array" aca="1" ref="AC105" ca="1" xml:space="preserve"> MID($B$100, INDIRECT( ADDRESS(ROW()-2, COLUMN()) ),1)</f>
        <v>ㆦ</v>
      </c>
      <c r="AD105" s="206" t="str" cm="1">
        <f t="array" aca="1" ref="AD105" ca="1" xml:space="preserve"> MID($B$100, INDIRECT( ADDRESS(ROW()-2, COLUMN()) ),1)</f>
        <v>ㆧ</v>
      </c>
      <c r="AE105" s="206" t="str" cm="1">
        <f t="array" aca="1" ref="AE105" ca="1" xml:space="preserve"> MID($B$100, INDIRECT( ADDRESS(ROW()-2, COLUMN()) ),1)</f>
        <v>ㄜ</v>
      </c>
      <c r="AF105" s="206" t="str" cm="1">
        <f t="array" aca="1" ref="AF105" ca="1" xml:space="preserve"> MID($B$100, INDIRECT( ADDRESS(ROW()-2, COLUMN()) ),1)</f>
        <v>ㆤ</v>
      </c>
      <c r="AG105" s="206" t="str" cm="1">
        <f t="array" aca="1" ref="AG105" ca="1" xml:space="preserve"> MID($B$100, INDIRECT( ADDRESS(ROW()-2, COLUMN()) ),1)</f>
        <v>ㆥ</v>
      </c>
      <c r="AH105" s="206" t="str" cm="1">
        <f t="array" aca="1" ref="AH105" ca="1" xml:space="preserve"> MID($B$100, INDIRECT( ADDRESS(ROW()-2, COLUMN()) ),1)</f>
        <v>ㄞ</v>
      </c>
      <c r="AI105" s="206" t="str" cm="1">
        <f t="array" aca="1" ref="AI105" ca="1" xml:space="preserve"> MID($B$100, INDIRECT( ADDRESS(ROW()-2, COLUMN()) ),1)</f>
        <v>ㆮ</v>
      </c>
      <c r="AJ105" s="206" t="str" cm="1">
        <f t="array" aca="1" ref="AJ105" ca="1" xml:space="preserve"> MID($B$100, INDIRECT( ADDRESS(ROW()-2, COLUMN()) ),1)</f>
        <v>ㄠ</v>
      </c>
      <c r="AK105" s="206" t="str" cm="1">
        <f t="array" aca="1" ref="AK105" ca="1" xml:space="preserve"> MID($B$100, INDIRECT( ADDRESS(ROW()-2, COLUMN()) ),1)</f>
        <v>ㆯ</v>
      </c>
      <c r="AL105" s="206" t="str" cm="1">
        <f t="array" aca="1" ref="AL105" ca="1" xml:space="preserve"> MID($B$100, INDIRECT( ADDRESS(ROW()-2, COLUMN()) ),1)</f>
        <v>ㄤ</v>
      </c>
      <c r="AM105" s="206" t="str" cm="1">
        <f t="array" aca="1" ref="AM105" ca="1" xml:space="preserve"> MID($B$100, INDIRECT( ADDRESS(ROW()-2, COLUMN()) ),1)</f>
        <v>ㆲ</v>
      </c>
      <c r="AN105" s="206" t="str" cm="1">
        <f t="array" aca="1" ref="AN105" ca="1" xml:space="preserve"> MID($B$100, INDIRECT( ADDRESS(ROW()-2, COLUMN()) ),1)</f>
        <v>ㆰ</v>
      </c>
      <c r="AO105" s="206" t="str" cm="1">
        <f t="array" aca="1" ref="AO105" ca="1" xml:space="preserve"> MID($B$100, INDIRECT( ADDRESS(ROW()-2, COLUMN()) ),1)</f>
        <v>ㆱ</v>
      </c>
      <c r="AP105" s="206" t="str" cm="1">
        <f t="array" aca="1" ref="AP105" ca="1" xml:space="preserve"> MID($B$100, INDIRECT( ADDRESS(ROW()-2, COLUMN()) ),1)</f>
        <v>ㄢ</v>
      </c>
      <c r="AQ105" s="206" t="str" cm="1">
        <f t="array" aca="1" ref="AQ105" ca="1" xml:space="preserve"> MID($B$100, INDIRECT( ADDRESS(ROW()-2, COLUMN()) ),1)</f>
        <v>ㆬ</v>
      </c>
      <c r="AR105" s="206" t="str" cm="1">
        <f t="array" aca="1" ref="AR105" ca="1" xml:space="preserve"> MID($B$100, INDIRECT( ADDRESS(ROW()-2, COLUMN()) ),1)</f>
        <v>ㄣ</v>
      </c>
      <c r="AS105" s="206" t="str" cm="1">
        <f t="array" aca="1" ref="AS105" ca="1" xml:space="preserve"> MID($B$100, INDIRECT( ADDRESS(ROW()-2, COLUMN()) ),1)</f>
        <v>ㆭ</v>
      </c>
      <c r="AT105" s="206" t="str" cm="1">
        <f t="array" aca="1" ref="AT105" ca="1" xml:space="preserve"> MID($B$100, INDIRECT( ADDRESS(ROW()-2, COLUMN()) ),1)</f>
        <v>ㆨ</v>
      </c>
      <c r="AU105" s="206" t="str" cm="1">
        <f t="array" aca="1" ref="AU105" ca="1" xml:space="preserve"> MID($B$100, INDIRECT( ADDRESS(ROW()-2, COLUMN()) ),1)</f>
        <v>ㆴ</v>
      </c>
      <c r="AV105" s="206" t="str" cm="1">
        <f t="array" aca="1" ref="AV105" ca="1" xml:space="preserve"> MID($B$100, INDIRECT( ADDRESS(ROW()-2, COLUMN()) ),1)</f>
        <v>ㆵ</v>
      </c>
      <c r="AW105" s="206" t="str" cm="1">
        <f t="array" aca="1" ref="AW105" ca="1" xml:space="preserve"> MID($B$100, INDIRECT( ADDRESS(ROW()-2, COLUMN()) ),1)</f>
        <v>ㆻ</v>
      </c>
      <c r="AX105" s="206" t="str" cm="1">
        <f t="array" aca="1" ref="AX105" ca="1" xml:space="preserve"> MID($B$100, INDIRECT( ADDRESS(ROW()-2, COLUMN()) ),1)</f>
        <v>ㆷ</v>
      </c>
      <c r="AY105" s="206" t="str" cm="1">
        <f t="array" aca="1" ref="AY105" ca="1" xml:space="preserve"> MID($B$100, INDIRECT( ADDRESS(ROW()-2, COLUMN()) ),1)</f>
        <v/>
      </c>
      <c r="AZ105" s="206" t="str" cm="1">
        <f t="array" aca="1" ref="AZ105" ca="1" xml:space="preserve"> MID($B$100, INDIRECT( ADDRESS(ROW()-2, COLUMN()) ),1)</f>
        <v/>
      </c>
      <c r="BA105" s="206" t="str" cm="1">
        <f t="array" aca="1" ref="BA105" ca="1" xml:space="preserve"> MID($B$100, INDIRECT( ADDRESS(ROW()-2, COLUMN()) ),1)</f>
        <v/>
      </c>
      <c r="BB105" s="206" t="str" cm="1">
        <f t="array" aca="1" ref="BB105" ca="1" xml:space="preserve"> MID($B$100, INDIRECT( ADDRESS(ROW()-2, COLUMN()) ),1)</f>
        <v/>
      </c>
      <c r="BC105" s="206" t="str" cm="1">
        <f t="array" aca="1" ref="BC105" ca="1" xml:space="preserve"> MID($B$100, INDIRECT( ADDRESS(ROW()-2, COLUMN()) ),1)</f>
        <v/>
      </c>
      <c r="BD105" s="206" t="str" cm="1">
        <f t="array" aca="1" ref="BD105" ca="1" xml:space="preserve"> MID($B$100, INDIRECT( ADDRESS(ROW()-2, COLUMN()) ),1)</f>
        <v/>
      </c>
      <c r="BE105" s="206" t="str" cm="1">
        <f t="array" aca="1" ref="BE105" ca="1" xml:space="preserve"> MID($B$100, INDIRECT( ADDRESS(ROW()-2, COLUMN()) ),1)</f>
        <v/>
      </c>
      <c r="BF105" s="206" t="str" cm="1">
        <f t="array" aca="1" ref="BF105" ca="1" xml:space="preserve"> MID($B$100, INDIRECT( ADDRESS(ROW()-2, COLUMN()) ),1)</f>
        <v/>
      </c>
      <c r="BG105" s="206" t="str" cm="1">
        <f t="array" aca="1" ref="BG105" ca="1" xml:space="preserve"> MID($B$100, INDIRECT( ADDRESS(ROW()-2, COLUMN()) ),1)</f>
        <v/>
      </c>
      <c r="BH105" s="206" t="str" cm="1">
        <f t="array" aca="1" ref="BH105" ca="1" xml:space="preserve"> MID($B$100, INDIRECT( ADDRESS(ROW()-2, COLUMN()) ),1)</f>
        <v/>
      </c>
      <c r="BI105" s="206" t="str" cm="1">
        <f t="array" aca="1" ref="BI105" ca="1" xml:space="preserve"> MID($B$100, INDIRECT( ADDRESS(ROW()-2, COLUMN()) ),1)</f>
        <v/>
      </c>
    </row>
    <row r="106" spans="2:61">
      <c r="B106" s="201" t="s">
        <v>222</v>
      </c>
      <c r="C106" s="201" t="s">
        <v>222</v>
      </c>
      <c r="D106" s="201" t="s">
        <v>222</v>
      </c>
      <c r="E106" s="201" t="s">
        <v>222</v>
      </c>
      <c r="F106" s="201" t="s">
        <v>222</v>
      </c>
      <c r="G106" s="201" t="s">
        <v>222</v>
      </c>
      <c r="H106" s="201" t="s">
        <v>222</v>
      </c>
      <c r="I106" s="201" t="s">
        <v>222</v>
      </c>
      <c r="J106" s="201" t="s">
        <v>222</v>
      </c>
      <c r="K106" s="201" t="s">
        <v>222</v>
      </c>
      <c r="L106" s="201" t="s">
        <v>222</v>
      </c>
      <c r="M106" s="201" t="s">
        <v>222</v>
      </c>
      <c r="N106" s="201" t="s">
        <v>222</v>
      </c>
      <c r="O106" s="201" t="s">
        <v>222</v>
      </c>
      <c r="P106" s="201" t="s">
        <v>222</v>
      </c>
      <c r="Q106" s="201" t="s">
        <v>222</v>
      </c>
      <c r="R106" s="201" t="s">
        <v>222</v>
      </c>
      <c r="S106" s="201" t="s">
        <v>222</v>
      </c>
      <c r="T106" s="201" t="s">
        <v>222</v>
      </c>
      <c r="U106" s="201" t="s">
        <v>222</v>
      </c>
      <c r="V106" s="201" t="s">
        <v>222</v>
      </c>
      <c r="W106" s="201" t="s">
        <v>222</v>
      </c>
      <c r="X106" s="201" t="s">
        <v>222</v>
      </c>
      <c r="Y106" s="201" t="s">
        <v>222</v>
      </c>
      <c r="Z106" s="201" t="s">
        <v>222</v>
      </c>
      <c r="AA106" s="201" t="s">
        <v>222</v>
      </c>
      <c r="AB106" s="201" t="s">
        <v>222</v>
      </c>
      <c r="AC106" s="201" t="s">
        <v>222</v>
      </c>
      <c r="AD106" s="201" t="s">
        <v>222</v>
      </c>
      <c r="AE106" s="201" t="s">
        <v>222</v>
      </c>
      <c r="AF106" s="201" t="s">
        <v>222</v>
      </c>
      <c r="AG106" s="201" t="s">
        <v>222</v>
      </c>
      <c r="AH106" s="202" t="s">
        <v>222</v>
      </c>
      <c r="AI106" s="202" t="s">
        <v>222</v>
      </c>
      <c r="AJ106" s="202" t="s">
        <v>222</v>
      </c>
      <c r="AK106" s="202" t="s">
        <v>222</v>
      </c>
      <c r="AL106" s="203" t="s">
        <v>222</v>
      </c>
      <c r="AM106" s="202" t="s">
        <v>222</v>
      </c>
      <c r="AN106" s="202" t="s">
        <v>222</v>
      </c>
      <c r="AO106" s="202" t="s">
        <v>222</v>
      </c>
      <c r="AP106" s="202" t="s">
        <v>222</v>
      </c>
      <c r="AQ106" s="202" t="s">
        <v>222</v>
      </c>
      <c r="AR106" s="202" t="s">
        <v>222</v>
      </c>
      <c r="AS106" s="202" t="s">
        <v>222</v>
      </c>
      <c r="AT106" s="202" t="s">
        <v>222</v>
      </c>
      <c r="AU106" s="202" t="s">
        <v>222</v>
      </c>
      <c r="AV106" s="202" t="s">
        <v>222</v>
      </c>
      <c r="AW106" s="202" t="s">
        <v>222</v>
      </c>
      <c r="AX106" s="202" t="s">
        <v>222</v>
      </c>
      <c r="AY106" s="202" t="s">
        <v>222</v>
      </c>
      <c r="AZ106" s="202" t="s">
        <v>222</v>
      </c>
      <c r="BA106" s="202" t="s">
        <v>222</v>
      </c>
      <c r="BB106" s="202" t="s">
        <v>222</v>
      </c>
      <c r="BC106" s="202" t="s">
        <v>222</v>
      </c>
      <c r="BD106" s="202" t="s">
        <v>222</v>
      </c>
      <c r="BE106" s="202" t="s">
        <v>222</v>
      </c>
      <c r="BF106" s="202" t="s">
        <v>222</v>
      </c>
      <c r="BG106" s="202" t="s">
        <v>222</v>
      </c>
      <c r="BH106" s="202" t="s">
        <v>222</v>
      </c>
      <c r="BI106" s="202" t="s">
        <v>222</v>
      </c>
    </row>
    <row r="107" spans="2:61">
      <c r="B107" s="163"/>
    </row>
    <row r="108" spans="2:61" ht="39">
      <c r="B108" s="207" t="str" cm="1">
        <f t="array" aca="1" ref="B108" ca="1" xml:space="preserve"> INDIRECT( ADDRESS(ROW()-4, COLUMN()) )</f>
        <v>1</v>
      </c>
      <c r="C108" s="207" t="str" cm="1">
        <f t="array" aca="1" ref="C108" ca="1" xml:space="preserve"> INDIRECT( ADDRESS(ROW()-4, COLUMN()) )</f>
        <v>!</v>
      </c>
      <c r="D108" s="207" t="str" cm="1">
        <f t="array" aca="1" ref="D108" ca="1" xml:space="preserve"> INDIRECT( ADDRESS(ROW()-4, COLUMN()) )</f>
        <v>q</v>
      </c>
      <c r="E108" s="207" t="str" cm="1">
        <f t="array" aca="1" ref="E108" ca="1" xml:space="preserve"> INDIRECT( ADDRESS(ROW()-4, COLUMN()) )</f>
        <v>a</v>
      </c>
      <c r="F108" s="207" t="str" cm="1">
        <f t="array" aca="1" ref="F108" ca="1" xml:space="preserve"> INDIRECT( ADDRESS(ROW()-4, COLUMN()) )</f>
        <v>2</v>
      </c>
      <c r="G108" s="207" t="str" cm="1">
        <f t="array" aca="1" ref="G108" ca="1" xml:space="preserve"> INDIRECT( ADDRESS(ROW()-4, COLUMN()) )</f>
        <v>w</v>
      </c>
      <c r="H108" s="207" t="str" cm="1">
        <f t="array" aca="1" ref="H108" ca="1" xml:space="preserve"> INDIRECT( ADDRESS(ROW()-4, COLUMN()) )</f>
        <v>s</v>
      </c>
      <c r="I108" s="207" t="str" cm="1">
        <f t="array" aca="1" ref="I108" ca="1" xml:space="preserve"> INDIRECT( ADDRESS(ROW()-4, COLUMN()) )</f>
        <v>x</v>
      </c>
      <c r="J108" s="207" t="str" cm="1">
        <f t="array" aca="1" ref="J108" ca="1" xml:space="preserve"> INDIRECT( ADDRESS(ROW()-4, COLUMN()) )</f>
        <v>e</v>
      </c>
      <c r="K108" s="207" t="str" cm="1">
        <f t="array" aca="1" ref="K108" ca="1" xml:space="preserve"> INDIRECT( ADDRESS(ROW()-4, COLUMN()) )</f>
        <v>E</v>
      </c>
      <c r="L108" s="207" t="str" cm="1">
        <f t="array" aca="1" ref="L108" ca="1" xml:space="preserve"> INDIRECT( ADDRESS(ROW()-4, COLUMN()) )</f>
        <v>d</v>
      </c>
      <c r="M108" s="207" t="str" cm="1">
        <f t="array" aca="1" ref="M108" ca="1" xml:space="preserve"> INDIRECT( ADDRESS(ROW()-4, COLUMN()) )</f>
        <v>G</v>
      </c>
      <c r="N108" s="207" t="str" cm="1">
        <f t="array" aca="1" ref="N108" ca="1" xml:space="preserve"> INDIRECT( ADDRESS(ROW()-4, COLUMN()) )</f>
        <v>c</v>
      </c>
      <c r="O108" s="207" t="str" cm="1">
        <f t="array" aca="1" ref="O108" ca="1" xml:space="preserve"> INDIRECT( ADDRESS(ROW()-4, COLUMN()) )</f>
        <v>r</v>
      </c>
      <c r="P108" s="207" t="str" cm="1">
        <f t="array" aca="1" ref="P108" ca="1" xml:space="preserve"> INDIRECT( ADDRESS(ROW()-4, COLUMN()) )</f>
        <v>R</v>
      </c>
      <c r="Q108" s="207" t="str" cm="1">
        <f t="array" aca="1" ref="Q108" ca="1" xml:space="preserve"> INDIRECT( ADDRESS(ROW()-4, COLUMN()) )</f>
        <v>f</v>
      </c>
      <c r="R108" s="207" t="str" cm="1">
        <f t="array" aca="1" ref="R108" ca="1" xml:space="preserve"> INDIRECT( ADDRESS(ROW()-4, COLUMN()) )</f>
        <v>v</v>
      </c>
      <c r="S108" s="207" t="str" cm="1">
        <f t="array" aca="1" ref="S108" ca="1" xml:space="preserve"> INDIRECT( ADDRESS(ROW()-4, COLUMN()) )</f>
        <v>y</v>
      </c>
      <c r="T108" s="207" t="str" cm="1">
        <f t="array" aca="1" ref="T108" ca="1" xml:space="preserve"> INDIRECT( ADDRESS(ROW()-4, COLUMN()) )</f>
        <v>Y</v>
      </c>
      <c r="U108" s="207" t="str" cm="1">
        <f t="array" aca="1" ref="U108" ca="1" xml:space="preserve"> INDIRECT( ADDRESS(ROW()-4, COLUMN()) )</f>
        <v>h</v>
      </c>
      <c r="V108" s="207" t="str" cm="1">
        <f t="array" aca="1" ref="V108" ca="1" xml:space="preserve"> INDIRECT( ADDRESS(ROW()-4, COLUMN()) )</f>
        <v>n</v>
      </c>
      <c r="W108" s="207" t="str" cm="1">
        <f t="array" aca="1" ref="W108" ca="1" xml:space="preserve"> INDIRECT( ADDRESS(ROW()-4, COLUMN()) )</f>
        <v>u</v>
      </c>
      <c r="X108" s="207" t="str" cm="1">
        <f t="array" aca="1" ref="X108" ca="1" xml:space="preserve"> INDIRECT( ADDRESS(ROW()-4, COLUMN()) )</f>
        <v>U</v>
      </c>
      <c r="Y108" s="207" t="str" cm="1">
        <f t="array" aca="1" ref="Y108" ca="1" xml:space="preserve"> INDIRECT( ADDRESS(ROW()-4, COLUMN()) )</f>
        <v>j</v>
      </c>
      <c r="Z108" s="207" t="str" cm="1">
        <f t="array" aca="1" ref="Z108" ca="1" xml:space="preserve"> INDIRECT( ADDRESS(ROW()-4, COLUMN()) )</f>
        <v>J</v>
      </c>
      <c r="AA108" s="207" t="str" cm="1">
        <f t="array" aca="1" ref="AA108" ca="1" xml:space="preserve"> INDIRECT( ADDRESS(ROW()-4, COLUMN()) )</f>
        <v>8</v>
      </c>
      <c r="AB108" s="207" t="str" cm="1">
        <f t="array" aca="1" ref="AB108" ca="1" xml:space="preserve"> INDIRECT( ADDRESS(ROW()-4, COLUMN()) )</f>
        <v>*</v>
      </c>
      <c r="AC108" s="207" t="str" cm="1">
        <f t="array" aca="1" ref="AC108" ca="1" xml:space="preserve"> INDIRECT( ADDRESS(ROW()-4, COLUMN()) )</f>
        <v>i</v>
      </c>
      <c r="AD108" s="207" t="str" cm="1">
        <f t="array" aca="1" ref="AD108" ca="1" xml:space="preserve"> INDIRECT( ADDRESS(ROW()-4, COLUMN()) )</f>
        <v>I</v>
      </c>
      <c r="AE108" s="207" t="str" cm="1">
        <f t="array" aca="1" ref="AE108" ca="1" xml:space="preserve"> INDIRECT( ADDRESS(ROW()-4, COLUMN()) )</f>
        <v>k</v>
      </c>
      <c r="AF108" s="207" t="str" cm="1">
        <f t="array" aca="1" ref="AF108" ca="1" xml:space="preserve"> INDIRECT( ADDRESS(ROW()-4, COLUMN()) )</f>
        <v>,</v>
      </c>
      <c r="AG108" s="207" t="str" cm="1">
        <f t="array" aca="1" ref="AG108" ca="1" xml:space="preserve"> INDIRECT( ADDRESS(ROW()-4, COLUMN()) )</f>
        <v>&lt;</v>
      </c>
      <c r="AH108" s="207" t="str" cm="1">
        <f t="array" aca="1" ref="AH108" ca="1" xml:space="preserve"> INDIRECT( ADDRESS(ROW()-4, COLUMN()) )</f>
        <v>9</v>
      </c>
      <c r="AI108" s="207" t="str" cm="1">
        <f t="array" aca="1" ref="AI108" ca="1" xml:space="preserve"> INDIRECT( ADDRESS(ROW()-4, COLUMN()) )</f>
        <v>(</v>
      </c>
      <c r="AJ108" s="207" t="str" cm="1">
        <f t="array" aca="1" ref="AJ108" ca="1" xml:space="preserve"> INDIRECT( ADDRESS(ROW()-4, COLUMN()) )</f>
        <v>l</v>
      </c>
      <c r="AK108" s="207" t="str" cm="1">
        <f t="array" aca="1" ref="AK108" ca="1" xml:space="preserve"> INDIRECT( ADDRESS(ROW()-4, COLUMN()) )</f>
        <v>L</v>
      </c>
      <c r="AL108" s="207" t="str" cm="1">
        <f t="array" aca="1" ref="AL108" ca="1" xml:space="preserve"> INDIRECT( ADDRESS(ROW()-4, COLUMN()) )</f>
        <v>;</v>
      </c>
      <c r="AM108" s="207" t="str" cm="1">
        <f t="array" aca="1" ref="AM108" ca="1" xml:space="preserve"> INDIRECT( ADDRESS(ROW()-4, COLUMN()) )</f>
        <v>o</v>
      </c>
      <c r="AN108" s="207" t="str" cm="1">
        <f t="array" aca="1" ref="AN108" ca="1" xml:space="preserve"> INDIRECT( ADDRESS(ROW()-4, COLUMN()) )</f>
        <v>M</v>
      </c>
      <c r="AO108" s="207" t="str" cm="1">
        <f t="array" aca="1" ref="AO108" ca="1" xml:space="preserve"> INDIRECT( ADDRESS(ROW()-4, COLUMN()) )</f>
        <v>O</v>
      </c>
      <c r="AP108" s="207" t="str" cm="1">
        <f t="array" aca="1" ref="AP108" ca="1" xml:space="preserve"> INDIRECT( ADDRESS(ROW()-4, COLUMN()) )</f>
        <v>0</v>
      </c>
      <c r="AQ108" s="207" t="str" cm="1">
        <f t="array" aca="1" ref="AQ108" ca="1" xml:space="preserve"> INDIRECT( ADDRESS(ROW()-4, COLUMN()) )</f>
        <v>m</v>
      </c>
      <c r="AR108" s="207" t="str" cm="1">
        <f t="array" aca="1" ref="AR108" ca="1" xml:space="preserve"> INDIRECT( ADDRESS(ROW()-4, COLUMN()) )</f>
        <v>p</v>
      </c>
      <c r="AS108" s="207" t="str" cm="1">
        <f t="array" aca="1" ref="AS108" ca="1" xml:space="preserve"> INDIRECT( ADDRESS(ROW()-4, COLUMN()) )</f>
        <v>/</v>
      </c>
      <c r="AT108" s="207" t="str" cm="1">
        <f t="array" aca="1" ref="AT108" ca="1" xml:space="preserve"> INDIRECT( ADDRESS(ROW()-4, COLUMN()) )</f>
        <v>K</v>
      </c>
      <c r="AU108" s="207" t="str" cm="1">
        <f t="array" aca="1" ref="AU108" ca="1" xml:space="preserve"> INDIRECT( ADDRESS(ROW()-4, COLUMN()) )</f>
        <v>R</v>
      </c>
      <c r="AV108" s="207" t="str" cm="1">
        <f t="array" aca="1" ref="AV108" ca="1" xml:space="preserve"> INDIRECT( ADDRESS(ROW()-4, COLUMN()) )</f>
        <v>F</v>
      </c>
      <c r="AW108" s="207" t="str" cm="1">
        <f t="array" aca="1" ref="AW108" ca="1" xml:space="preserve"> INDIRECT( ADDRESS(ROW()-4, COLUMN()) )</f>
        <v>Q</v>
      </c>
      <c r="AX108" s="207" t="str" cm="1">
        <f t="array" aca="1" ref="AX108" ca="1" xml:space="preserve"> INDIRECT( ADDRESS(ROW()-4, COLUMN()) )</f>
        <v>V</v>
      </c>
      <c r="AY108" s="207" t="str" cm="1">
        <f t="array" aca="1" ref="AY108" ca="1" xml:space="preserve"> INDIRECT( ADDRESS(ROW()-4, COLUMN()) )</f>
        <v/>
      </c>
      <c r="AZ108" s="207" t="str" cm="1">
        <f t="array" aca="1" ref="AZ108" ca="1" xml:space="preserve"> INDIRECT( ADDRESS(ROW()-4, COLUMN()) )</f>
        <v/>
      </c>
      <c r="BA108" s="207" t="str" cm="1">
        <f t="array" aca="1" ref="BA108" ca="1" xml:space="preserve"> INDIRECT( ADDRESS(ROW()-4, COLUMN()) )</f>
        <v/>
      </c>
      <c r="BB108" s="207" t="str" cm="1">
        <f t="array" aca="1" ref="BB108" ca="1" xml:space="preserve"> INDIRECT( ADDRESS(ROW()-4, COLUMN()) )</f>
        <v/>
      </c>
      <c r="BC108" s="207" t="str" cm="1">
        <f t="array" aca="1" ref="BC108" ca="1" xml:space="preserve"> INDIRECT( ADDRESS(ROW()-4, COLUMN()) )</f>
        <v/>
      </c>
      <c r="BD108" s="207" t="str" cm="1">
        <f t="array" aca="1" ref="BD108" ca="1" xml:space="preserve"> INDIRECT( ADDRESS(ROW()-4, COLUMN()) )</f>
        <v/>
      </c>
      <c r="BE108" s="207" t="str" cm="1">
        <f t="array" aca="1" ref="BE108" ca="1" xml:space="preserve"> INDIRECT( ADDRESS(ROW()-4, COLUMN()) )</f>
        <v/>
      </c>
      <c r="BF108" s="207" t="str" cm="1">
        <f t="array" aca="1" ref="BF108" ca="1" xml:space="preserve"> INDIRECT( ADDRESS(ROW()-4, COLUMN()) )</f>
        <v/>
      </c>
      <c r="BG108" s="207" t="str" cm="1">
        <f t="array" aca="1" ref="BG108" ca="1" xml:space="preserve"> INDIRECT( ADDRESS(ROW()-4, COLUMN()) )</f>
        <v/>
      </c>
      <c r="BH108" s="207" t="str" cm="1">
        <f t="array" aca="1" ref="BH108" ca="1" xml:space="preserve"> INDIRECT( ADDRESS(ROW()-4, COLUMN()) )</f>
        <v/>
      </c>
      <c r="BI108" s="207" t="str" cm="1">
        <f t="array" aca="1" ref="BI108" ca="1" xml:space="preserve"> INDIRECT( ADDRESS(ROW()-4, COLUMN()) )</f>
        <v/>
      </c>
    </row>
    <row r="110" spans="2:61" ht="39">
      <c r="B110" s="205" t="str">
        <f ca="1">_xlfn.CONCAT(B104:AX104)</f>
        <v>1!qa2wsxeEdGcrRfvyYhnuUjJ8*iIk,&lt;9(lL;oMO0mp/KRFQV</v>
      </c>
    </row>
    <row r="111" spans="2:61" ht="39">
      <c r="B111" s="205" t="str">
        <f ca="1">_xlfn.CONCAT(B105:AX105)</f>
        <v>ㄅㆠㄆㄇㄉㄊㄋㄌㄍㆣㄎㄫㄏㄐㆢㄑㄒㄗㆡㄘㄙㄧㆪㄨㆫㄚㆩㆦㆧㄜㆤㆥㄞㆮㄠㆯㄤㆲㆰㆱㄢㆬㄣㆭㆨㆴㆵㆻㆷ</v>
      </c>
    </row>
    <row r="114" spans="2:2" ht="39">
      <c r="B114" s="208" t="str">
        <f ca="1" xml:space="preserve"> _xlfn.CONCAT("    - xlit|", B108:AX108, "|", B105:AX105,"|")</f>
        <v xml:space="preserve">    - xlit|1!qa2wsxeEdGcrRfvyYhnuUjJ8*iIk,&lt;9(lL;oMO0mp/KRFQV|ㄅㆠㄆㄇㄉㄊㄋㄌㄍㆣㄎㄫㄏㄐㆢㄑㄒㄗㆡㄘㄙㄧㆪㄨㆫㄚㆩㆦㆧㄜㆤㆥㄞㆮㄠㆯㄤㆲㆰㆱㄢㆬㄣㆭㆨㆴㆵㆻㆷ|</v>
      </c>
    </row>
  </sheetData>
  <mergeCells count="10">
    <mergeCell ref="AA3:AB3"/>
    <mergeCell ref="X3:Y3"/>
    <mergeCell ref="V6:W6"/>
    <mergeCell ref="W9:X9"/>
    <mergeCell ref="AA12:AB12"/>
    <mergeCell ref="X12:Y12"/>
    <mergeCell ref="AB6:AC6"/>
    <mergeCell ref="AC9:AD9"/>
    <mergeCell ref="Z9:AA9"/>
    <mergeCell ref="Y6:Z6"/>
  </mergeCells>
  <phoneticPr fontId="4" type="noConversion"/>
  <conditionalFormatting sqref="B22:AA22">
    <cfRule type="expression" dxfId="7" priority="2">
      <formula xml:space="preserve"> NOT( ISNUMBER(B23))</formula>
    </cfRule>
  </conditionalFormatting>
  <conditionalFormatting sqref="B23:AA23">
    <cfRule type="expression" dxfId="6" priority="4">
      <formula>NOT(ISNUMBER(B23))</formula>
    </cfRule>
  </conditionalFormatting>
  <conditionalFormatting sqref="AL22:BK22">
    <cfRule type="expression" dxfId="5" priority="1">
      <formula xml:space="preserve"> NOT( ISNUMBER(AL23))</formula>
    </cfRule>
  </conditionalFormatting>
  <conditionalFormatting sqref="AL23:BK23">
    <cfRule type="expression" dxfId="4" priority="3">
      <formula>NOT(ISNUMBER(AL23))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8527-94DC-4FED-8C0E-3D91F976F89A}">
  <dimension ref="A1:CH62"/>
  <sheetViews>
    <sheetView zoomScale="70" zoomScaleNormal="70" workbookViewId="0">
      <selection activeCell="AG41" sqref="AG41"/>
    </sheetView>
  </sheetViews>
  <sheetFormatPr defaultRowHeight="25.5" outlineLevelRow="1"/>
  <cols>
    <col min="1" max="1" width="12.3984375" style="1" customWidth="1"/>
    <col min="2" max="2" width="6" style="1" customWidth="1"/>
    <col min="3" max="62" width="3.69921875" style="1" customWidth="1"/>
    <col min="63" max="63" width="8.796875" style="1"/>
    <col min="64" max="64" width="8.796875" style="237"/>
    <col min="65" max="68" width="10.3984375" style="237" customWidth="1"/>
    <col min="69" max="69" width="8.796875" style="237"/>
    <col min="70" max="70" width="6.5" style="237" bestFit="1" customWidth="1"/>
    <col min="71" max="72" width="11.19921875" style="237" bestFit="1" customWidth="1"/>
    <col min="73" max="73" width="6.5" style="237" bestFit="1" customWidth="1"/>
    <col min="74" max="74" width="11.19921875" style="237" bestFit="1" customWidth="1"/>
    <col min="75" max="75" width="8.796875" style="237"/>
    <col min="76" max="76" width="6.5" style="237" bestFit="1" customWidth="1"/>
    <col min="77" max="78" width="11.19921875" style="237" bestFit="1" customWidth="1"/>
    <col min="79" max="79" width="6.5" style="237" bestFit="1" customWidth="1"/>
    <col min="80" max="80" width="11.19921875" style="237" bestFit="1" customWidth="1"/>
    <col min="81" max="81" width="8.796875" style="237"/>
    <col min="82" max="82" width="6.5" style="237" bestFit="1" customWidth="1"/>
    <col min="83" max="84" width="11.19921875" style="237" bestFit="1" customWidth="1"/>
    <col min="85" max="85" width="6.5" style="237" bestFit="1" customWidth="1"/>
    <col min="86" max="86" width="11.19921875" style="237" bestFit="1" customWidth="1"/>
    <col min="87" max="16384" width="8.796875" style="1"/>
  </cols>
  <sheetData>
    <row r="1" spans="1:86">
      <c r="A1" s="1" t="s">
        <v>534</v>
      </c>
      <c r="BL1" s="236" t="s">
        <v>286</v>
      </c>
      <c r="BM1" s="236" t="str" cm="1">
        <f t="array" ref="BM1:BP1">TRANSPOSE(A3:A6)</f>
        <v>台羅拼音</v>
      </c>
      <c r="BN1" s="236" t="str">
        <v>字典編碼</v>
      </c>
      <c r="BO1" s="236" t="str">
        <v>鍵盤按鍵</v>
      </c>
      <c r="BP1" s="236" t="str">
        <v>注音符號</v>
      </c>
      <c r="BR1" s="236" t="s">
        <v>184</v>
      </c>
      <c r="BS1" s="236" t="s">
        <v>531</v>
      </c>
      <c r="BT1" s="236" t="s">
        <v>201</v>
      </c>
      <c r="BU1" s="236" t="s">
        <v>509</v>
      </c>
      <c r="BV1" s="236" t="s">
        <v>208</v>
      </c>
      <c r="BX1" s="236" t="s">
        <v>184</v>
      </c>
      <c r="BY1" s="236" t="s">
        <v>531</v>
      </c>
      <c r="BZ1" s="236" t="s">
        <v>201</v>
      </c>
      <c r="CA1" s="236" t="s">
        <v>509</v>
      </c>
      <c r="CB1" s="236" t="s">
        <v>208</v>
      </c>
      <c r="CD1" s="236" t="s">
        <v>184</v>
      </c>
      <c r="CE1" s="236" t="s">
        <v>531</v>
      </c>
      <c r="CF1" s="236" t="s">
        <v>201</v>
      </c>
      <c r="CG1" s="236" t="s">
        <v>509</v>
      </c>
      <c r="CH1" s="236" t="s">
        <v>208</v>
      </c>
    </row>
    <row r="2" spans="1:86">
      <c r="C2" s="3">
        <f xml:space="preserve"> COLUMN() -2</f>
        <v>1</v>
      </c>
      <c r="D2" s="3">
        <f t="shared" ref="D2:BJ2" si="0" xml:space="preserve"> COLUMN() -2</f>
        <v>2</v>
      </c>
      <c r="E2" s="3">
        <f t="shared" si="0"/>
        <v>3</v>
      </c>
      <c r="F2" s="3">
        <f t="shared" si="0"/>
        <v>4</v>
      </c>
      <c r="G2" s="3">
        <f t="shared" si="0"/>
        <v>5</v>
      </c>
      <c r="H2" s="3">
        <f t="shared" si="0"/>
        <v>6</v>
      </c>
      <c r="I2" s="3">
        <f t="shared" si="0"/>
        <v>7</v>
      </c>
      <c r="J2" s="3">
        <f t="shared" si="0"/>
        <v>8</v>
      </c>
      <c r="K2" s="3">
        <f t="shared" si="0"/>
        <v>9</v>
      </c>
      <c r="L2" s="3">
        <f t="shared" si="0"/>
        <v>10</v>
      </c>
      <c r="M2" s="3">
        <f t="shared" si="0"/>
        <v>11</v>
      </c>
      <c r="N2" s="3">
        <f t="shared" si="0"/>
        <v>12</v>
      </c>
      <c r="O2" s="3">
        <f t="shared" si="0"/>
        <v>13</v>
      </c>
      <c r="P2" s="3">
        <f t="shared" si="0"/>
        <v>14</v>
      </c>
      <c r="Q2" s="3">
        <f t="shared" si="0"/>
        <v>15</v>
      </c>
      <c r="R2" s="3">
        <f t="shared" si="0"/>
        <v>16</v>
      </c>
      <c r="S2" s="3">
        <f t="shared" si="0"/>
        <v>17</v>
      </c>
      <c r="T2" s="3">
        <f t="shared" si="0"/>
        <v>18</v>
      </c>
      <c r="U2" s="3">
        <f t="shared" si="0"/>
        <v>19</v>
      </c>
      <c r="V2" s="3">
        <f t="shared" si="0"/>
        <v>20</v>
      </c>
      <c r="W2" s="3">
        <f t="shared" si="0"/>
        <v>21</v>
      </c>
      <c r="X2" s="3">
        <f t="shared" si="0"/>
        <v>22</v>
      </c>
      <c r="Y2" s="3">
        <f t="shared" si="0"/>
        <v>23</v>
      </c>
      <c r="Z2" s="3">
        <f t="shared" si="0"/>
        <v>24</v>
      </c>
      <c r="AA2" s="3">
        <f t="shared" si="0"/>
        <v>25</v>
      </c>
      <c r="AB2" s="3">
        <f t="shared" si="0"/>
        <v>26</v>
      </c>
      <c r="AC2" s="3">
        <f t="shared" si="0"/>
        <v>27</v>
      </c>
      <c r="AD2" s="3">
        <f t="shared" si="0"/>
        <v>28</v>
      </c>
      <c r="AE2" s="3">
        <f t="shared" si="0"/>
        <v>29</v>
      </c>
      <c r="AF2" s="3">
        <f t="shared" si="0"/>
        <v>30</v>
      </c>
      <c r="AG2" s="3">
        <f t="shared" si="0"/>
        <v>31</v>
      </c>
      <c r="AH2" s="3">
        <f t="shared" si="0"/>
        <v>32</v>
      </c>
      <c r="AI2" s="3">
        <f t="shared" si="0"/>
        <v>33</v>
      </c>
      <c r="AJ2" s="3">
        <f t="shared" si="0"/>
        <v>34</v>
      </c>
      <c r="AK2" s="3">
        <f t="shared" si="0"/>
        <v>35</v>
      </c>
      <c r="AL2" s="3">
        <f t="shared" si="0"/>
        <v>36</v>
      </c>
      <c r="AM2" s="3">
        <f t="shared" si="0"/>
        <v>37</v>
      </c>
      <c r="AN2" s="3">
        <f t="shared" si="0"/>
        <v>38</v>
      </c>
      <c r="AO2" s="3">
        <f t="shared" si="0"/>
        <v>39</v>
      </c>
      <c r="AP2" s="3">
        <f t="shared" si="0"/>
        <v>40</v>
      </c>
      <c r="AQ2" s="3">
        <f t="shared" si="0"/>
        <v>41</v>
      </c>
      <c r="AR2" s="3">
        <f t="shared" si="0"/>
        <v>42</v>
      </c>
      <c r="AS2" s="3">
        <f t="shared" si="0"/>
        <v>43</v>
      </c>
      <c r="AT2" s="3">
        <f t="shared" si="0"/>
        <v>44</v>
      </c>
      <c r="AU2" s="3">
        <f t="shared" si="0"/>
        <v>45</v>
      </c>
      <c r="AV2" s="3">
        <f t="shared" si="0"/>
        <v>46</v>
      </c>
      <c r="AW2" s="3">
        <f t="shared" si="0"/>
        <v>47</v>
      </c>
      <c r="AX2" s="3">
        <f t="shared" si="0"/>
        <v>48</v>
      </c>
      <c r="AY2" s="3">
        <f t="shared" si="0"/>
        <v>49</v>
      </c>
      <c r="AZ2" s="3">
        <f t="shared" si="0"/>
        <v>50</v>
      </c>
      <c r="BA2" s="3">
        <f t="shared" si="0"/>
        <v>51</v>
      </c>
      <c r="BB2" s="3">
        <f t="shared" si="0"/>
        <v>52</v>
      </c>
      <c r="BC2" s="3">
        <f t="shared" si="0"/>
        <v>53</v>
      </c>
      <c r="BD2" s="3">
        <f t="shared" si="0"/>
        <v>54</v>
      </c>
      <c r="BE2" s="3">
        <f t="shared" si="0"/>
        <v>55</v>
      </c>
      <c r="BF2" s="3">
        <f t="shared" si="0"/>
        <v>56</v>
      </c>
      <c r="BG2" s="3">
        <f t="shared" si="0"/>
        <v>57</v>
      </c>
      <c r="BH2" s="3">
        <f t="shared" si="0"/>
        <v>58</v>
      </c>
      <c r="BI2" s="3">
        <f t="shared" si="0"/>
        <v>59</v>
      </c>
      <c r="BJ2" s="3">
        <f t="shared" si="0"/>
        <v>60</v>
      </c>
      <c r="BL2" s="238" cm="1">
        <f t="array" ref="BL2:BP61" xml:space="preserve"> TRANSPOSE(C2:BJ6)</f>
        <v>1</v>
      </c>
      <c r="BM2" s="238" t="str">
        <v>b</v>
      </c>
      <c r="BN2" s="238" t="str">
        <v>b</v>
      </c>
      <c r="BO2" s="238" t="str">
        <v>!</v>
      </c>
      <c r="BP2" s="238" t="str">
        <v>ㆠ</v>
      </c>
      <c r="BR2" s="238">
        <v>1</v>
      </c>
      <c r="BS2" s="238" t="s">
        <v>38</v>
      </c>
      <c r="BT2" s="238" t="s">
        <v>38</v>
      </c>
      <c r="BU2" s="238" t="s">
        <v>223</v>
      </c>
      <c r="BV2" s="238" t="s">
        <v>37</v>
      </c>
      <c r="BX2" s="238">
        <v>1</v>
      </c>
      <c r="BY2" s="238" t="s">
        <v>57</v>
      </c>
      <c r="BZ2" s="238" t="s">
        <v>57</v>
      </c>
      <c r="CA2" s="238" t="s">
        <v>219</v>
      </c>
      <c r="CB2" s="238" t="s">
        <v>234</v>
      </c>
      <c r="CD2" s="238">
        <v>1</v>
      </c>
      <c r="CE2" s="7">
        <v>1</v>
      </c>
      <c r="CF2" s="7">
        <v>1</v>
      </c>
      <c r="CG2" s="7" t="s">
        <v>289</v>
      </c>
      <c r="CH2" s="7" t="s">
        <v>241</v>
      </c>
    </row>
    <row r="3" spans="1:86">
      <c r="A3" s="248" t="s">
        <v>532</v>
      </c>
      <c r="C3" s="209" t="s">
        <v>243</v>
      </c>
      <c r="D3" s="209" t="s">
        <v>242</v>
      </c>
      <c r="E3" s="209" t="s">
        <v>244</v>
      </c>
      <c r="F3" s="209" t="s">
        <v>245</v>
      </c>
      <c r="G3" s="209" t="s">
        <v>246</v>
      </c>
      <c r="H3" s="209" t="s">
        <v>95</v>
      </c>
      <c r="I3" s="209" t="s">
        <v>247</v>
      </c>
      <c r="J3" s="209" t="s">
        <v>248</v>
      </c>
      <c r="K3" s="209" t="s">
        <v>530</v>
      </c>
      <c r="L3" s="209" t="s">
        <v>279</v>
      </c>
      <c r="M3" s="209" t="s">
        <v>280</v>
      </c>
      <c r="N3" s="209" t="s">
        <v>249</v>
      </c>
      <c r="O3" s="209" t="s">
        <v>250</v>
      </c>
      <c r="P3" s="209" t="s">
        <v>287</v>
      </c>
      <c r="Q3" s="209" t="s">
        <v>288</v>
      </c>
      <c r="R3" s="209" t="s">
        <v>251</v>
      </c>
      <c r="S3" s="209" t="s">
        <v>252</v>
      </c>
      <c r="T3" s="209" t="s">
        <v>253</v>
      </c>
      <c r="U3" s="209" t="s">
        <v>254</v>
      </c>
      <c r="V3" s="209" t="s">
        <v>255</v>
      </c>
      <c r="W3" s="209" t="s">
        <v>256</v>
      </c>
      <c r="X3" s="209" t="s">
        <v>257</v>
      </c>
      <c r="Y3" s="209" t="s">
        <v>258</v>
      </c>
      <c r="Z3" s="209" t="s">
        <v>259</v>
      </c>
      <c r="AA3" s="209" t="s">
        <v>260</v>
      </c>
      <c r="AB3" s="209" t="s">
        <v>261</v>
      </c>
      <c r="AC3" s="209" t="s">
        <v>262</v>
      </c>
      <c r="AD3" s="209" t="s">
        <v>263</v>
      </c>
      <c r="AE3" s="210" t="s">
        <v>264</v>
      </c>
      <c r="AF3" s="210" t="s">
        <v>110</v>
      </c>
      <c r="AG3" s="210" t="s">
        <v>265</v>
      </c>
      <c r="AH3" s="211" t="s">
        <v>266</v>
      </c>
      <c r="AI3" s="211" t="s">
        <v>267</v>
      </c>
      <c r="AJ3" s="211" t="s">
        <v>268</v>
      </c>
      <c r="AK3" s="211" t="s">
        <v>269</v>
      </c>
      <c r="AL3" s="209" t="s">
        <v>270</v>
      </c>
      <c r="AM3" s="209" t="s">
        <v>271</v>
      </c>
      <c r="AN3" s="209" t="s">
        <v>272</v>
      </c>
      <c r="AO3" s="209" t="s">
        <v>273</v>
      </c>
      <c r="AP3" s="209" t="s">
        <v>274</v>
      </c>
      <c r="AQ3" s="209" t="s">
        <v>275</v>
      </c>
      <c r="AR3" s="209" t="s">
        <v>276</v>
      </c>
      <c r="AS3" s="209" t="str">
        <f xml:space="preserve"> _xlfn.CONCAT("a", _xlfn.UNICHAR(HEX2DEC(RIGHT("U+207F",4))))</f>
        <v>aⁿ</v>
      </c>
      <c r="AT3" s="209" t="str">
        <f xml:space="preserve"> _xlfn.CONCAT("i", _xlfn.UNICHAR(HEX2DEC(RIGHT("U+207F",4))))</f>
        <v>iⁿ</v>
      </c>
      <c r="AU3" s="209" t="str">
        <f xml:space="preserve"> _xlfn.CONCAT("u", _xlfn.UNICHAR(HEX2DEC(RIGHT("U+207F",4))))</f>
        <v>uⁿ</v>
      </c>
      <c r="AV3" s="209" t="str">
        <f xml:space="preserve"> _xlfn.CONCAT("e", _xlfn.UNICHAR(HEX2DEC(RIGHT("U+207F",4))))</f>
        <v>eⁿ</v>
      </c>
      <c r="AW3" s="209" t="str">
        <f xml:space="preserve"> _xlfn.CONCAT("o", _xlfn.UNICHAR(HEX2DEC(RIGHT("U+207F",4))))</f>
        <v>oⁿ</v>
      </c>
      <c r="AX3" s="209" t="str">
        <f xml:space="preserve"> _xlfn.CONCAT("ai", _xlfn.UNICHAR(HEX2DEC(RIGHT("U+207F",4))))</f>
        <v>aiⁿ</v>
      </c>
      <c r="AY3" s="209" t="str">
        <f xml:space="preserve"> _xlfn.CONCAT("au", _xlfn.UNICHAR(HEX2DEC(RIGHT("U+207F",4))))</f>
        <v>auⁿ</v>
      </c>
      <c r="AZ3" s="263" t="str">
        <f xml:space="preserve"> _xlfn.UNICHAR(HEX2DEC(RIGHT("U+207F",4)))</f>
        <v>ⁿ</v>
      </c>
      <c r="BA3" s="234" t="s">
        <v>567</v>
      </c>
      <c r="BB3" s="209">
        <v>1</v>
      </c>
      <c r="BC3" s="209">
        <v>7</v>
      </c>
      <c r="BD3" s="209">
        <v>3</v>
      </c>
      <c r="BE3" s="209">
        <v>2</v>
      </c>
      <c r="BF3" s="209">
        <v>5</v>
      </c>
      <c r="BG3" s="209">
        <v>8</v>
      </c>
      <c r="BH3" s="209">
        <v>4</v>
      </c>
      <c r="BI3" s="209">
        <v>0</v>
      </c>
      <c r="BJ3" s="209"/>
      <c r="BL3" s="238">
        <v>2</v>
      </c>
      <c r="BM3" s="238" t="str">
        <v>p</v>
      </c>
      <c r="BN3" s="238" t="str">
        <v>p</v>
      </c>
      <c r="BO3" s="238" t="str">
        <v>1</v>
      </c>
      <c r="BP3" s="238" t="str">
        <v>ㄅ</v>
      </c>
      <c r="BR3" s="238">
        <v>2</v>
      </c>
      <c r="BS3" s="238" t="s">
        <v>45</v>
      </c>
      <c r="BT3" s="238" t="s">
        <v>45</v>
      </c>
      <c r="BU3" s="238" t="s">
        <v>221</v>
      </c>
      <c r="BV3" s="238" t="s">
        <v>44</v>
      </c>
      <c r="BX3" s="238">
        <v>2</v>
      </c>
      <c r="BY3" s="238" t="s">
        <v>104</v>
      </c>
      <c r="BZ3" s="238" t="s">
        <v>104</v>
      </c>
      <c r="CA3" s="238" t="s">
        <v>141</v>
      </c>
      <c r="CB3" s="238" t="s">
        <v>103</v>
      </c>
      <c r="CD3" s="238">
        <v>2</v>
      </c>
      <c r="CE3" s="7">
        <v>7</v>
      </c>
      <c r="CF3" s="7">
        <v>7</v>
      </c>
      <c r="CG3" s="7">
        <v>5</v>
      </c>
      <c r="CH3" s="7" t="s">
        <v>236</v>
      </c>
    </row>
    <row r="4" spans="1:86">
      <c r="A4" s="244" t="s">
        <v>4</v>
      </c>
      <c r="C4" s="4" t="s">
        <v>38</v>
      </c>
      <c r="D4" s="4" t="s">
        <v>45</v>
      </c>
      <c r="E4" s="4" t="s">
        <v>76</v>
      </c>
      <c r="F4" s="4" t="s">
        <v>188</v>
      </c>
      <c r="G4" s="4" t="s">
        <v>189</v>
      </c>
      <c r="H4" s="4" t="s">
        <v>193</v>
      </c>
      <c r="I4" s="4" t="s">
        <v>71</v>
      </c>
      <c r="J4" s="4" t="s">
        <v>168</v>
      </c>
      <c r="K4" s="4" t="s">
        <v>97</v>
      </c>
      <c r="L4" s="4" t="s">
        <v>279</v>
      </c>
      <c r="M4" s="4" t="s">
        <v>118</v>
      </c>
      <c r="N4" s="4" t="s">
        <v>217</v>
      </c>
      <c r="O4" s="4" t="s">
        <v>187</v>
      </c>
      <c r="P4" s="4" t="s">
        <v>8</v>
      </c>
      <c r="Q4" s="4" t="s">
        <v>139</v>
      </c>
      <c r="R4" s="4" t="s">
        <v>176</v>
      </c>
      <c r="S4" s="4" t="s">
        <v>170</v>
      </c>
      <c r="T4" s="4" t="s">
        <v>117</v>
      </c>
      <c r="U4" s="4" t="s">
        <v>9</v>
      </c>
      <c r="V4" s="4" t="s">
        <v>150</v>
      </c>
      <c r="W4" s="4" t="s">
        <v>112</v>
      </c>
      <c r="X4" s="4" t="s">
        <v>57</v>
      </c>
      <c r="Y4" s="4" t="s">
        <v>104</v>
      </c>
      <c r="Z4" s="4" t="s">
        <v>195</v>
      </c>
      <c r="AA4" s="4" t="s">
        <v>141</v>
      </c>
      <c r="AB4" s="4" t="s">
        <v>180</v>
      </c>
      <c r="AC4" s="6" t="s">
        <v>75</v>
      </c>
      <c r="AD4" s="6" t="s">
        <v>10</v>
      </c>
      <c r="AE4" s="4" t="s">
        <v>154</v>
      </c>
      <c r="AF4" s="4" t="s">
        <v>153</v>
      </c>
      <c r="AG4" s="4" t="s">
        <v>115</v>
      </c>
      <c r="AH4" s="4" t="s">
        <v>70</v>
      </c>
      <c r="AI4" s="4" t="s">
        <v>114</v>
      </c>
      <c r="AJ4" s="6" t="s">
        <v>11</v>
      </c>
      <c r="AK4" s="4" t="s">
        <v>151</v>
      </c>
      <c r="AL4" s="4" t="s">
        <v>74</v>
      </c>
      <c r="AM4" s="4" t="s">
        <v>73</v>
      </c>
      <c r="AN4" s="4" t="s">
        <v>12</v>
      </c>
      <c r="AO4" s="4" t="s">
        <v>218</v>
      </c>
      <c r="AP4" s="4" t="s">
        <v>111</v>
      </c>
      <c r="AQ4" s="4" t="s">
        <v>68</v>
      </c>
      <c r="AR4" s="4" t="s">
        <v>13</v>
      </c>
      <c r="AS4" s="4" t="s">
        <v>14</v>
      </c>
      <c r="AT4" s="4" t="s">
        <v>15</v>
      </c>
      <c r="AU4" s="4" t="s">
        <v>16</v>
      </c>
      <c r="AV4" s="4" t="s">
        <v>192</v>
      </c>
      <c r="AW4" s="4" t="s">
        <v>17</v>
      </c>
      <c r="AX4" s="4" t="s">
        <v>196</v>
      </c>
      <c r="AY4" s="4" t="s">
        <v>18</v>
      </c>
      <c r="AZ4" s="264" t="s">
        <v>119</v>
      </c>
      <c r="BA4" s="264" t="s">
        <v>567</v>
      </c>
      <c r="BB4" s="4">
        <v>1</v>
      </c>
      <c r="BC4" s="4">
        <v>7</v>
      </c>
      <c r="BD4" s="4">
        <v>3</v>
      </c>
      <c r="BE4" s="4">
        <v>2</v>
      </c>
      <c r="BF4" s="4">
        <v>5</v>
      </c>
      <c r="BG4" s="4">
        <v>8</v>
      </c>
      <c r="BH4" s="4">
        <v>4</v>
      </c>
      <c r="BI4" s="6" t="s">
        <v>535</v>
      </c>
      <c r="BJ4" s="4"/>
      <c r="BL4" s="238">
        <v>3</v>
      </c>
      <c r="BM4" s="238" t="str">
        <v>ph</v>
      </c>
      <c r="BN4" s="239" t="str">
        <v>P</v>
      </c>
      <c r="BO4" s="238" t="str">
        <v>q</v>
      </c>
      <c r="BP4" s="238" t="str">
        <v>ㄆ</v>
      </c>
      <c r="BR4" s="238">
        <v>3</v>
      </c>
      <c r="BS4" s="238" t="s">
        <v>93</v>
      </c>
      <c r="BT4" s="238" t="s">
        <v>76</v>
      </c>
      <c r="BU4" s="238" t="s">
        <v>191</v>
      </c>
      <c r="BV4" s="238" t="s">
        <v>92</v>
      </c>
      <c r="BX4" s="238">
        <v>3</v>
      </c>
      <c r="BY4" s="238" t="s">
        <v>125</v>
      </c>
      <c r="BZ4" s="238" t="s">
        <v>195</v>
      </c>
      <c r="CA4" s="238" t="s">
        <v>118</v>
      </c>
      <c r="CB4" s="238" t="s">
        <v>124</v>
      </c>
      <c r="CD4" s="238">
        <v>3</v>
      </c>
      <c r="CE4" s="7">
        <v>3</v>
      </c>
      <c r="CF4" s="7">
        <v>3</v>
      </c>
      <c r="CG4" s="7">
        <v>3</v>
      </c>
      <c r="CH4" s="7" t="s">
        <v>237</v>
      </c>
    </row>
    <row r="5" spans="1:86">
      <c r="A5" s="245" t="s">
        <v>64</v>
      </c>
      <c r="C5" s="5" t="s">
        <v>223</v>
      </c>
      <c r="D5" s="5" t="s">
        <v>221</v>
      </c>
      <c r="E5" s="5" t="s">
        <v>191</v>
      </c>
      <c r="F5" s="5" t="s">
        <v>57</v>
      </c>
      <c r="G5" s="5" t="s">
        <v>176</v>
      </c>
      <c r="H5" s="5" t="s">
        <v>220</v>
      </c>
      <c r="I5" s="5" t="s">
        <v>195</v>
      </c>
      <c r="J5" s="5" t="s">
        <v>196</v>
      </c>
      <c r="K5" s="5" t="s">
        <v>69</v>
      </c>
      <c r="L5" s="5" t="s">
        <v>180</v>
      </c>
      <c r="M5" s="5" t="s">
        <v>185</v>
      </c>
      <c r="N5" s="254" t="s">
        <v>550</v>
      </c>
      <c r="O5" s="5" t="s">
        <v>72</v>
      </c>
      <c r="P5" s="5" t="s">
        <v>197</v>
      </c>
      <c r="Q5" s="5" t="s">
        <v>170</v>
      </c>
      <c r="R5" s="5" t="s">
        <v>189</v>
      </c>
      <c r="S5" s="5" t="s">
        <v>139</v>
      </c>
      <c r="T5" s="5" t="s">
        <v>70</v>
      </c>
      <c r="U5" s="5" t="s">
        <v>192</v>
      </c>
      <c r="V5" s="5" t="s">
        <v>186</v>
      </c>
      <c r="W5" s="5" t="s">
        <v>194</v>
      </c>
      <c r="X5" s="5" t="s">
        <v>219</v>
      </c>
      <c r="Y5" s="5" t="s">
        <v>141</v>
      </c>
      <c r="Z5" s="5" t="s">
        <v>118</v>
      </c>
      <c r="AA5" s="5" t="s">
        <v>187</v>
      </c>
      <c r="AB5" s="5" t="s">
        <v>224</v>
      </c>
      <c r="AC5" s="5" t="s">
        <v>104</v>
      </c>
      <c r="AD5" s="5" t="s">
        <v>133</v>
      </c>
      <c r="AE5" s="5" t="s">
        <v>188</v>
      </c>
      <c r="AF5" s="5" t="s">
        <v>45</v>
      </c>
      <c r="AG5" s="5" t="s">
        <v>225</v>
      </c>
      <c r="AH5" s="5" t="s">
        <v>38</v>
      </c>
      <c r="AI5" s="5" t="s">
        <v>193</v>
      </c>
      <c r="AJ5" s="5" t="s">
        <v>97</v>
      </c>
      <c r="AK5" s="5" t="s">
        <v>102</v>
      </c>
      <c r="AL5" s="5" t="s">
        <v>226</v>
      </c>
      <c r="AM5" s="5" t="s">
        <v>168</v>
      </c>
      <c r="AN5" s="5" t="s">
        <v>154</v>
      </c>
      <c r="AO5" s="5" t="s">
        <v>227</v>
      </c>
      <c r="AP5" s="5" t="s">
        <v>228</v>
      </c>
      <c r="AQ5" s="5" t="s">
        <v>75</v>
      </c>
      <c r="AR5" s="5" t="s">
        <v>190</v>
      </c>
      <c r="AS5" s="5" t="s">
        <v>229</v>
      </c>
      <c r="AT5" s="5" t="s">
        <v>73</v>
      </c>
      <c r="AU5" s="5" t="s">
        <v>117</v>
      </c>
      <c r="AV5" s="5" t="s">
        <v>230</v>
      </c>
      <c r="AW5" s="5" t="s">
        <v>74</v>
      </c>
      <c r="AX5" s="5" t="s">
        <v>231</v>
      </c>
      <c r="AY5" s="5" t="s">
        <v>119</v>
      </c>
      <c r="AZ5" s="265" t="s">
        <v>569</v>
      </c>
      <c r="BA5" s="265" t="s">
        <v>568</v>
      </c>
      <c r="BB5" s="5" t="s">
        <v>560</v>
      </c>
      <c r="BC5" s="5">
        <v>5</v>
      </c>
      <c r="BD5" s="5">
        <v>3</v>
      </c>
      <c r="BE5" s="5">
        <v>4</v>
      </c>
      <c r="BF5" s="5">
        <v>6</v>
      </c>
      <c r="BG5" s="5" t="s">
        <v>232</v>
      </c>
      <c r="BH5" s="5" t="s">
        <v>233</v>
      </c>
      <c r="BI5" s="5">
        <v>7</v>
      </c>
      <c r="BJ5" s="5"/>
      <c r="BL5" s="238">
        <v>4</v>
      </c>
      <c r="BM5" s="238" t="str">
        <v>m</v>
      </c>
      <c r="BN5" s="238" t="str">
        <v>m</v>
      </c>
      <c r="BO5" s="238" t="str">
        <v>a</v>
      </c>
      <c r="BP5" s="238" t="str">
        <v>ㄇ</v>
      </c>
      <c r="BR5" s="238">
        <v>4</v>
      </c>
      <c r="BS5" s="238" t="s">
        <v>188</v>
      </c>
      <c r="BT5" s="238" t="s">
        <v>188</v>
      </c>
      <c r="BU5" s="238" t="s">
        <v>57</v>
      </c>
      <c r="BV5" s="238" t="s">
        <v>128</v>
      </c>
      <c r="BX5" s="238">
        <v>4</v>
      </c>
      <c r="BY5" s="238" t="s">
        <v>141</v>
      </c>
      <c r="BZ5" s="238" t="s">
        <v>141</v>
      </c>
      <c r="CA5" s="238" t="s">
        <v>187</v>
      </c>
      <c r="CB5" s="238" t="s">
        <v>140</v>
      </c>
      <c r="CD5" s="238">
        <v>4</v>
      </c>
      <c r="CE5" s="7">
        <v>2</v>
      </c>
      <c r="CF5" s="7">
        <v>2</v>
      </c>
      <c r="CG5" s="7">
        <v>4</v>
      </c>
      <c r="CH5" s="7" t="s">
        <v>238</v>
      </c>
    </row>
    <row r="6" spans="1:86">
      <c r="A6" s="243" t="s">
        <v>7</v>
      </c>
      <c r="C6" s="7" t="s">
        <v>37</v>
      </c>
      <c r="D6" s="7" t="s">
        <v>44</v>
      </c>
      <c r="E6" s="7" t="s">
        <v>92</v>
      </c>
      <c r="F6" s="7" t="s">
        <v>128</v>
      </c>
      <c r="G6" s="7" t="s">
        <v>130</v>
      </c>
      <c r="H6" s="7" t="s">
        <v>46</v>
      </c>
      <c r="I6" s="7" t="s">
        <v>94</v>
      </c>
      <c r="J6" s="7" t="s">
        <v>167</v>
      </c>
      <c r="K6" s="7" t="s">
        <v>80</v>
      </c>
      <c r="L6" s="7" t="s">
        <v>96</v>
      </c>
      <c r="M6" s="7" t="s">
        <v>132</v>
      </c>
      <c r="N6" s="7" t="s">
        <v>158</v>
      </c>
      <c r="O6" s="7" t="s">
        <v>84</v>
      </c>
      <c r="P6" s="7" t="s">
        <v>101</v>
      </c>
      <c r="Q6" s="7" t="s">
        <v>138</v>
      </c>
      <c r="R6" s="7" t="s">
        <v>175</v>
      </c>
      <c r="S6" s="7" t="s">
        <v>169</v>
      </c>
      <c r="T6" s="7" t="s">
        <v>82</v>
      </c>
      <c r="U6" s="7" t="s">
        <v>98</v>
      </c>
      <c r="V6" s="7" t="s">
        <v>134</v>
      </c>
      <c r="W6" s="7" t="s">
        <v>171</v>
      </c>
      <c r="X6" s="7" t="s">
        <v>234</v>
      </c>
      <c r="Y6" s="7" t="s">
        <v>103</v>
      </c>
      <c r="Z6" s="7" t="s">
        <v>124</v>
      </c>
      <c r="AA6" s="7" t="s">
        <v>140</v>
      </c>
      <c r="AB6" s="7" t="s">
        <v>179</v>
      </c>
      <c r="AC6" s="7" t="s">
        <v>105</v>
      </c>
      <c r="AD6" s="7" t="s">
        <v>142</v>
      </c>
      <c r="AE6" s="7" t="s">
        <v>177</v>
      </c>
      <c r="AF6" s="7" t="s">
        <v>109</v>
      </c>
      <c r="AG6" s="7" t="s">
        <v>182</v>
      </c>
      <c r="AH6" s="7" t="s">
        <v>173</v>
      </c>
      <c r="AI6" s="7" t="s">
        <v>99</v>
      </c>
      <c r="AJ6" s="7" t="s">
        <v>136</v>
      </c>
      <c r="AK6" s="7" t="s">
        <v>165</v>
      </c>
      <c r="AL6" s="7" t="s">
        <v>58</v>
      </c>
      <c r="AM6" s="7" t="s">
        <v>144</v>
      </c>
      <c r="AN6" s="7" t="s">
        <v>160</v>
      </c>
      <c r="AO6" s="7" t="s">
        <v>60</v>
      </c>
      <c r="AP6" s="7" t="s">
        <v>146</v>
      </c>
      <c r="AQ6" s="7" t="s">
        <v>90</v>
      </c>
      <c r="AR6" s="7" t="s">
        <v>107</v>
      </c>
      <c r="AS6" s="7" t="s">
        <v>39</v>
      </c>
      <c r="AT6" s="7" t="s">
        <v>86</v>
      </c>
      <c r="AU6" s="7" t="s">
        <v>122</v>
      </c>
      <c r="AV6" s="7" t="s">
        <v>162</v>
      </c>
      <c r="AW6" s="7" t="s">
        <v>88</v>
      </c>
      <c r="AX6" s="7" t="s">
        <v>41</v>
      </c>
      <c r="AY6" s="7" t="s">
        <v>126</v>
      </c>
      <c r="AZ6" s="266" t="s">
        <v>181</v>
      </c>
      <c r="BA6" s="266" t="s">
        <v>566</v>
      </c>
      <c r="BB6" s="7" t="s">
        <v>241</v>
      </c>
      <c r="BC6" s="7" t="s">
        <v>236</v>
      </c>
      <c r="BD6" s="7" t="s">
        <v>237</v>
      </c>
      <c r="BE6" s="7" t="s">
        <v>238</v>
      </c>
      <c r="BF6" s="7" t="s">
        <v>239</v>
      </c>
      <c r="BG6" s="7" t="s">
        <v>235</v>
      </c>
      <c r="BH6" s="7" t="s">
        <v>240</v>
      </c>
      <c r="BI6" s="7" t="s">
        <v>62</v>
      </c>
      <c r="BJ6" s="7"/>
      <c r="BL6" s="238">
        <v>5</v>
      </c>
      <c r="BM6" s="238" t="str">
        <v>n</v>
      </c>
      <c r="BN6" s="238" t="str">
        <v>n</v>
      </c>
      <c r="BO6" s="238" t="str">
        <v>s</v>
      </c>
      <c r="BP6" s="238" t="str">
        <v>ㄋ</v>
      </c>
      <c r="BR6" s="238">
        <v>5</v>
      </c>
      <c r="BS6" s="238" t="s">
        <v>189</v>
      </c>
      <c r="BT6" s="238" t="s">
        <v>189</v>
      </c>
      <c r="BU6" s="238" t="s">
        <v>176</v>
      </c>
      <c r="BV6" s="238" t="s">
        <v>130</v>
      </c>
      <c r="BX6" s="238">
        <v>5</v>
      </c>
      <c r="BY6" s="238" t="s">
        <v>180</v>
      </c>
      <c r="BZ6" s="238" t="s">
        <v>180</v>
      </c>
      <c r="CA6" s="238" t="s">
        <v>224</v>
      </c>
      <c r="CB6" s="238" t="s">
        <v>179</v>
      </c>
      <c r="CD6" s="238">
        <v>5</v>
      </c>
      <c r="CE6" s="7">
        <v>5</v>
      </c>
      <c r="CF6" s="7">
        <v>5</v>
      </c>
      <c r="CG6" s="7">
        <v>6</v>
      </c>
      <c r="CH6" s="7" t="s">
        <v>239</v>
      </c>
    </row>
    <row r="7" spans="1:86"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4"/>
      <c r="AO7" s="234"/>
      <c r="AP7" s="234"/>
      <c r="AQ7" s="234"/>
      <c r="AR7" s="234"/>
      <c r="AS7" s="234"/>
      <c r="AT7" s="234"/>
      <c r="AU7" s="234"/>
      <c r="AV7" s="234"/>
      <c r="AW7" s="234"/>
      <c r="AX7" s="234"/>
      <c r="AY7" s="234"/>
      <c r="AZ7" s="234"/>
      <c r="BA7" s="234"/>
      <c r="BB7" s="234"/>
      <c r="BC7" s="234"/>
      <c r="BD7" s="234"/>
      <c r="BE7" s="234"/>
      <c r="BF7" s="234"/>
      <c r="BG7" s="234"/>
      <c r="BH7" s="234"/>
      <c r="BI7" s="234"/>
      <c r="BJ7" s="234"/>
      <c r="BL7" s="238">
        <v>6</v>
      </c>
      <c r="BM7" s="238" t="str">
        <v>t</v>
      </c>
      <c r="BN7" s="238" t="str">
        <v>t</v>
      </c>
      <c r="BO7" s="238" t="str">
        <v>2</v>
      </c>
      <c r="BP7" s="238" t="str">
        <v>ㄉ</v>
      </c>
      <c r="BR7" s="238">
        <v>6</v>
      </c>
      <c r="BS7" s="238" t="s">
        <v>193</v>
      </c>
      <c r="BT7" s="238" t="s">
        <v>193</v>
      </c>
      <c r="BU7" s="238" t="s">
        <v>220</v>
      </c>
      <c r="BV7" s="238" t="s">
        <v>46</v>
      </c>
      <c r="BX7" s="238">
        <v>6</v>
      </c>
      <c r="BY7" s="238" t="s">
        <v>106</v>
      </c>
      <c r="BZ7" s="238" t="s">
        <v>75</v>
      </c>
      <c r="CA7" s="238" t="s">
        <v>104</v>
      </c>
      <c r="CB7" s="238" t="s">
        <v>105</v>
      </c>
      <c r="CD7" s="238">
        <v>6</v>
      </c>
      <c r="CE7" s="7">
        <v>8</v>
      </c>
      <c r="CF7" s="7">
        <v>8</v>
      </c>
      <c r="CG7" s="7" t="s">
        <v>232</v>
      </c>
      <c r="CH7" s="7" t="s">
        <v>235</v>
      </c>
    </row>
    <row r="8" spans="1:86">
      <c r="A8" s="1" t="s">
        <v>551</v>
      </c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4"/>
      <c r="AO8" s="234"/>
      <c r="AP8" s="234"/>
      <c r="AQ8" s="234"/>
      <c r="AR8" s="234"/>
      <c r="AS8" s="234"/>
      <c r="AT8" s="234"/>
      <c r="AU8" s="234"/>
      <c r="AV8" s="234"/>
      <c r="AW8" s="234"/>
      <c r="AX8" s="234"/>
      <c r="AY8" s="234"/>
      <c r="AZ8" s="234"/>
      <c r="BA8" s="234"/>
      <c r="BB8" s="234"/>
      <c r="BC8" s="234"/>
      <c r="BD8" s="234"/>
      <c r="BE8" s="234"/>
      <c r="BF8" s="234"/>
      <c r="BG8" s="234"/>
      <c r="BH8" s="234"/>
      <c r="BI8" s="234"/>
      <c r="BJ8" s="234"/>
      <c r="BL8" s="238">
        <v>7</v>
      </c>
      <c r="BM8" s="238" t="str">
        <v>th</v>
      </c>
      <c r="BN8" s="238" t="str">
        <v>T</v>
      </c>
      <c r="BO8" s="238" t="str">
        <v>w</v>
      </c>
      <c r="BP8" s="238" t="str">
        <v>ㄊ</v>
      </c>
      <c r="BR8" s="238">
        <v>7</v>
      </c>
      <c r="BS8" s="238" t="s">
        <v>510</v>
      </c>
      <c r="BT8" s="238" t="s">
        <v>71</v>
      </c>
      <c r="BU8" s="238" t="s">
        <v>195</v>
      </c>
      <c r="BV8" s="238" t="s">
        <v>94</v>
      </c>
      <c r="BX8" s="238">
        <v>7</v>
      </c>
      <c r="BY8" s="238" t="s">
        <v>190</v>
      </c>
      <c r="BZ8" s="238" t="s">
        <v>10</v>
      </c>
      <c r="CA8" s="238" t="s">
        <v>133</v>
      </c>
      <c r="CB8" s="238" t="s">
        <v>142</v>
      </c>
      <c r="CD8" s="238">
        <v>7</v>
      </c>
      <c r="CE8" s="7">
        <v>4</v>
      </c>
      <c r="CF8" s="7">
        <v>4</v>
      </c>
      <c r="CG8" s="7" t="s">
        <v>233</v>
      </c>
      <c r="CH8" s="7" t="s">
        <v>240</v>
      </c>
    </row>
    <row r="9" spans="1:86">
      <c r="A9" s="1" t="s">
        <v>552</v>
      </c>
      <c r="C9" s="235" t="str">
        <f xml:space="preserve"> _xlfn.CONCAT("  alphabet: ","""", C5:BA5, BB5:BI5, """")</f>
        <v xml:space="preserve">  alphabet: "!1qas2wxEedNYyhncRrfv8uKj,ikmp/btgz9lM0;Oo*UJ&lt;I(L-="5346][7"</v>
      </c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  <c r="Q9" s="234"/>
      <c r="R9" s="234"/>
      <c r="S9" s="234"/>
      <c r="T9" s="234"/>
      <c r="U9" s="234"/>
      <c r="V9" s="234"/>
      <c r="W9" s="234"/>
      <c r="X9" s="234"/>
      <c r="Y9" s="234"/>
      <c r="Z9" s="234"/>
      <c r="AA9" s="234"/>
      <c r="AB9" s="234"/>
      <c r="AC9" s="234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4"/>
      <c r="AO9" s="234"/>
      <c r="AP9" s="234"/>
      <c r="AQ9" s="234"/>
      <c r="AR9" s="234"/>
      <c r="AS9" s="234"/>
      <c r="AT9" s="234"/>
      <c r="AU9" s="234"/>
      <c r="AV9" s="234"/>
      <c r="AW9" s="234"/>
      <c r="AX9" s="234"/>
      <c r="AY9" s="234"/>
      <c r="AZ9" s="234"/>
      <c r="BA9" s="234"/>
      <c r="BB9" s="234"/>
      <c r="BC9" s="234"/>
      <c r="BD9" s="234"/>
      <c r="BE9" s="234"/>
      <c r="BF9" s="234"/>
      <c r="BG9" s="234"/>
      <c r="BH9" s="234"/>
      <c r="BI9" s="234"/>
      <c r="BJ9" s="234"/>
      <c r="BL9" s="238">
        <v>8</v>
      </c>
      <c r="BM9" s="238" t="str">
        <v>l</v>
      </c>
      <c r="BN9" s="238" t="str">
        <v>l</v>
      </c>
      <c r="BO9" s="238" t="str">
        <v>x</v>
      </c>
      <c r="BP9" s="238" t="str">
        <v>ㄌ</v>
      </c>
      <c r="BR9" s="238">
        <v>8</v>
      </c>
      <c r="BS9" s="238" t="s">
        <v>168</v>
      </c>
      <c r="BT9" s="238" t="s">
        <v>168</v>
      </c>
      <c r="BU9" s="238" t="s">
        <v>196</v>
      </c>
      <c r="BV9" s="238" t="s">
        <v>167</v>
      </c>
      <c r="BX9" s="238">
        <v>8</v>
      </c>
      <c r="BY9" s="238" t="s">
        <v>178</v>
      </c>
      <c r="BZ9" s="238" t="s">
        <v>154</v>
      </c>
      <c r="CA9" s="238" t="s">
        <v>188</v>
      </c>
      <c r="CB9" s="238" t="s">
        <v>177</v>
      </c>
      <c r="CD9" s="238">
        <v>8</v>
      </c>
      <c r="CE9" s="7">
        <v>0</v>
      </c>
      <c r="CF9" s="7">
        <v>0</v>
      </c>
      <c r="CG9" s="7">
        <v>7</v>
      </c>
      <c r="CH9" s="7" t="s">
        <v>62</v>
      </c>
    </row>
    <row r="10" spans="1:86">
      <c r="A10" s="1" t="s">
        <v>553</v>
      </c>
      <c r="C10" s="1" t="str">
        <f xml:space="preserve"> _xlfn.CONCAT("  initials: ","""", C5:BA5, """")</f>
        <v xml:space="preserve">  initials: "!1qas2wxEedNYyhncRrfv8uKj,ikmp/btgz9lM0;Oo*UJ&lt;I(L-="</v>
      </c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  <c r="X10" s="234"/>
      <c r="Y10" s="234"/>
      <c r="Z10" s="234"/>
      <c r="AA10" s="234"/>
      <c r="AB10" s="234"/>
      <c r="AC10" s="234"/>
      <c r="AD10" s="234"/>
      <c r="AE10" s="234"/>
      <c r="AF10" s="234"/>
      <c r="AG10" s="234"/>
      <c r="AH10" s="234"/>
      <c r="AI10" s="234"/>
      <c r="AJ10" s="234"/>
      <c r="AK10" s="234"/>
      <c r="AL10" s="234"/>
      <c r="AM10" s="234"/>
      <c r="AN10" s="234"/>
      <c r="AO10" s="234"/>
      <c r="AP10" s="234"/>
      <c r="AQ10" s="234"/>
      <c r="AR10" s="234"/>
      <c r="AS10" s="234"/>
      <c r="AT10" s="234"/>
      <c r="AU10" s="234"/>
      <c r="AV10" s="234"/>
      <c r="AW10" s="234"/>
      <c r="AX10" s="234"/>
      <c r="AY10" s="234"/>
      <c r="AZ10" s="234"/>
      <c r="BA10" s="234"/>
      <c r="BB10" s="234"/>
      <c r="BC10" s="234"/>
      <c r="BD10" s="234"/>
      <c r="BE10" s="234"/>
      <c r="BF10" s="234"/>
      <c r="BG10" s="234"/>
      <c r="BH10" s="234"/>
      <c r="BI10" s="234"/>
      <c r="BJ10" s="234"/>
      <c r="BL10" s="238">
        <v>9</v>
      </c>
      <c r="BM10" s="238" t="str">
        <v>g</v>
      </c>
      <c r="BN10" s="238" t="str">
        <v>g</v>
      </c>
      <c r="BO10" s="238" t="str">
        <v>E</v>
      </c>
      <c r="BP10" s="238" t="str">
        <v>ㆣ</v>
      </c>
      <c r="BR10" s="238">
        <v>9</v>
      </c>
      <c r="BS10" s="238" t="s">
        <v>80</v>
      </c>
      <c r="BT10" s="238" t="s">
        <v>97</v>
      </c>
      <c r="BU10" s="238" t="s">
        <v>69</v>
      </c>
      <c r="BV10" s="238" t="s">
        <v>80</v>
      </c>
      <c r="BX10" s="238">
        <v>9</v>
      </c>
      <c r="BY10" s="238" t="s">
        <v>518</v>
      </c>
      <c r="BZ10" s="238" t="s">
        <v>153</v>
      </c>
      <c r="CA10" s="238" t="s">
        <v>45</v>
      </c>
      <c r="CB10" s="238" t="s">
        <v>109</v>
      </c>
      <c r="CD10" s="238">
        <v>9</v>
      </c>
      <c r="CE10" s="7" t="s">
        <v>119</v>
      </c>
      <c r="CF10" s="7" t="s">
        <v>119</v>
      </c>
      <c r="CG10" s="7" t="s">
        <v>153</v>
      </c>
      <c r="CH10" s="7" t="s">
        <v>181</v>
      </c>
    </row>
    <row r="11" spans="1:86">
      <c r="A11" s="1" t="s">
        <v>565</v>
      </c>
      <c r="C11" s="1" t="str">
        <f xml:space="preserve"> _xlfn.CONCAT("  finals: ","""", BB5:BI5, """")</f>
        <v xml:space="preserve">  finals: ""5346][7"</v>
      </c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X11" s="234"/>
      <c r="Y11" s="234"/>
      <c r="Z11" s="234"/>
      <c r="AA11" s="234"/>
      <c r="AB11" s="234"/>
      <c r="AC11" s="234"/>
      <c r="AD11" s="234"/>
      <c r="AE11" s="234"/>
      <c r="AF11" s="234"/>
      <c r="AG11" s="234"/>
      <c r="AH11" s="234"/>
      <c r="AI11" s="234"/>
      <c r="AJ11" s="234"/>
      <c r="AK11" s="234"/>
      <c r="AL11" s="234"/>
      <c r="AM11" s="234"/>
      <c r="AN11" s="234"/>
      <c r="AO11" s="234"/>
      <c r="AP11" s="234"/>
      <c r="AQ11" s="234"/>
      <c r="AR11" s="234"/>
      <c r="AS11" s="234"/>
      <c r="AT11" s="234"/>
      <c r="AU11" s="234"/>
      <c r="AV11" s="234"/>
      <c r="AW11" s="234"/>
      <c r="AX11" s="234"/>
      <c r="AY11" s="234"/>
      <c r="AZ11" s="234"/>
      <c r="BA11" s="234"/>
      <c r="BB11" s="234"/>
      <c r="BC11" s="234"/>
      <c r="BD11" s="234"/>
      <c r="BE11" s="234"/>
      <c r="BF11" s="234"/>
      <c r="BG11" s="234"/>
      <c r="BH11" s="234"/>
      <c r="BI11" s="234"/>
      <c r="BJ11" s="234"/>
      <c r="BL11" s="238">
        <v>10</v>
      </c>
      <c r="BM11" s="238" t="str">
        <v>k</v>
      </c>
      <c r="BN11" s="239" t="str">
        <v>k</v>
      </c>
      <c r="BO11" s="238" t="str">
        <v>e</v>
      </c>
      <c r="BP11" s="238" t="str">
        <v>ㄍ</v>
      </c>
      <c r="BR11" s="238">
        <v>10</v>
      </c>
      <c r="BS11" s="238" t="s">
        <v>133</v>
      </c>
      <c r="BT11" s="238" t="s">
        <v>133</v>
      </c>
      <c r="BU11" s="238" t="s">
        <v>180</v>
      </c>
      <c r="BV11" s="238" t="s">
        <v>96</v>
      </c>
      <c r="BX11" s="238">
        <v>10</v>
      </c>
      <c r="BY11" s="238" t="s">
        <v>183</v>
      </c>
      <c r="BZ11" s="238" t="s">
        <v>115</v>
      </c>
      <c r="CA11" s="238" t="s">
        <v>225</v>
      </c>
      <c r="CB11" s="238" t="s">
        <v>182</v>
      </c>
    </row>
    <row r="12" spans="1:86" outlineLevel="1">
      <c r="AR12" s="212" t="s">
        <v>278</v>
      </c>
      <c r="AS12" s="1" t="s">
        <v>277</v>
      </c>
      <c r="AV12" s="1" t="str">
        <f xml:space="preserve"> _xlfn.UNICHAR(HEX2DEC(RIGHT("U+207F",4)))</f>
        <v>ⁿ</v>
      </c>
      <c r="BL12" s="238">
        <v>11</v>
      </c>
      <c r="BM12" s="238" t="str">
        <v>kh</v>
      </c>
      <c r="BN12" s="238" t="str">
        <v>K</v>
      </c>
      <c r="BO12" s="238" t="str">
        <v>d</v>
      </c>
      <c r="BP12" s="238" t="str">
        <v>ㄎ</v>
      </c>
      <c r="BR12" s="238">
        <v>11</v>
      </c>
      <c r="BS12" s="238" t="s">
        <v>511</v>
      </c>
      <c r="BT12" s="238" t="s">
        <v>118</v>
      </c>
      <c r="BU12" s="238" t="s">
        <v>185</v>
      </c>
      <c r="BV12" s="238" t="s">
        <v>132</v>
      </c>
      <c r="BX12" s="238">
        <v>11</v>
      </c>
      <c r="BY12" s="238" t="s">
        <v>519</v>
      </c>
      <c r="BZ12" s="238" t="s">
        <v>70</v>
      </c>
      <c r="CA12" s="238" t="s">
        <v>38</v>
      </c>
      <c r="CB12" s="238" t="s">
        <v>173</v>
      </c>
    </row>
    <row r="13" spans="1:86" outlineLevel="1">
      <c r="A13" s="1" t="s">
        <v>0</v>
      </c>
      <c r="BL13" s="238">
        <v>12</v>
      </c>
      <c r="BM13" s="238" t="str">
        <v>ng</v>
      </c>
      <c r="BN13" s="238" t="str">
        <v>ŋ</v>
      </c>
      <c r="BO13" s="238" t="str">
        <v>N</v>
      </c>
      <c r="BP13" s="238" t="str">
        <v>ㄫ</v>
      </c>
      <c r="BR13" s="238">
        <v>12</v>
      </c>
      <c r="BS13" s="238" t="s">
        <v>447</v>
      </c>
      <c r="BT13" s="238" t="s">
        <v>217</v>
      </c>
      <c r="BU13" s="238" t="s">
        <v>115</v>
      </c>
      <c r="BV13" s="238" t="s">
        <v>158</v>
      </c>
      <c r="BX13" s="238">
        <v>12</v>
      </c>
      <c r="BY13" s="238" t="s">
        <v>520</v>
      </c>
      <c r="BZ13" s="238" t="s">
        <v>114</v>
      </c>
      <c r="CA13" s="238" t="s">
        <v>193</v>
      </c>
      <c r="CB13" s="238" t="s">
        <v>99</v>
      </c>
    </row>
    <row r="14" spans="1:86" outlineLevel="1">
      <c r="B14" s="1" t="str">
        <f xml:space="preserve"> _xlfn.CONCAT("    - xlit|", C4:BI4, "|", C5:BI5, "|")</f>
        <v xml:space="preserve">    - xlit|bpPmntTlgkKŋjzcshJZCSaiwueOəMNGRFQVIUY@AWHdfqrvxyLØ1732584&amp;|!1qas2wxEedNYyhncRrfv8uKj,ikmp/btgz9lM0;Oo*UJ&lt;I(L-="5346][7|</v>
      </c>
      <c r="BL14" s="238">
        <v>13</v>
      </c>
      <c r="BM14" s="238" t="str">
        <v>j</v>
      </c>
      <c r="BN14" s="238" t="str">
        <v>j</v>
      </c>
      <c r="BO14" s="238" t="str">
        <v>Y</v>
      </c>
      <c r="BP14" s="238" t="str">
        <v>ㆡ</v>
      </c>
      <c r="BR14" s="238">
        <v>13</v>
      </c>
      <c r="BS14" s="238" t="s">
        <v>187</v>
      </c>
      <c r="BT14" s="238" t="s">
        <v>187</v>
      </c>
      <c r="BU14" s="238" t="s">
        <v>72</v>
      </c>
      <c r="BV14" s="238" t="s">
        <v>84</v>
      </c>
      <c r="BX14" s="238">
        <v>13</v>
      </c>
      <c r="BY14" s="238" t="s">
        <v>521</v>
      </c>
      <c r="BZ14" s="238" t="s">
        <v>67</v>
      </c>
      <c r="CA14" s="238" t="s">
        <v>97</v>
      </c>
      <c r="CB14" s="238" t="s">
        <v>136</v>
      </c>
    </row>
    <row r="15" spans="1:86" outlineLevel="1">
      <c r="B15" s="2" t="s">
        <v>281</v>
      </c>
      <c r="BL15" s="238">
        <v>14</v>
      </c>
      <c r="BM15" s="238" t="str">
        <v>z(ts)</v>
      </c>
      <c r="BN15" s="239" t="str">
        <v>z</v>
      </c>
      <c r="BO15" s="238" t="str">
        <v>y</v>
      </c>
      <c r="BP15" s="238" t="str">
        <v>ㄗ</v>
      </c>
      <c r="BR15" s="238">
        <v>14</v>
      </c>
      <c r="BS15" s="238" t="s">
        <v>512</v>
      </c>
      <c r="BT15" s="238" t="s">
        <v>102</v>
      </c>
      <c r="BU15" s="238" t="s">
        <v>197</v>
      </c>
      <c r="BV15" s="238" t="s">
        <v>101</v>
      </c>
      <c r="BX15" s="238">
        <v>14</v>
      </c>
      <c r="BY15" s="238" t="s">
        <v>522</v>
      </c>
      <c r="BZ15" s="238" t="s">
        <v>151</v>
      </c>
      <c r="CA15" s="238" t="s">
        <v>102</v>
      </c>
      <c r="CB15" s="238" t="s">
        <v>165</v>
      </c>
    </row>
    <row r="16" spans="1:86" outlineLevel="1">
      <c r="A16" s="1" t="s">
        <v>1</v>
      </c>
      <c r="B16" s="1">
        <f xml:space="preserve"> SEARCH("|", $B$14)</f>
        <v>11</v>
      </c>
      <c r="BL16" s="238">
        <v>15</v>
      </c>
      <c r="BM16" s="238" t="str">
        <v>c(tsh)</v>
      </c>
      <c r="BN16" s="239" t="str">
        <v>c</v>
      </c>
      <c r="BO16" s="238" t="str">
        <v>h</v>
      </c>
      <c r="BP16" s="238" t="str">
        <v>ㄘ</v>
      </c>
      <c r="BR16" s="238">
        <v>15</v>
      </c>
      <c r="BS16" s="238" t="s">
        <v>513</v>
      </c>
      <c r="BT16" s="238" t="s">
        <v>139</v>
      </c>
      <c r="BU16" s="238" t="s">
        <v>170</v>
      </c>
      <c r="BV16" s="238" t="s">
        <v>138</v>
      </c>
      <c r="BX16" s="238">
        <v>15</v>
      </c>
      <c r="BY16" s="238" t="s">
        <v>59</v>
      </c>
      <c r="BZ16" s="238" t="s">
        <v>74</v>
      </c>
      <c r="CA16" s="238" t="s">
        <v>226</v>
      </c>
      <c r="CB16" s="238" t="s">
        <v>58</v>
      </c>
    </row>
    <row r="17" spans="1:80" outlineLevel="1">
      <c r="A17" s="1" t="s">
        <v>2</v>
      </c>
      <c r="B17" s="1">
        <f xml:space="preserve"> SEARCH("|", $B$14, B16+1)</f>
        <v>71</v>
      </c>
      <c r="BL17" s="238">
        <v>16</v>
      </c>
      <c r="BM17" s="238" t="str">
        <v>s</v>
      </c>
      <c r="BN17" s="239" t="str">
        <v>s</v>
      </c>
      <c r="BO17" s="238" t="str">
        <v>n</v>
      </c>
      <c r="BP17" s="238" t="str">
        <v>ㄙ</v>
      </c>
      <c r="BR17" s="238">
        <v>16</v>
      </c>
      <c r="BS17" s="238" t="s">
        <v>176</v>
      </c>
      <c r="BT17" s="238" t="s">
        <v>176</v>
      </c>
      <c r="BU17" s="238" t="s">
        <v>189</v>
      </c>
      <c r="BV17" s="238" t="s">
        <v>175</v>
      </c>
      <c r="BX17" s="238">
        <v>16</v>
      </c>
      <c r="BY17" s="238" t="s">
        <v>145</v>
      </c>
      <c r="BZ17" s="238" t="s">
        <v>73</v>
      </c>
      <c r="CA17" s="238" t="s">
        <v>168</v>
      </c>
      <c r="CB17" s="238" t="s">
        <v>144</v>
      </c>
    </row>
    <row r="18" spans="1:80" outlineLevel="1">
      <c r="A18" s="1" t="s">
        <v>3</v>
      </c>
      <c r="B18" s="1">
        <f xml:space="preserve"> SEARCH("|", $B$14, B17+1)</f>
        <v>131</v>
      </c>
      <c r="BL18" s="238">
        <v>17</v>
      </c>
      <c r="BM18" s="238" t="str">
        <v>h</v>
      </c>
      <c r="BN18" s="239" t="str">
        <v>h</v>
      </c>
      <c r="BO18" s="238" t="str">
        <v>c</v>
      </c>
      <c r="BP18" s="238" t="str">
        <v>ㄏ</v>
      </c>
      <c r="BR18" s="238">
        <v>17</v>
      </c>
      <c r="BS18" s="238" t="s">
        <v>170</v>
      </c>
      <c r="BT18" s="238" t="s">
        <v>170</v>
      </c>
      <c r="BU18" s="238" t="s">
        <v>139</v>
      </c>
      <c r="BV18" s="238" t="s">
        <v>169</v>
      </c>
      <c r="BX18" s="238">
        <v>17</v>
      </c>
      <c r="BY18" s="238" t="s">
        <v>161</v>
      </c>
      <c r="BZ18" s="238" t="s">
        <v>72</v>
      </c>
      <c r="CA18" s="238" t="s">
        <v>154</v>
      </c>
      <c r="CB18" s="238" t="s">
        <v>160</v>
      </c>
    </row>
    <row r="19" spans="1:80" outlineLevel="1">
      <c r="BL19" s="238">
        <v>18</v>
      </c>
      <c r="BM19" s="238" t="str">
        <v>j(i)</v>
      </c>
      <c r="BN19" s="239" t="str">
        <v>J</v>
      </c>
      <c r="BO19" s="238" t="str">
        <v>R</v>
      </c>
      <c r="BP19" s="238" t="str">
        <v>ㆢ</v>
      </c>
      <c r="BR19" s="238">
        <v>18</v>
      </c>
      <c r="BS19" s="238" t="s">
        <v>514</v>
      </c>
      <c r="BT19" s="238" t="s">
        <v>117</v>
      </c>
      <c r="BU19" s="238" t="s">
        <v>70</v>
      </c>
      <c r="BV19" s="238" t="s">
        <v>82</v>
      </c>
      <c r="BX19" s="238">
        <v>18</v>
      </c>
      <c r="BY19" s="238" t="s">
        <v>61</v>
      </c>
      <c r="BZ19" s="238" t="s">
        <v>218</v>
      </c>
      <c r="CA19" s="238" t="s">
        <v>227</v>
      </c>
      <c r="CB19" s="238" t="s">
        <v>60</v>
      </c>
    </row>
    <row r="20" spans="1:80">
      <c r="A20" s="1" t="s">
        <v>4</v>
      </c>
      <c r="B20" s="1">
        <f xml:space="preserve"> LEN(C20)</f>
        <v>59</v>
      </c>
      <c r="C20" s="1" t="str">
        <f xml:space="preserve"> MID($B$14,B16+1, (B17-B16-1))</f>
        <v>bpPmntTlgkKŋjzcshJZCSaiwueOəMNGRFQVIUY@AWHdfqrvxyLØ1732584&amp;</v>
      </c>
      <c r="BL20" s="238">
        <v>19</v>
      </c>
      <c r="BM20" s="238" t="str">
        <v>z(i)</v>
      </c>
      <c r="BN20" s="239" t="str">
        <v>Z</v>
      </c>
      <c r="BO20" s="238" t="str">
        <v>r</v>
      </c>
      <c r="BP20" s="238" t="str">
        <v>ㄐ</v>
      </c>
      <c r="BR20" s="238">
        <v>19</v>
      </c>
      <c r="BS20" s="238" t="s">
        <v>515</v>
      </c>
      <c r="BT20" s="238" t="s">
        <v>148</v>
      </c>
      <c r="BU20" s="238" t="s">
        <v>192</v>
      </c>
      <c r="BV20" s="238" t="s">
        <v>98</v>
      </c>
      <c r="BX20" s="238">
        <v>19</v>
      </c>
      <c r="BY20" s="238" t="s">
        <v>147</v>
      </c>
      <c r="BZ20" s="238" t="s">
        <v>111</v>
      </c>
      <c r="CA20" s="238" t="s">
        <v>228</v>
      </c>
      <c r="CB20" s="238" t="s">
        <v>146</v>
      </c>
    </row>
    <row r="21" spans="1:80">
      <c r="A21" s="1" t="s">
        <v>5</v>
      </c>
      <c r="B21" s="1">
        <f xml:space="preserve"> LEN(C21)</f>
        <v>59</v>
      </c>
      <c r="C21" s="1" t="str">
        <f xml:space="preserve"> MID($B$14,B17+1, (B18-B17-1))</f>
        <v>!1qas2wxEedNYyhncRrfv8uKj,ikmp/btgz9lM0;Oo*UJ&lt;I(L-="5346][7</v>
      </c>
      <c r="BL21" s="238">
        <v>20</v>
      </c>
      <c r="BM21" s="238" t="str">
        <v>c(i)</v>
      </c>
      <c r="BN21" s="239" t="str">
        <v>C</v>
      </c>
      <c r="BO21" s="238" t="str">
        <v>f</v>
      </c>
      <c r="BP21" s="238" t="str">
        <v>ㄑ</v>
      </c>
      <c r="BR21" s="238">
        <v>20</v>
      </c>
      <c r="BS21" s="238" t="s">
        <v>516</v>
      </c>
      <c r="BT21" s="238" t="s">
        <v>150</v>
      </c>
      <c r="BU21" s="238" t="s">
        <v>186</v>
      </c>
      <c r="BV21" s="238" t="s">
        <v>134</v>
      </c>
      <c r="BX21" s="238">
        <v>20</v>
      </c>
      <c r="BY21" s="238" t="s">
        <v>91</v>
      </c>
      <c r="BZ21" s="238" t="s">
        <v>68</v>
      </c>
      <c r="CA21" s="238" t="s">
        <v>75</v>
      </c>
      <c r="CB21" s="238" t="s">
        <v>90</v>
      </c>
    </row>
    <row r="22" spans="1:80">
      <c r="BL22" s="238">
        <v>21</v>
      </c>
      <c r="BM22" s="238" t="str">
        <v>s(i)</v>
      </c>
      <c r="BN22" s="239" t="str">
        <v>S</v>
      </c>
      <c r="BO22" s="238" t="str">
        <v>v</v>
      </c>
      <c r="BP22" s="238" t="str">
        <v>ㄒ</v>
      </c>
      <c r="BR22" s="238">
        <v>21</v>
      </c>
      <c r="BS22" s="238" t="s">
        <v>517</v>
      </c>
      <c r="BT22" s="238" t="s">
        <v>112</v>
      </c>
      <c r="BU22" s="238" t="s">
        <v>194</v>
      </c>
      <c r="BV22" s="238" t="s">
        <v>171</v>
      </c>
      <c r="BX22" s="238">
        <v>21</v>
      </c>
      <c r="BY22" s="238" t="s">
        <v>108</v>
      </c>
      <c r="BZ22" s="238" t="s">
        <v>116</v>
      </c>
      <c r="CA22" s="238" t="s">
        <v>190</v>
      </c>
      <c r="CB22" s="238" t="s">
        <v>107</v>
      </c>
    </row>
    <row r="23" spans="1:80">
      <c r="C23" s="3">
        <f xml:space="preserve"> COLUMN() -2</f>
        <v>1</v>
      </c>
      <c r="D23" s="3">
        <f t="shared" ref="D23:BJ23" si="1" xml:space="preserve"> COLUMN() -2</f>
        <v>2</v>
      </c>
      <c r="E23" s="3">
        <f t="shared" si="1"/>
        <v>3</v>
      </c>
      <c r="F23" s="3">
        <f t="shared" si="1"/>
        <v>4</v>
      </c>
      <c r="G23" s="3">
        <f t="shared" si="1"/>
        <v>5</v>
      </c>
      <c r="H23" s="3">
        <f t="shared" si="1"/>
        <v>6</v>
      </c>
      <c r="I23" s="3">
        <f t="shared" si="1"/>
        <v>7</v>
      </c>
      <c r="J23" s="3">
        <f t="shared" si="1"/>
        <v>8</v>
      </c>
      <c r="K23" s="3">
        <f t="shared" si="1"/>
        <v>9</v>
      </c>
      <c r="L23" s="3">
        <f t="shared" si="1"/>
        <v>10</v>
      </c>
      <c r="M23" s="3">
        <f t="shared" si="1"/>
        <v>11</v>
      </c>
      <c r="N23" s="3">
        <f t="shared" si="1"/>
        <v>12</v>
      </c>
      <c r="O23" s="3">
        <f t="shared" si="1"/>
        <v>13</v>
      </c>
      <c r="P23" s="3">
        <f t="shared" si="1"/>
        <v>14</v>
      </c>
      <c r="Q23" s="3">
        <f t="shared" si="1"/>
        <v>15</v>
      </c>
      <c r="R23" s="3">
        <f t="shared" si="1"/>
        <v>16</v>
      </c>
      <c r="S23" s="3">
        <f t="shared" si="1"/>
        <v>17</v>
      </c>
      <c r="T23" s="3">
        <f t="shared" si="1"/>
        <v>18</v>
      </c>
      <c r="U23" s="3">
        <f t="shared" si="1"/>
        <v>19</v>
      </c>
      <c r="V23" s="3">
        <f t="shared" si="1"/>
        <v>20</v>
      </c>
      <c r="W23" s="3">
        <f t="shared" si="1"/>
        <v>21</v>
      </c>
      <c r="X23" s="3">
        <f t="shared" si="1"/>
        <v>22</v>
      </c>
      <c r="Y23" s="3">
        <f t="shared" si="1"/>
        <v>23</v>
      </c>
      <c r="Z23" s="3">
        <f t="shared" si="1"/>
        <v>24</v>
      </c>
      <c r="AA23" s="3">
        <f t="shared" si="1"/>
        <v>25</v>
      </c>
      <c r="AB23" s="3">
        <f t="shared" si="1"/>
        <v>26</v>
      </c>
      <c r="AC23" s="3">
        <f t="shared" si="1"/>
        <v>27</v>
      </c>
      <c r="AD23" s="3">
        <f t="shared" si="1"/>
        <v>28</v>
      </c>
      <c r="AE23" s="3">
        <f t="shared" si="1"/>
        <v>29</v>
      </c>
      <c r="AF23" s="3">
        <f t="shared" si="1"/>
        <v>30</v>
      </c>
      <c r="AG23" s="3">
        <f t="shared" si="1"/>
        <v>31</v>
      </c>
      <c r="AH23" s="3">
        <f t="shared" si="1"/>
        <v>32</v>
      </c>
      <c r="AI23" s="3">
        <f t="shared" si="1"/>
        <v>33</v>
      </c>
      <c r="AJ23" s="3">
        <f t="shared" si="1"/>
        <v>34</v>
      </c>
      <c r="AK23" s="3">
        <f t="shared" si="1"/>
        <v>35</v>
      </c>
      <c r="AL23" s="3">
        <f t="shared" si="1"/>
        <v>36</v>
      </c>
      <c r="AM23" s="3">
        <f t="shared" si="1"/>
        <v>37</v>
      </c>
      <c r="AN23" s="3">
        <f t="shared" si="1"/>
        <v>38</v>
      </c>
      <c r="AO23" s="3">
        <f t="shared" si="1"/>
        <v>39</v>
      </c>
      <c r="AP23" s="3">
        <f t="shared" si="1"/>
        <v>40</v>
      </c>
      <c r="AQ23" s="3">
        <f t="shared" si="1"/>
        <v>41</v>
      </c>
      <c r="AR23" s="3">
        <f t="shared" si="1"/>
        <v>42</v>
      </c>
      <c r="AS23" s="3">
        <f t="shared" si="1"/>
        <v>43</v>
      </c>
      <c r="AT23" s="3">
        <f t="shared" si="1"/>
        <v>44</v>
      </c>
      <c r="AU23" s="3">
        <f t="shared" si="1"/>
        <v>45</v>
      </c>
      <c r="AV23" s="3">
        <f t="shared" si="1"/>
        <v>46</v>
      </c>
      <c r="AW23" s="3">
        <f t="shared" si="1"/>
        <v>47</v>
      </c>
      <c r="AX23" s="3">
        <f t="shared" si="1"/>
        <v>48</v>
      </c>
      <c r="AY23" s="3">
        <f t="shared" si="1"/>
        <v>49</v>
      </c>
      <c r="AZ23" s="3">
        <f t="shared" si="1"/>
        <v>50</v>
      </c>
      <c r="BA23" s="3">
        <f t="shared" si="1"/>
        <v>51</v>
      </c>
      <c r="BB23" s="3">
        <f t="shared" si="1"/>
        <v>52</v>
      </c>
      <c r="BC23" s="3">
        <f t="shared" si="1"/>
        <v>53</v>
      </c>
      <c r="BD23" s="3">
        <f t="shared" si="1"/>
        <v>54</v>
      </c>
      <c r="BE23" s="3">
        <f t="shared" si="1"/>
        <v>55</v>
      </c>
      <c r="BF23" s="3">
        <f t="shared" si="1"/>
        <v>56</v>
      </c>
      <c r="BG23" s="3">
        <f t="shared" si="1"/>
        <v>57</v>
      </c>
      <c r="BH23" s="3">
        <f t="shared" si="1"/>
        <v>58</v>
      </c>
      <c r="BI23" s="3">
        <f t="shared" si="1"/>
        <v>59</v>
      </c>
      <c r="BJ23" s="3">
        <f t="shared" si="1"/>
        <v>60</v>
      </c>
      <c r="BL23" s="238">
        <v>22</v>
      </c>
      <c r="BM23" s="238" t="str">
        <v>a</v>
      </c>
      <c r="BN23" s="239" t="str">
        <v>a</v>
      </c>
      <c r="BO23" s="238" t="str">
        <v>8</v>
      </c>
      <c r="BP23" s="238" t="str">
        <v>ㄚ</v>
      </c>
      <c r="BX23" s="238">
        <v>22</v>
      </c>
      <c r="BY23" s="238" t="s">
        <v>523</v>
      </c>
      <c r="BZ23" s="238" t="s">
        <v>185</v>
      </c>
      <c r="CA23" s="238" t="s">
        <v>229</v>
      </c>
      <c r="CB23" s="238" t="s">
        <v>39</v>
      </c>
    </row>
    <row r="24" spans="1:80">
      <c r="A24" s="244" t="s">
        <v>4</v>
      </c>
      <c r="C24" s="4" t="str">
        <f xml:space="preserve"> MID($C$20,C$23,1)</f>
        <v>b</v>
      </c>
      <c r="D24" s="4" t="str">
        <f t="shared" ref="D24:BJ24" si="2" xml:space="preserve"> MID($C$20,D$23,1)</f>
        <v>p</v>
      </c>
      <c r="E24" s="4" t="str">
        <f t="shared" si="2"/>
        <v>P</v>
      </c>
      <c r="F24" s="4" t="str">
        <f t="shared" si="2"/>
        <v>m</v>
      </c>
      <c r="G24" s="4" t="str">
        <f t="shared" si="2"/>
        <v>n</v>
      </c>
      <c r="H24" s="4" t="str">
        <f t="shared" si="2"/>
        <v>t</v>
      </c>
      <c r="I24" s="4" t="str">
        <f t="shared" si="2"/>
        <v>T</v>
      </c>
      <c r="J24" s="4" t="str">
        <f t="shared" si="2"/>
        <v>l</v>
      </c>
      <c r="K24" s="4" t="str">
        <f t="shared" si="2"/>
        <v>g</v>
      </c>
      <c r="L24" s="4" t="str">
        <f t="shared" si="2"/>
        <v>k</v>
      </c>
      <c r="M24" s="4" t="str">
        <f t="shared" si="2"/>
        <v>K</v>
      </c>
      <c r="N24" s="4" t="str">
        <f t="shared" si="2"/>
        <v>ŋ</v>
      </c>
      <c r="O24" s="4" t="str">
        <f t="shared" si="2"/>
        <v>j</v>
      </c>
      <c r="P24" s="4" t="str">
        <f t="shared" si="2"/>
        <v>z</v>
      </c>
      <c r="Q24" s="4" t="str">
        <f t="shared" si="2"/>
        <v>c</v>
      </c>
      <c r="R24" s="4" t="str">
        <f t="shared" si="2"/>
        <v>s</v>
      </c>
      <c r="S24" s="4" t="str">
        <f t="shared" si="2"/>
        <v>h</v>
      </c>
      <c r="T24" s="4" t="str">
        <f t="shared" si="2"/>
        <v>J</v>
      </c>
      <c r="U24" s="4" t="str">
        <f t="shared" si="2"/>
        <v>Z</v>
      </c>
      <c r="V24" s="4" t="str">
        <f t="shared" si="2"/>
        <v>C</v>
      </c>
      <c r="W24" s="4" t="str">
        <f t="shared" si="2"/>
        <v>S</v>
      </c>
      <c r="X24" s="4" t="str">
        <f t="shared" si="2"/>
        <v>a</v>
      </c>
      <c r="Y24" s="4" t="str">
        <f t="shared" si="2"/>
        <v>i</v>
      </c>
      <c r="Z24" s="4" t="str">
        <f t="shared" si="2"/>
        <v>w</v>
      </c>
      <c r="AA24" s="4" t="str">
        <f t="shared" si="2"/>
        <v>u</v>
      </c>
      <c r="AB24" s="4" t="str">
        <f t="shared" si="2"/>
        <v>e</v>
      </c>
      <c r="AC24" s="4" t="str">
        <f t="shared" si="2"/>
        <v>O</v>
      </c>
      <c r="AD24" s="4" t="str">
        <f t="shared" si="2"/>
        <v>ə</v>
      </c>
      <c r="AE24" s="4" t="str">
        <f t="shared" si="2"/>
        <v>M</v>
      </c>
      <c r="AF24" s="4" t="str">
        <f t="shared" si="2"/>
        <v>N</v>
      </c>
      <c r="AG24" s="4" t="str">
        <f t="shared" si="2"/>
        <v>G</v>
      </c>
      <c r="AH24" s="4" t="str">
        <f t="shared" si="2"/>
        <v>R</v>
      </c>
      <c r="AI24" s="4" t="str">
        <f t="shared" si="2"/>
        <v>F</v>
      </c>
      <c r="AJ24" s="4" t="str">
        <f t="shared" si="2"/>
        <v>Q</v>
      </c>
      <c r="AK24" s="4" t="str">
        <f t="shared" si="2"/>
        <v>V</v>
      </c>
      <c r="AL24" s="4" t="str">
        <f t="shared" si="2"/>
        <v>I</v>
      </c>
      <c r="AM24" s="4" t="str">
        <f t="shared" si="2"/>
        <v>U</v>
      </c>
      <c r="AN24" s="4" t="str">
        <f t="shared" si="2"/>
        <v>Y</v>
      </c>
      <c r="AO24" s="4" t="str">
        <f t="shared" si="2"/>
        <v>@</v>
      </c>
      <c r="AP24" s="4" t="str">
        <f t="shared" si="2"/>
        <v>A</v>
      </c>
      <c r="AQ24" s="4" t="str">
        <f t="shared" si="2"/>
        <v>W</v>
      </c>
      <c r="AR24" s="4" t="str">
        <f t="shared" si="2"/>
        <v>H</v>
      </c>
      <c r="AS24" s="4" t="str">
        <f t="shared" si="2"/>
        <v>d</v>
      </c>
      <c r="AT24" s="4" t="str">
        <f t="shared" si="2"/>
        <v>f</v>
      </c>
      <c r="AU24" s="4" t="str">
        <f t="shared" si="2"/>
        <v>q</v>
      </c>
      <c r="AV24" s="4" t="str">
        <f t="shared" si="2"/>
        <v>r</v>
      </c>
      <c r="AW24" s="4" t="str">
        <f t="shared" si="2"/>
        <v>v</v>
      </c>
      <c r="AX24" s="4" t="str">
        <f t="shared" si="2"/>
        <v>x</v>
      </c>
      <c r="AY24" s="4" t="str">
        <f t="shared" si="2"/>
        <v>y</v>
      </c>
      <c r="AZ24" s="4" t="str">
        <f t="shared" si="2"/>
        <v>L</v>
      </c>
      <c r="BA24" s="4" t="str">
        <f t="shared" si="2"/>
        <v>Ø</v>
      </c>
      <c r="BB24" s="4" t="str">
        <f t="shared" si="2"/>
        <v>1</v>
      </c>
      <c r="BC24" s="4" t="str">
        <f t="shared" si="2"/>
        <v>7</v>
      </c>
      <c r="BD24" s="4" t="str">
        <f t="shared" si="2"/>
        <v>3</v>
      </c>
      <c r="BE24" s="4" t="str">
        <f t="shared" si="2"/>
        <v>2</v>
      </c>
      <c r="BF24" s="4" t="str">
        <f t="shared" si="2"/>
        <v>5</v>
      </c>
      <c r="BG24" s="4" t="str">
        <f t="shared" si="2"/>
        <v>8</v>
      </c>
      <c r="BH24" s="4" t="str">
        <f t="shared" si="2"/>
        <v>4</v>
      </c>
      <c r="BI24" s="4" t="str">
        <f t="shared" si="2"/>
        <v>&amp;</v>
      </c>
      <c r="BJ24" s="4" t="str">
        <f t="shared" si="2"/>
        <v/>
      </c>
      <c r="BL24" s="238">
        <v>23</v>
      </c>
      <c r="BM24" s="238" t="str">
        <v>i</v>
      </c>
      <c r="BN24" s="239" t="str">
        <v>i</v>
      </c>
      <c r="BO24" s="238" t="str">
        <v>u</v>
      </c>
      <c r="BP24" s="238" t="str">
        <v>ㄧ</v>
      </c>
      <c r="BX24" s="238">
        <v>23</v>
      </c>
      <c r="BY24" s="238" t="s">
        <v>524</v>
      </c>
      <c r="BZ24" s="238" t="s">
        <v>186</v>
      </c>
      <c r="CA24" s="238" t="s">
        <v>73</v>
      </c>
      <c r="CB24" s="238" t="s">
        <v>86</v>
      </c>
    </row>
    <row r="25" spans="1:80">
      <c r="A25" s="245" t="s">
        <v>64</v>
      </c>
      <c r="C25" s="5" t="str">
        <f xml:space="preserve"> MID($C$21,C$23,1)</f>
        <v>!</v>
      </c>
      <c r="D25" s="5" t="str">
        <f t="shared" ref="D25:BJ25" si="3" xml:space="preserve"> MID($C$21,D$23,1)</f>
        <v>1</v>
      </c>
      <c r="E25" s="5" t="str">
        <f t="shared" si="3"/>
        <v>q</v>
      </c>
      <c r="F25" s="5" t="str">
        <f t="shared" si="3"/>
        <v>a</v>
      </c>
      <c r="G25" s="5" t="str">
        <f t="shared" si="3"/>
        <v>s</v>
      </c>
      <c r="H25" s="5" t="str">
        <f t="shared" si="3"/>
        <v>2</v>
      </c>
      <c r="I25" s="5" t="str">
        <f t="shared" si="3"/>
        <v>w</v>
      </c>
      <c r="J25" s="5" t="str">
        <f t="shared" si="3"/>
        <v>x</v>
      </c>
      <c r="K25" s="5" t="str">
        <f t="shared" si="3"/>
        <v>E</v>
      </c>
      <c r="L25" s="5" t="str">
        <f t="shared" si="3"/>
        <v>e</v>
      </c>
      <c r="M25" s="5" t="str">
        <f t="shared" si="3"/>
        <v>d</v>
      </c>
      <c r="N25" s="5" t="str">
        <f t="shared" si="3"/>
        <v>N</v>
      </c>
      <c r="O25" s="5" t="str">
        <f t="shared" si="3"/>
        <v>Y</v>
      </c>
      <c r="P25" s="5" t="str">
        <f t="shared" si="3"/>
        <v>y</v>
      </c>
      <c r="Q25" s="5" t="str">
        <f t="shared" si="3"/>
        <v>h</v>
      </c>
      <c r="R25" s="5" t="str">
        <f t="shared" si="3"/>
        <v>n</v>
      </c>
      <c r="S25" s="5" t="str">
        <f t="shared" si="3"/>
        <v>c</v>
      </c>
      <c r="T25" s="5" t="str">
        <f t="shared" si="3"/>
        <v>R</v>
      </c>
      <c r="U25" s="5" t="str">
        <f t="shared" si="3"/>
        <v>r</v>
      </c>
      <c r="V25" s="5" t="str">
        <f t="shared" si="3"/>
        <v>f</v>
      </c>
      <c r="W25" s="5" t="str">
        <f t="shared" si="3"/>
        <v>v</v>
      </c>
      <c r="X25" s="5" t="str">
        <f t="shared" si="3"/>
        <v>8</v>
      </c>
      <c r="Y25" s="5" t="str">
        <f t="shared" si="3"/>
        <v>u</v>
      </c>
      <c r="Z25" s="5" t="str">
        <f t="shared" si="3"/>
        <v>K</v>
      </c>
      <c r="AA25" s="5" t="str">
        <f t="shared" si="3"/>
        <v>j</v>
      </c>
      <c r="AB25" s="5" t="str">
        <f t="shared" si="3"/>
        <v>,</v>
      </c>
      <c r="AC25" s="5" t="str">
        <f t="shared" si="3"/>
        <v>i</v>
      </c>
      <c r="AD25" s="5" t="str">
        <f t="shared" si="3"/>
        <v>k</v>
      </c>
      <c r="AE25" s="5" t="str">
        <f t="shared" si="3"/>
        <v>m</v>
      </c>
      <c r="AF25" s="5" t="str">
        <f t="shared" si="3"/>
        <v>p</v>
      </c>
      <c r="AG25" s="5" t="str">
        <f t="shared" si="3"/>
        <v>/</v>
      </c>
      <c r="AH25" s="5" t="str">
        <f t="shared" si="3"/>
        <v>b</v>
      </c>
      <c r="AI25" s="5" t="str">
        <f t="shared" si="3"/>
        <v>t</v>
      </c>
      <c r="AJ25" s="5" t="str">
        <f t="shared" si="3"/>
        <v>g</v>
      </c>
      <c r="AK25" s="5" t="str">
        <f t="shared" si="3"/>
        <v>z</v>
      </c>
      <c r="AL25" s="5" t="str">
        <f t="shared" si="3"/>
        <v>9</v>
      </c>
      <c r="AM25" s="5" t="str">
        <f t="shared" si="3"/>
        <v>l</v>
      </c>
      <c r="AN25" s="5" t="str">
        <f t="shared" si="3"/>
        <v>M</v>
      </c>
      <c r="AO25" s="5" t="str">
        <f t="shared" si="3"/>
        <v>0</v>
      </c>
      <c r="AP25" s="5" t="str">
        <f t="shared" si="3"/>
        <v>;</v>
      </c>
      <c r="AQ25" s="5" t="str">
        <f t="shared" si="3"/>
        <v>O</v>
      </c>
      <c r="AR25" s="5" t="str">
        <f t="shared" si="3"/>
        <v>o</v>
      </c>
      <c r="AS25" s="5" t="str">
        <f t="shared" si="3"/>
        <v>*</v>
      </c>
      <c r="AT25" s="5" t="str">
        <f t="shared" si="3"/>
        <v>U</v>
      </c>
      <c r="AU25" s="5" t="str">
        <f t="shared" si="3"/>
        <v>J</v>
      </c>
      <c r="AV25" s="5" t="str">
        <f t="shared" si="3"/>
        <v>&lt;</v>
      </c>
      <c r="AW25" s="5" t="str">
        <f t="shared" si="3"/>
        <v>I</v>
      </c>
      <c r="AX25" s="5" t="str">
        <f t="shared" si="3"/>
        <v>(</v>
      </c>
      <c r="AY25" s="5" t="str">
        <f t="shared" si="3"/>
        <v>L</v>
      </c>
      <c r="AZ25" s="5" t="str">
        <f t="shared" si="3"/>
        <v>-</v>
      </c>
      <c r="BA25" s="5" t="str">
        <f t="shared" si="3"/>
        <v>=</v>
      </c>
      <c r="BB25" s="5" t="str">
        <f t="shared" si="3"/>
        <v>"</v>
      </c>
      <c r="BC25" s="5" t="str">
        <f t="shared" si="3"/>
        <v>5</v>
      </c>
      <c r="BD25" s="5" t="str">
        <f t="shared" si="3"/>
        <v>3</v>
      </c>
      <c r="BE25" s="5" t="str">
        <f t="shared" si="3"/>
        <v>4</v>
      </c>
      <c r="BF25" s="5" t="str">
        <f t="shared" si="3"/>
        <v>6</v>
      </c>
      <c r="BG25" s="5" t="str">
        <f t="shared" si="3"/>
        <v>]</v>
      </c>
      <c r="BH25" s="5" t="str">
        <f t="shared" si="3"/>
        <v>[</v>
      </c>
      <c r="BI25" s="5" t="str">
        <f t="shared" si="3"/>
        <v>7</v>
      </c>
      <c r="BJ25" s="5" t="str">
        <f t="shared" si="3"/>
        <v/>
      </c>
      <c r="BL25" s="238">
        <v>24</v>
      </c>
      <c r="BM25" s="238" t="str">
        <v>ir</v>
      </c>
      <c r="BN25" s="239" t="str">
        <v>w</v>
      </c>
      <c r="BO25" s="238" t="str">
        <v>K</v>
      </c>
      <c r="BP25" s="238" t="str">
        <v>ㆨ</v>
      </c>
      <c r="BX25" s="238">
        <v>24</v>
      </c>
      <c r="BY25" s="238" t="s">
        <v>525</v>
      </c>
      <c r="BZ25" s="238" t="s">
        <v>191</v>
      </c>
      <c r="CA25" s="238" t="s">
        <v>117</v>
      </c>
      <c r="CB25" s="238" t="s">
        <v>122</v>
      </c>
    </row>
    <row r="26" spans="1:80">
      <c r="BL26" s="238">
        <v>25</v>
      </c>
      <c r="BM26" s="238" t="str">
        <v>u</v>
      </c>
      <c r="BN26" s="238" t="str">
        <v>u</v>
      </c>
      <c r="BO26" s="238" t="str">
        <v>j</v>
      </c>
      <c r="BP26" s="238" t="str">
        <v>ㄨ</v>
      </c>
      <c r="BX26" s="238">
        <v>25</v>
      </c>
      <c r="BY26" s="238" t="s">
        <v>526</v>
      </c>
      <c r="BZ26" s="238" t="s">
        <v>192</v>
      </c>
      <c r="CA26" s="238" t="s">
        <v>230</v>
      </c>
      <c r="CB26" s="238" t="s">
        <v>162</v>
      </c>
    </row>
    <row r="27" spans="1:80" outlineLevel="1">
      <c r="BL27" s="238">
        <v>26</v>
      </c>
      <c r="BM27" s="238" t="str">
        <v>e</v>
      </c>
      <c r="BN27" s="238" t="str">
        <v>e</v>
      </c>
      <c r="BO27" s="238" t="str">
        <v>,</v>
      </c>
      <c r="BP27" s="238" t="str">
        <v>ㆤ</v>
      </c>
      <c r="BX27" s="238">
        <v>26</v>
      </c>
      <c r="BY27" s="238" t="s">
        <v>527</v>
      </c>
      <c r="BZ27" s="238" t="s">
        <v>194</v>
      </c>
      <c r="CA27" s="238" t="s">
        <v>74</v>
      </c>
      <c r="CB27" s="238" t="s">
        <v>88</v>
      </c>
    </row>
    <row r="28" spans="1:80" outlineLevel="1">
      <c r="A28" s="1" t="s">
        <v>6</v>
      </c>
      <c r="BL28" s="238">
        <v>27</v>
      </c>
      <c r="BM28" s="238" t="str">
        <v>oo</v>
      </c>
      <c r="BN28" s="238" t="str">
        <v>O</v>
      </c>
      <c r="BO28" s="238" t="str">
        <v>i</v>
      </c>
      <c r="BP28" s="238" t="str">
        <v>ㆦ</v>
      </c>
      <c r="BX28" s="238">
        <v>27</v>
      </c>
      <c r="BY28" s="238" t="s">
        <v>528</v>
      </c>
      <c r="BZ28" s="238" t="s">
        <v>196</v>
      </c>
      <c r="CA28" s="238" t="s">
        <v>231</v>
      </c>
      <c r="CB28" s="238" t="s">
        <v>41</v>
      </c>
    </row>
    <row r="29" spans="1:80" outlineLevel="1">
      <c r="B29" s="1" t="str">
        <f xml:space="preserve"> _xlfn.CONCAT("    - xlit|", C5:BI5, "|", C6:BI6, "|")</f>
        <v xml:space="preserve">    - xlit|!1qas2wxEedNYyhncRrfv8uKj,ikmp/btgz9lM0;Oo*UJ&lt;I(L-="5346][7|ㆠㄅㄆㄇㄋㄉㄊㄌㆣㄍㄎㄫㆡㄗㄘㄙㄏㆢㄐㄑㄒㄚㄧㆨㄨㆤㆦㄜㆬㄣㆭㆴㆵㆻㆷㄞㄠㆰㄢㄤㆱㆲㆩㆪㆫㆥㆧㆮㆯㄥØ一七三二五八四入|</v>
      </c>
      <c r="BL29" s="238">
        <v>28</v>
      </c>
      <c r="BM29" s="238" t="str">
        <v>o</v>
      </c>
      <c r="BN29" s="238" t="str">
        <v>ə</v>
      </c>
      <c r="BO29" s="238" t="str">
        <v>k</v>
      </c>
      <c r="BP29" s="238" t="str">
        <v>ㄜ</v>
      </c>
      <c r="BX29" s="238">
        <v>28</v>
      </c>
      <c r="BY29" s="238" t="s">
        <v>529</v>
      </c>
      <c r="BZ29" s="238" t="s">
        <v>197</v>
      </c>
      <c r="CA29" s="238" t="s">
        <v>119</v>
      </c>
      <c r="CB29" s="238" t="s">
        <v>126</v>
      </c>
    </row>
    <row r="30" spans="1:80" outlineLevel="1">
      <c r="BL30" s="238">
        <v>29</v>
      </c>
      <c r="BM30" s="238" t="str">
        <v>-m</v>
      </c>
      <c r="BN30" s="238" t="str">
        <v>M</v>
      </c>
      <c r="BO30" s="238" t="str">
        <v>m</v>
      </c>
      <c r="BP30" s="238" t="str">
        <v>ㆬ</v>
      </c>
    </row>
    <row r="31" spans="1:80" outlineLevel="1">
      <c r="A31" s="1" t="s">
        <v>1</v>
      </c>
      <c r="B31" s="1">
        <f xml:space="preserve"> SEARCH("|", $B$29)</f>
        <v>11</v>
      </c>
      <c r="BL31" s="238">
        <v>30</v>
      </c>
      <c r="BM31" s="238" t="str">
        <v>-n</v>
      </c>
      <c r="BN31" s="238" t="str">
        <v>N</v>
      </c>
      <c r="BO31" s="238" t="str">
        <v>p</v>
      </c>
      <c r="BP31" s="238" t="str">
        <v>ㄣ</v>
      </c>
    </row>
    <row r="32" spans="1:80" outlineLevel="1">
      <c r="A32" s="1" t="s">
        <v>2</v>
      </c>
      <c r="B32" s="1">
        <f xml:space="preserve"> SEARCH("|", $B$29, B31+1)</f>
        <v>71</v>
      </c>
      <c r="BL32" s="238">
        <v>31</v>
      </c>
      <c r="BM32" s="238" t="str">
        <v>-ng</v>
      </c>
      <c r="BN32" s="238" t="str">
        <v>G</v>
      </c>
      <c r="BO32" s="238" t="str">
        <v>/</v>
      </c>
      <c r="BP32" s="238" t="str">
        <v>ㆭ</v>
      </c>
    </row>
    <row r="33" spans="1:68" outlineLevel="1">
      <c r="A33" s="1" t="s">
        <v>3</v>
      </c>
      <c r="B33" s="1">
        <f xml:space="preserve"> SEARCH("|", $B$29, B32+1)</f>
        <v>131</v>
      </c>
      <c r="BL33" s="238">
        <v>32</v>
      </c>
      <c r="BM33" s="238" t="str">
        <v>-p</v>
      </c>
      <c r="BN33" s="238" t="str">
        <v>R</v>
      </c>
      <c r="BO33" s="238" t="str">
        <v>b</v>
      </c>
      <c r="BP33" s="238" t="str">
        <v>ㆴ</v>
      </c>
    </row>
    <row r="34" spans="1:68" outlineLevel="1">
      <c r="BL34" s="238">
        <v>33</v>
      </c>
      <c r="BM34" s="238" t="str">
        <v>-t</v>
      </c>
      <c r="BN34" s="238" t="str">
        <v>F</v>
      </c>
      <c r="BO34" s="238" t="str">
        <v>t</v>
      </c>
      <c r="BP34" s="238" t="str">
        <v>ㆵ</v>
      </c>
    </row>
    <row r="35" spans="1:68">
      <c r="A35" s="1" t="s">
        <v>5</v>
      </c>
      <c r="B35" s="1">
        <f xml:space="preserve"> LEN(C35)</f>
        <v>59</v>
      </c>
      <c r="C35" s="1" t="str">
        <f xml:space="preserve"> MID($B$29,B31+1, (B32-B31-1))</f>
        <v>!1qas2wxEedNYyhncRrfv8uKj,ikmp/btgz9lM0;Oo*UJ&lt;I(L-="5346][7</v>
      </c>
      <c r="BL35" s="238">
        <v>34</v>
      </c>
      <c r="BM35" s="238" t="str">
        <v>-k</v>
      </c>
      <c r="BN35" s="238" t="str">
        <v>Q</v>
      </c>
      <c r="BO35" s="238" t="str">
        <v>g</v>
      </c>
      <c r="BP35" s="238" t="str">
        <v>ㆻ</v>
      </c>
    </row>
    <row r="36" spans="1:68">
      <c r="A36" s="1" t="s">
        <v>7</v>
      </c>
      <c r="B36" s="1">
        <f xml:space="preserve"> LEN(C36)</f>
        <v>59</v>
      </c>
      <c r="C36" s="1" t="str">
        <f xml:space="preserve"> MID($B$29,B32+1, (B33-B32-1))</f>
        <v>ㆠㄅㄆㄇㄋㄉㄊㄌㆣㄍㄎㄫㆡㄗㄘㄙㄏㆢㄐㄑㄒㄚㄧㆨㄨㆤㆦㄜㆬㄣㆭㆴㆵㆻㆷㄞㄠㆰㄢㄤㆱㆲㆩㆪㆫㆥㆧㆮㆯㄥØ一七三二五八四入</v>
      </c>
      <c r="BL36" s="238">
        <v>35</v>
      </c>
      <c r="BM36" s="238" t="str">
        <v>-h</v>
      </c>
      <c r="BN36" s="238" t="str">
        <v>V</v>
      </c>
      <c r="BO36" s="238" t="str">
        <v>z</v>
      </c>
      <c r="BP36" s="238" t="str">
        <v>ㆷ</v>
      </c>
    </row>
    <row r="37" spans="1:68">
      <c r="BL37" s="238">
        <v>36</v>
      </c>
      <c r="BM37" s="238" t="str">
        <v>ai</v>
      </c>
      <c r="BN37" s="238" t="str">
        <v>I</v>
      </c>
      <c r="BO37" s="238" t="str">
        <v>9</v>
      </c>
      <c r="BP37" s="238" t="str">
        <v>ㄞ</v>
      </c>
    </row>
    <row r="38" spans="1:68">
      <c r="C38" s="3">
        <f xml:space="preserve"> COLUMN() -2</f>
        <v>1</v>
      </c>
      <c r="D38" s="3">
        <f t="shared" ref="D38:BJ38" si="4" xml:space="preserve"> COLUMN() -2</f>
        <v>2</v>
      </c>
      <c r="E38" s="3">
        <f t="shared" si="4"/>
        <v>3</v>
      </c>
      <c r="F38" s="3">
        <f t="shared" si="4"/>
        <v>4</v>
      </c>
      <c r="G38" s="3">
        <f t="shared" si="4"/>
        <v>5</v>
      </c>
      <c r="H38" s="3">
        <f t="shared" si="4"/>
        <v>6</v>
      </c>
      <c r="I38" s="3">
        <f t="shared" si="4"/>
        <v>7</v>
      </c>
      <c r="J38" s="3">
        <f t="shared" si="4"/>
        <v>8</v>
      </c>
      <c r="K38" s="3">
        <f t="shared" si="4"/>
        <v>9</v>
      </c>
      <c r="L38" s="3">
        <f t="shared" si="4"/>
        <v>10</v>
      </c>
      <c r="M38" s="3">
        <f t="shared" si="4"/>
        <v>11</v>
      </c>
      <c r="N38" s="3">
        <f t="shared" si="4"/>
        <v>12</v>
      </c>
      <c r="O38" s="3">
        <f t="shared" si="4"/>
        <v>13</v>
      </c>
      <c r="P38" s="3">
        <f t="shared" si="4"/>
        <v>14</v>
      </c>
      <c r="Q38" s="3">
        <f t="shared" si="4"/>
        <v>15</v>
      </c>
      <c r="R38" s="3">
        <f t="shared" si="4"/>
        <v>16</v>
      </c>
      <c r="S38" s="3">
        <f t="shared" si="4"/>
        <v>17</v>
      </c>
      <c r="T38" s="3">
        <f t="shared" si="4"/>
        <v>18</v>
      </c>
      <c r="U38" s="3">
        <f t="shared" si="4"/>
        <v>19</v>
      </c>
      <c r="V38" s="3">
        <f t="shared" si="4"/>
        <v>20</v>
      </c>
      <c r="W38" s="3">
        <f t="shared" si="4"/>
        <v>21</v>
      </c>
      <c r="X38" s="3">
        <f t="shared" si="4"/>
        <v>22</v>
      </c>
      <c r="Y38" s="3">
        <f t="shared" si="4"/>
        <v>23</v>
      </c>
      <c r="Z38" s="3">
        <f t="shared" si="4"/>
        <v>24</v>
      </c>
      <c r="AA38" s="3">
        <f t="shared" si="4"/>
        <v>25</v>
      </c>
      <c r="AB38" s="3">
        <f t="shared" si="4"/>
        <v>26</v>
      </c>
      <c r="AC38" s="3">
        <f t="shared" si="4"/>
        <v>27</v>
      </c>
      <c r="AD38" s="3">
        <f t="shared" si="4"/>
        <v>28</v>
      </c>
      <c r="AE38" s="3">
        <f t="shared" si="4"/>
        <v>29</v>
      </c>
      <c r="AF38" s="3">
        <f t="shared" si="4"/>
        <v>30</v>
      </c>
      <c r="AG38" s="3">
        <f t="shared" si="4"/>
        <v>31</v>
      </c>
      <c r="AH38" s="3">
        <f t="shared" si="4"/>
        <v>32</v>
      </c>
      <c r="AI38" s="3">
        <f t="shared" si="4"/>
        <v>33</v>
      </c>
      <c r="AJ38" s="3">
        <f t="shared" si="4"/>
        <v>34</v>
      </c>
      <c r="AK38" s="3">
        <f t="shared" si="4"/>
        <v>35</v>
      </c>
      <c r="AL38" s="3">
        <f t="shared" si="4"/>
        <v>36</v>
      </c>
      <c r="AM38" s="3">
        <f t="shared" si="4"/>
        <v>37</v>
      </c>
      <c r="AN38" s="3">
        <f t="shared" si="4"/>
        <v>38</v>
      </c>
      <c r="AO38" s="3">
        <f t="shared" si="4"/>
        <v>39</v>
      </c>
      <c r="AP38" s="3">
        <f t="shared" si="4"/>
        <v>40</v>
      </c>
      <c r="AQ38" s="3">
        <f t="shared" si="4"/>
        <v>41</v>
      </c>
      <c r="AR38" s="3">
        <f t="shared" si="4"/>
        <v>42</v>
      </c>
      <c r="AS38" s="3">
        <f t="shared" si="4"/>
        <v>43</v>
      </c>
      <c r="AT38" s="3">
        <f t="shared" si="4"/>
        <v>44</v>
      </c>
      <c r="AU38" s="3">
        <f t="shared" si="4"/>
        <v>45</v>
      </c>
      <c r="AV38" s="3">
        <f t="shared" si="4"/>
        <v>46</v>
      </c>
      <c r="AW38" s="3">
        <f t="shared" si="4"/>
        <v>47</v>
      </c>
      <c r="AX38" s="3">
        <f t="shared" si="4"/>
        <v>48</v>
      </c>
      <c r="AY38" s="3">
        <f t="shared" si="4"/>
        <v>49</v>
      </c>
      <c r="AZ38" s="3">
        <f t="shared" si="4"/>
        <v>50</v>
      </c>
      <c r="BA38" s="3">
        <f t="shared" si="4"/>
        <v>51</v>
      </c>
      <c r="BB38" s="3">
        <f t="shared" si="4"/>
        <v>52</v>
      </c>
      <c r="BC38" s="3">
        <f t="shared" si="4"/>
        <v>53</v>
      </c>
      <c r="BD38" s="3">
        <f t="shared" si="4"/>
        <v>54</v>
      </c>
      <c r="BE38" s="3">
        <f t="shared" si="4"/>
        <v>55</v>
      </c>
      <c r="BF38" s="3">
        <f t="shared" si="4"/>
        <v>56</v>
      </c>
      <c r="BG38" s="3">
        <f t="shared" si="4"/>
        <v>57</v>
      </c>
      <c r="BH38" s="3">
        <f t="shared" si="4"/>
        <v>58</v>
      </c>
      <c r="BI38" s="3">
        <f t="shared" si="4"/>
        <v>59</v>
      </c>
      <c r="BJ38" s="3">
        <f t="shared" si="4"/>
        <v>60</v>
      </c>
      <c r="BL38" s="238">
        <v>37</v>
      </c>
      <c r="BM38" s="238" t="str">
        <v>au</v>
      </c>
      <c r="BN38" s="238" t="str">
        <v>U</v>
      </c>
      <c r="BO38" s="238" t="str">
        <v>l</v>
      </c>
      <c r="BP38" s="238" t="str">
        <v>ㄠ</v>
      </c>
    </row>
    <row r="39" spans="1:68">
      <c r="A39" s="244" t="s">
        <v>4</v>
      </c>
      <c r="C39" s="4" t="str">
        <f>C24</f>
        <v>b</v>
      </c>
      <c r="D39" s="4" t="str">
        <f t="shared" ref="D39:BH39" si="5">D24</f>
        <v>p</v>
      </c>
      <c r="E39" s="4" t="str">
        <f t="shared" si="5"/>
        <v>P</v>
      </c>
      <c r="F39" s="4" t="str">
        <f t="shared" si="5"/>
        <v>m</v>
      </c>
      <c r="G39" s="4" t="str">
        <f t="shared" si="5"/>
        <v>n</v>
      </c>
      <c r="H39" s="4" t="str">
        <f t="shared" si="5"/>
        <v>t</v>
      </c>
      <c r="I39" s="4" t="str">
        <f t="shared" si="5"/>
        <v>T</v>
      </c>
      <c r="J39" s="4" t="str">
        <f t="shared" si="5"/>
        <v>l</v>
      </c>
      <c r="K39" s="4" t="str">
        <f t="shared" si="5"/>
        <v>g</v>
      </c>
      <c r="L39" s="4" t="str">
        <f t="shared" si="5"/>
        <v>k</v>
      </c>
      <c r="M39" s="4" t="str">
        <f t="shared" si="5"/>
        <v>K</v>
      </c>
      <c r="N39" s="4" t="str">
        <f t="shared" si="5"/>
        <v>ŋ</v>
      </c>
      <c r="O39" s="4" t="str">
        <f t="shared" si="5"/>
        <v>j</v>
      </c>
      <c r="P39" s="4" t="str">
        <f t="shared" si="5"/>
        <v>z</v>
      </c>
      <c r="Q39" s="4" t="str">
        <f t="shared" si="5"/>
        <v>c</v>
      </c>
      <c r="R39" s="4" t="str">
        <f t="shared" si="5"/>
        <v>s</v>
      </c>
      <c r="S39" s="4" t="str">
        <f t="shared" si="5"/>
        <v>h</v>
      </c>
      <c r="T39" s="4" t="str">
        <f t="shared" si="5"/>
        <v>J</v>
      </c>
      <c r="U39" s="4" t="str">
        <f t="shared" si="5"/>
        <v>Z</v>
      </c>
      <c r="V39" s="4" t="str">
        <f t="shared" si="5"/>
        <v>C</v>
      </c>
      <c r="W39" s="4" t="str">
        <f t="shared" si="5"/>
        <v>S</v>
      </c>
      <c r="X39" s="4" t="str">
        <f t="shared" si="5"/>
        <v>a</v>
      </c>
      <c r="Y39" s="4" t="str">
        <f t="shared" si="5"/>
        <v>i</v>
      </c>
      <c r="Z39" s="4" t="str">
        <f t="shared" si="5"/>
        <v>w</v>
      </c>
      <c r="AA39" s="4" t="str">
        <f t="shared" si="5"/>
        <v>u</v>
      </c>
      <c r="AB39" s="4" t="str">
        <f t="shared" si="5"/>
        <v>e</v>
      </c>
      <c r="AC39" s="4" t="str">
        <f t="shared" si="5"/>
        <v>O</v>
      </c>
      <c r="AD39" s="4" t="str">
        <f t="shared" si="5"/>
        <v>ə</v>
      </c>
      <c r="AE39" s="4" t="str">
        <f t="shared" si="5"/>
        <v>M</v>
      </c>
      <c r="AF39" s="4" t="str">
        <f t="shared" si="5"/>
        <v>N</v>
      </c>
      <c r="AG39" s="4" t="str">
        <f t="shared" si="5"/>
        <v>G</v>
      </c>
      <c r="AH39" s="4" t="str">
        <f t="shared" si="5"/>
        <v>R</v>
      </c>
      <c r="AI39" s="4" t="str">
        <f t="shared" si="5"/>
        <v>F</v>
      </c>
      <c r="AJ39" s="4" t="str">
        <f t="shared" si="5"/>
        <v>Q</v>
      </c>
      <c r="AK39" s="4" t="str">
        <f t="shared" si="5"/>
        <v>V</v>
      </c>
      <c r="AL39" s="4" t="str">
        <f t="shared" si="5"/>
        <v>I</v>
      </c>
      <c r="AM39" s="4" t="str">
        <f t="shared" si="5"/>
        <v>U</v>
      </c>
      <c r="AN39" s="4" t="str">
        <f t="shared" si="5"/>
        <v>Y</v>
      </c>
      <c r="AO39" s="4" t="str">
        <f t="shared" si="5"/>
        <v>@</v>
      </c>
      <c r="AP39" s="4" t="str">
        <f t="shared" si="5"/>
        <v>A</v>
      </c>
      <c r="AQ39" s="4" t="str">
        <f t="shared" si="5"/>
        <v>W</v>
      </c>
      <c r="AR39" s="4" t="str">
        <f t="shared" si="5"/>
        <v>H</v>
      </c>
      <c r="AS39" s="4" t="str">
        <f t="shared" si="5"/>
        <v>d</v>
      </c>
      <c r="AT39" s="4" t="str">
        <f t="shared" si="5"/>
        <v>f</v>
      </c>
      <c r="AU39" s="4" t="str">
        <f t="shared" si="5"/>
        <v>q</v>
      </c>
      <c r="AV39" s="4" t="str">
        <f t="shared" si="5"/>
        <v>r</v>
      </c>
      <c r="AW39" s="4" t="str">
        <f t="shared" si="5"/>
        <v>v</v>
      </c>
      <c r="AX39" s="4" t="str">
        <f t="shared" si="5"/>
        <v>x</v>
      </c>
      <c r="AY39" s="4" t="str">
        <f t="shared" si="5"/>
        <v>y</v>
      </c>
      <c r="AZ39" s="4" t="str">
        <f t="shared" si="5"/>
        <v>L</v>
      </c>
      <c r="BA39" s="4" t="str">
        <f t="shared" si="5"/>
        <v>Ø</v>
      </c>
      <c r="BB39" s="4" t="str">
        <f t="shared" si="5"/>
        <v>1</v>
      </c>
      <c r="BC39" s="4" t="str">
        <f t="shared" si="5"/>
        <v>7</v>
      </c>
      <c r="BD39" s="4" t="str">
        <f t="shared" si="5"/>
        <v>3</v>
      </c>
      <c r="BE39" s="4" t="str">
        <f t="shared" si="5"/>
        <v>2</v>
      </c>
      <c r="BF39" s="4" t="str">
        <f t="shared" si="5"/>
        <v>5</v>
      </c>
      <c r="BG39" s="4" t="str">
        <f t="shared" si="5"/>
        <v>8</v>
      </c>
      <c r="BH39" s="4" t="str">
        <f t="shared" si="5"/>
        <v>4</v>
      </c>
      <c r="BI39" s="4" t="str">
        <f xml:space="preserve"> _xlfn.XLOOKUP(BI40, $C$25:$BJ$25,$C$24:$BJ$24, "")</f>
        <v>&amp;</v>
      </c>
      <c r="BJ39" s="4" t="str">
        <f xml:space="preserve"> _xlfn.XLOOKUP(BJ40, $C$25:$BJ$25,$C$24:$BJ$24, "")</f>
        <v/>
      </c>
      <c r="BL39" s="238">
        <v>38</v>
      </c>
      <c r="BM39" s="238" t="str">
        <v>am</v>
      </c>
      <c r="BN39" s="238" t="str">
        <v>Y</v>
      </c>
      <c r="BO39" s="238" t="str">
        <v>M</v>
      </c>
      <c r="BP39" s="238" t="str">
        <v>ㆰ</v>
      </c>
    </row>
    <row r="40" spans="1:68">
      <c r="A40" s="245" t="s">
        <v>64</v>
      </c>
      <c r="C40" s="5" t="str">
        <f t="shared" ref="C40:BJ40" si="6" xml:space="preserve"> MID($C$35,C$38,1)</f>
        <v>!</v>
      </c>
      <c r="D40" s="5" t="str">
        <f t="shared" si="6"/>
        <v>1</v>
      </c>
      <c r="E40" s="5" t="str">
        <f t="shared" si="6"/>
        <v>q</v>
      </c>
      <c r="F40" s="5" t="str">
        <f t="shared" si="6"/>
        <v>a</v>
      </c>
      <c r="G40" s="5" t="str">
        <f t="shared" si="6"/>
        <v>s</v>
      </c>
      <c r="H40" s="5" t="str">
        <f t="shared" si="6"/>
        <v>2</v>
      </c>
      <c r="I40" s="5" t="str">
        <f t="shared" si="6"/>
        <v>w</v>
      </c>
      <c r="J40" s="5" t="str">
        <f t="shared" si="6"/>
        <v>x</v>
      </c>
      <c r="K40" s="5" t="str">
        <f t="shared" si="6"/>
        <v>E</v>
      </c>
      <c r="L40" s="5" t="str">
        <f t="shared" si="6"/>
        <v>e</v>
      </c>
      <c r="M40" s="5" t="str">
        <f t="shared" si="6"/>
        <v>d</v>
      </c>
      <c r="N40" s="5" t="str">
        <f t="shared" si="6"/>
        <v>N</v>
      </c>
      <c r="O40" s="5" t="str">
        <f t="shared" si="6"/>
        <v>Y</v>
      </c>
      <c r="P40" s="5" t="str">
        <f t="shared" si="6"/>
        <v>y</v>
      </c>
      <c r="Q40" s="5" t="str">
        <f t="shared" si="6"/>
        <v>h</v>
      </c>
      <c r="R40" s="5" t="str">
        <f t="shared" si="6"/>
        <v>n</v>
      </c>
      <c r="S40" s="5" t="str">
        <f t="shared" si="6"/>
        <v>c</v>
      </c>
      <c r="T40" s="5" t="str">
        <f t="shared" si="6"/>
        <v>R</v>
      </c>
      <c r="U40" s="5" t="str">
        <f t="shared" si="6"/>
        <v>r</v>
      </c>
      <c r="V40" s="5" t="str">
        <f t="shared" si="6"/>
        <v>f</v>
      </c>
      <c r="W40" s="5" t="str">
        <f t="shared" si="6"/>
        <v>v</v>
      </c>
      <c r="X40" s="5" t="str">
        <f t="shared" si="6"/>
        <v>8</v>
      </c>
      <c r="Y40" s="5" t="str">
        <f t="shared" si="6"/>
        <v>u</v>
      </c>
      <c r="Z40" s="5" t="str">
        <f t="shared" si="6"/>
        <v>K</v>
      </c>
      <c r="AA40" s="5" t="str">
        <f t="shared" si="6"/>
        <v>j</v>
      </c>
      <c r="AB40" s="5" t="str">
        <f t="shared" si="6"/>
        <v>,</v>
      </c>
      <c r="AC40" s="5" t="str">
        <f t="shared" si="6"/>
        <v>i</v>
      </c>
      <c r="AD40" s="5" t="str">
        <f t="shared" si="6"/>
        <v>k</v>
      </c>
      <c r="AE40" s="5" t="str">
        <f t="shared" si="6"/>
        <v>m</v>
      </c>
      <c r="AF40" s="5" t="str">
        <f t="shared" si="6"/>
        <v>p</v>
      </c>
      <c r="AG40" s="5" t="str">
        <f t="shared" si="6"/>
        <v>/</v>
      </c>
      <c r="AH40" s="5" t="str">
        <f t="shared" si="6"/>
        <v>b</v>
      </c>
      <c r="AI40" s="5" t="str">
        <f t="shared" si="6"/>
        <v>t</v>
      </c>
      <c r="AJ40" s="5" t="str">
        <f t="shared" si="6"/>
        <v>g</v>
      </c>
      <c r="AK40" s="5" t="str">
        <f t="shared" si="6"/>
        <v>z</v>
      </c>
      <c r="AL40" s="5" t="str">
        <f t="shared" si="6"/>
        <v>9</v>
      </c>
      <c r="AM40" s="5" t="str">
        <f t="shared" si="6"/>
        <v>l</v>
      </c>
      <c r="AN40" s="5" t="str">
        <f t="shared" si="6"/>
        <v>M</v>
      </c>
      <c r="AO40" s="5" t="str">
        <f t="shared" si="6"/>
        <v>0</v>
      </c>
      <c r="AP40" s="5" t="str">
        <f t="shared" si="6"/>
        <v>;</v>
      </c>
      <c r="AQ40" s="5" t="str">
        <f t="shared" si="6"/>
        <v>O</v>
      </c>
      <c r="AR40" s="5" t="str">
        <f t="shared" si="6"/>
        <v>o</v>
      </c>
      <c r="AS40" s="5" t="str">
        <f t="shared" si="6"/>
        <v>*</v>
      </c>
      <c r="AT40" s="5" t="str">
        <f t="shared" si="6"/>
        <v>U</v>
      </c>
      <c r="AU40" s="5" t="str">
        <f t="shared" si="6"/>
        <v>J</v>
      </c>
      <c r="AV40" s="5" t="str">
        <f t="shared" si="6"/>
        <v>&lt;</v>
      </c>
      <c r="AW40" s="5" t="str">
        <f t="shared" si="6"/>
        <v>I</v>
      </c>
      <c r="AX40" s="5" t="str">
        <f t="shared" si="6"/>
        <v>(</v>
      </c>
      <c r="AY40" s="5" t="str">
        <f t="shared" si="6"/>
        <v>L</v>
      </c>
      <c r="AZ40" s="5" t="str">
        <f t="shared" si="6"/>
        <v>-</v>
      </c>
      <c r="BA40" s="5" t="str">
        <f t="shared" si="6"/>
        <v>=</v>
      </c>
      <c r="BB40" s="5" t="str">
        <f t="shared" si="6"/>
        <v>"</v>
      </c>
      <c r="BC40" s="5" t="str">
        <f t="shared" si="6"/>
        <v>5</v>
      </c>
      <c r="BD40" s="5" t="str">
        <f t="shared" si="6"/>
        <v>3</v>
      </c>
      <c r="BE40" s="5" t="str">
        <f t="shared" si="6"/>
        <v>4</v>
      </c>
      <c r="BF40" s="5" t="str">
        <f t="shared" si="6"/>
        <v>6</v>
      </c>
      <c r="BG40" s="5" t="str">
        <f t="shared" si="6"/>
        <v>]</v>
      </c>
      <c r="BH40" s="5" t="str">
        <f t="shared" si="6"/>
        <v>[</v>
      </c>
      <c r="BI40" s="5" t="str">
        <f t="shared" si="6"/>
        <v>7</v>
      </c>
      <c r="BJ40" s="5" t="str">
        <f t="shared" si="6"/>
        <v/>
      </c>
      <c r="BL40" s="238">
        <v>39</v>
      </c>
      <c r="BM40" s="238" t="str">
        <v>an</v>
      </c>
      <c r="BN40" s="239" t="str">
        <v>@</v>
      </c>
      <c r="BO40" s="238" t="str">
        <v>0</v>
      </c>
      <c r="BP40" s="238" t="str">
        <v>ㄢ</v>
      </c>
    </row>
    <row r="41" spans="1:68">
      <c r="A41" s="243" t="s">
        <v>7</v>
      </c>
      <c r="C41" s="7" t="str">
        <f t="shared" ref="C41:BJ41" si="7" xml:space="preserve"> MID($C$36,C$38,1)</f>
        <v>ㆠ</v>
      </c>
      <c r="D41" s="7" t="str">
        <f t="shared" si="7"/>
        <v>ㄅ</v>
      </c>
      <c r="E41" s="7" t="str">
        <f t="shared" si="7"/>
        <v>ㄆ</v>
      </c>
      <c r="F41" s="7" t="str">
        <f t="shared" si="7"/>
        <v>ㄇ</v>
      </c>
      <c r="G41" s="7" t="str">
        <f t="shared" si="7"/>
        <v>ㄋ</v>
      </c>
      <c r="H41" s="7" t="str">
        <f t="shared" si="7"/>
        <v>ㄉ</v>
      </c>
      <c r="I41" s="7" t="str">
        <f t="shared" si="7"/>
        <v>ㄊ</v>
      </c>
      <c r="J41" s="7" t="str">
        <f t="shared" si="7"/>
        <v>ㄌ</v>
      </c>
      <c r="K41" s="7" t="str">
        <f t="shared" si="7"/>
        <v>ㆣ</v>
      </c>
      <c r="L41" s="7" t="str">
        <f t="shared" si="7"/>
        <v>ㄍ</v>
      </c>
      <c r="M41" s="7" t="str">
        <f t="shared" si="7"/>
        <v>ㄎ</v>
      </c>
      <c r="N41" s="7" t="str">
        <f t="shared" si="7"/>
        <v>ㄫ</v>
      </c>
      <c r="O41" s="7" t="str">
        <f t="shared" si="7"/>
        <v>ㆡ</v>
      </c>
      <c r="P41" s="7" t="str">
        <f t="shared" si="7"/>
        <v>ㄗ</v>
      </c>
      <c r="Q41" s="7" t="str">
        <f t="shared" si="7"/>
        <v>ㄘ</v>
      </c>
      <c r="R41" s="7" t="str">
        <f t="shared" si="7"/>
        <v>ㄙ</v>
      </c>
      <c r="S41" s="7" t="str">
        <f t="shared" si="7"/>
        <v>ㄏ</v>
      </c>
      <c r="T41" s="7" t="str">
        <f t="shared" si="7"/>
        <v>ㆢ</v>
      </c>
      <c r="U41" s="7" t="str">
        <f t="shared" si="7"/>
        <v>ㄐ</v>
      </c>
      <c r="V41" s="7" t="str">
        <f t="shared" si="7"/>
        <v>ㄑ</v>
      </c>
      <c r="W41" s="7" t="str">
        <f t="shared" si="7"/>
        <v>ㄒ</v>
      </c>
      <c r="X41" s="7" t="str">
        <f t="shared" si="7"/>
        <v>ㄚ</v>
      </c>
      <c r="Y41" s="7" t="str">
        <f t="shared" si="7"/>
        <v>ㄧ</v>
      </c>
      <c r="Z41" s="7" t="str">
        <f t="shared" si="7"/>
        <v>ㆨ</v>
      </c>
      <c r="AA41" s="7" t="str">
        <f t="shared" si="7"/>
        <v>ㄨ</v>
      </c>
      <c r="AB41" s="7" t="str">
        <f t="shared" si="7"/>
        <v>ㆤ</v>
      </c>
      <c r="AC41" s="7" t="str">
        <f t="shared" si="7"/>
        <v>ㆦ</v>
      </c>
      <c r="AD41" s="7" t="str">
        <f t="shared" si="7"/>
        <v>ㄜ</v>
      </c>
      <c r="AE41" s="7" t="str">
        <f t="shared" si="7"/>
        <v>ㆬ</v>
      </c>
      <c r="AF41" s="7" t="str">
        <f t="shared" si="7"/>
        <v>ㄣ</v>
      </c>
      <c r="AG41" s="7" t="str">
        <f t="shared" si="7"/>
        <v>ㆭ</v>
      </c>
      <c r="AH41" s="7" t="str">
        <f t="shared" si="7"/>
        <v>ㆴ</v>
      </c>
      <c r="AI41" s="7" t="str">
        <f t="shared" si="7"/>
        <v>ㆵ</v>
      </c>
      <c r="AJ41" s="7" t="str">
        <f t="shared" si="7"/>
        <v>ㆻ</v>
      </c>
      <c r="AK41" s="7" t="str">
        <f t="shared" si="7"/>
        <v>ㆷ</v>
      </c>
      <c r="AL41" s="7" t="str">
        <f t="shared" si="7"/>
        <v>ㄞ</v>
      </c>
      <c r="AM41" s="7" t="str">
        <f t="shared" si="7"/>
        <v>ㄠ</v>
      </c>
      <c r="AN41" s="7" t="str">
        <f t="shared" si="7"/>
        <v>ㆰ</v>
      </c>
      <c r="AO41" s="7" t="str">
        <f t="shared" si="7"/>
        <v>ㄢ</v>
      </c>
      <c r="AP41" s="7" t="str">
        <f t="shared" si="7"/>
        <v>ㄤ</v>
      </c>
      <c r="AQ41" s="7" t="str">
        <f t="shared" si="7"/>
        <v>ㆱ</v>
      </c>
      <c r="AR41" s="7" t="str">
        <f t="shared" si="7"/>
        <v>ㆲ</v>
      </c>
      <c r="AS41" s="7" t="str">
        <f t="shared" si="7"/>
        <v>ㆩ</v>
      </c>
      <c r="AT41" s="7" t="str">
        <f t="shared" si="7"/>
        <v>ㆪ</v>
      </c>
      <c r="AU41" s="7" t="str">
        <f t="shared" si="7"/>
        <v>ㆫ</v>
      </c>
      <c r="AV41" s="7" t="str">
        <f t="shared" si="7"/>
        <v>ㆥ</v>
      </c>
      <c r="AW41" s="7" t="str">
        <f t="shared" si="7"/>
        <v>ㆧ</v>
      </c>
      <c r="AX41" s="7" t="str">
        <f t="shared" si="7"/>
        <v>ㆮ</v>
      </c>
      <c r="AY41" s="7" t="str">
        <f t="shared" si="7"/>
        <v>ㆯ</v>
      </c>
      <c r="AZ41" s="7" t="str">
        <f t="shared" si="7"/>
        <v>ㄥ</v>
      </c>
      <c r="BA41" s="7" t="str">
        <f t="shared" si="7"/>
        <v>Ø</v>
      </c>
      <c r="BB41" s="7" t="str">
        <f t="shared" si="7"/>
        <v>一</v>
      </c>
      <c r="BC41" s="7" t="str">
        <f t="shared" si="7"/>
        <v>七</v>
      </c>
      <c r="BD41" s="7" t="str">
        <f t="shared" si="7"/>
        <v>三</v>
      </c>
      <c r="BE41" s="7" t="str">
        <f t="shared" si="7"/>
        <v>二</v>
      </c>
      <c r="BF41" s="7" t="str">
        <f t="shared" si="7"/>
        <v>五</v>
      </c>
      <c r="BG41" s="7" t="str">
        <f t="shared" si="7"/>
        <v>八</v>
      </c>
      <c r="BH41" s="7" t="str">
        <f t="shared" si="7"/>
        <v>四</v>
      </c>
      <c r="BI41" s="7" t="str">
        <f t="shared" si="7"/>
        <v>入</v>
      </c>
      <c r="BJ41" s="7" t="str">
        <f t="shared" si="7"/>
        <v/>
      </c>
      <c r="BL41" s="238">
        <v>40</v>
      </c>
      <c r="BM41" s="238" t="str">
        <v>ang</v>
      </c>
      <c r="BN41" s="239" t="str">
        <v>A</v>
      </c>
      <c r="BO41" s="238" t="str">
        <v>;</v>
      </c>
      <c r="BP41" s="238" t="str">
        <v>ㄤ</v>
      </c>
    </row>
    <row r="42" spans="1:68">
      <c r="BL42" s="238">
        <v>41</v>
      </c>
      <c r="BM42" s="238" t="str">
        <v>om</v>
      </c>
      <c r="BN42" s="239" t="str">
        <v>W</v>
      </c>
      <c r="BO42" s="238" t="str">
        <v>O</v>
      </c>
      <c r="BP42" s="238" t="str">
        <v>ㆱ</v>
      </c>
    </row>
    <row r="43" spans="1:68">
      <c r="BL43" s="238">
        <v>42</v>
      </c>
      <c r="BM43" s="238" t="str">
        <v>ong</v>
      </c>
      <c r="BN43" s="239" t="str">
        <v>H</v>
      </c>
      <c r="BO43" s="238" t="str">
        <v>o</v>
      </c>
      <c r="BP43" s="238" t="str">
        <v>ㆲ</v>
      </c>
    </row>
    <row r="44" spans="1:68">
      <c r="BL44" s="238">
        <v>43</v>
      </c>
      <c r="BM44" s="238" t="str">
        <v>aⁿ</v>
      </c>
      <c r="BN44" s="239" t="str">
        <v>d</v>
      </c>
      <c r="BO44" s="238" t="str">
        <v>*</v>
      </c>
      <c r="BP44" s="238" t="str">
        <v>ㆩ</v>
      </c>
    </row>
    <row r="45" spans="1:68">
      <c r="BL45" s="238">
        <v>44</v>
      </c>
      <c r="BM45" s="238" t="str">
        <v>iⁿ</v>
      </c>
      <c r="BN45" s="239" t="str">
        <v>f</v>
      </c>
      <c r="BO45" s="238" t="str">
        <v>U</v>
      </c>
      <c r="BP45" s="238" t="str">
        <v>ㆪ</v>
      </c>
    </row>
    <row r="46" spans="1:68">
      <c r="BL46" s="238">
        <v>45</v>
      </c>
      <c r="BM46" s="238" t="str">
        <v>uⁿ</v>
      </c>
      <c r="BN46" s="239" t="str">
        <v>q</v>
      </c>
      <c r="BO46" s="238" t="str">
        <v>J</v>
      </c>
      <c r="BP46" s="238" t="str">
        <v>ㆫ</v>
      </c>
    </row>
    <row r="47" spans="1:68">
      <c r="BL47" s="238">
        <v>46</v>
      </c>
      <c r="BM47" s="238" t="str">
        <v>eⁿ</v>
      </c>
      <c r="BN47" s="239" t="str">
        <v>r</v>
      </c>
      <c r="BO47" s="238" t="str">
        <v>&lt;</v>
      </c>
      <c r="BP47" s="238" t="str">
        <v>ㆥ</v>
      </c>
    </row>
    <row r="48" spans="1:68">
      <c r="BL48" s="238">
        <v>47</v>
      </c>
      <c r="BM48" s="238" t="str">
        <v>oⁿ</v>
      </c>
      <c r="BN48" s="239" t="str">
        <v>v</v>
      </c>
      <c r="BO48" s="238" t="str">
        <v>I</v>
      </c>
      <c r="BP48" s="238" t="str">
        <v>ㆧ</v>
      </c>
    </row>
    <row r="49" spans="64:68">
      <c r="BL49" s="238">
        <v>48</v>
      </c>
      <c r="BM49" s="238" t="str">
        <v>aiⁿ</v>
      </c>
      <c r="BN49" s="239" t="str">
        <v>x</v>
      </c>
      <c r="BO49" s="238" t="str">
        <v>(</v>
      </c>
      <c r="BP49" s="238" t="str">
        <v>ㆮ</v>
      </c>
    </row>
    <row r="50" spans="64:68">
      <c r="BL50" s="238">
        <v>49</v>
      </c>
      <c r="BM50" s="238" t="str">
        <v>auⁿ</v>
      </c>
      <c r="BN50" s="239" t="str">
        <v>y</v>
      </c>
      <c r="BO50" s="238" t="str">
        <v>L</v>
      </c>
      <c r="BP50" s="238" t="str">
        <v>ㆯ</v>
      </c>
    </row>
    <row r="51" spans="64:68">
      <c r="BL51" s="238">
        <v>50</v>
      </c>
      <c r="BM51" s="238" t="str">
        <v>ⁿ</v>
      </c>
      <c r="BN51" s="239" t="str">
        <v>L</v>
      </c>
      <c r="BO51" s="238" t="str">
        <v>-</v>
      </c>
      <c r="BP51" s="238" t="str">
        <v>ㄥ</v>
      </c>
    </row>
    <row r="52" spans="64:68">
      <c r="BL52" s="238">
        <v>51</v>
      </c>
      <c r="BM52" s="238" t="str">
        <v>Ø</v>
      </c>
      <c r="BN52" s="239" t="str">
        <v>Ø</v>
      </c>
      <c r="BO52" s="238" t="str">
        <v>=</v>
      </c>
      <c r="BP52" s="238" t="str">
        <v>Ø</v>
      </c>
    </row>
    <row r="53" spans="64:68">
      <c r="BL53" s="238">
        <v>52</v>
      </c>
      <c r="BM53" s="238">
        <v>1</v>
      </c>
      <c r="BN53" s="239">
        <v>1</v>
      </c>
      <c r="BO53" s="238" t="str">
        <v>"</v>
      </c>
      <c r="BP53" s="238" t="str">
        <v>一</v>
      </c>
    </row>
    <row r="54" spans="64:68">
      <c r="BL54" s="238">
        <v>53</v>
      </c>
      <c r="BM54" s="238">
        <v>7</v>
      </c>
      <c r="BN54" s="238">
        <v>7</v>
      </c>
      <c r="BO54" s="238">
        <v>5</v>
      </c>
      <c r="BP54" s="238" t="str">
        <v>七</v>
      </c>
    </row>
    <row r="55" spans="64:68">
      <c r="BL55" s="238">
        <v>54</v>
      </c>
      <c r="BM55" s="238">
        <v>3</v>
      </c>
      <c r="BN55" s="238">
        <v>3</v>
      </c>
      <c r="BO55" s="238">
        <v>3</v>
      </c>
      <c r="BP55" s="238" t="str">
        <v>三</v>
      </c>
    </row>
    <row r="56" spans="64:68">
      <c r="BL56" s="238">
        <v>55</v>
      </c>
      <c r="BM56" s="238">
        <v>2</v>
      </c>
      <c r="BN56" s="238">
        <v>2</v>
      </c>
      <c r="BO56" s="238">
        <v>4</v>
      </c>
      <c r="BP56" s="238" t="str">
        <v>二</v>
      </c>
    </row>
    <row r="57" spans="64:68">
      <c r="BL57" s="238">
        <v>56</v>
      </c>
      <c r="BM57" s="238">
        <v>5</v>
      </c>
      <c r="BN57" s="238">
        <v>5</v>
      </c>
      <c r="BO57" s="238">
        <v>6</v>
      </c>
      <c r="BP57" s="238" t="str">
        <v>五</v>
      </c>
    </row>
    <row r="58" spans="64:68">
      <c r="BL58" s="238">
        <v>57</v>
      </c>
      <c r="BM58" s="238">
        <v>8</v>
      </c>
      <c r="BN58" s="238">
        <v>8</v>
      </c>
      <c r="BO58" s="238" t="str">
        <v>]</v>
      </c>
      <c r="BP58" s="238" t="str">
        <v>八</v>
      </c>
    </row>
    <row r="59" spans="64:68">
      <c r="BL59" s="238">
        <v>58</v>
      </c>
      <c r="BM59" s="238">
        <v>4</v>
      </c>
      <c r="BN59" s="238">
        <v>4</v>
      </c>
      <c r="BO59" s="238" t="str">
        <v>[</v>
      </c>
      <c r="BP59" s="238" t="str">
        <v>四</v>
      </c>
    </row>
    <row r="60" spans="64:68">
      <c r="BL60" s="238">
        <v>59</v>
      </c>
      <c r="BM60" s="240">
        <v>0</v>
      </c>
      <c r="BN60" s="240" t="str">
        <v>&amp;</v>
      </c>
      <c r="BO60" s="240">
        <v>7</v>
      </c>
      <c r="BP60" s="240" t="str">
        <v>入</v>
      </c>
    </row>
    <row r="61" spans="64:68">
      <c r="BL61" s="238">
        <v>60</v>
      </c>
      <c r="BM61" s="240">
        <v>0</v>
      </c>
      <c r="BN61" s="240">
        <v>0</v>
      </c>
      <c r="BO61" s="240">
        <v>0</v>
      </c>
      <c r="BP61" s="240">
        <v>0</v>
      </c>
    </row>
    <row r="62" spans="64:68">
      <c r="BL62" s="238"/>
      <c r="BM62" s="238"/>
      <c r="BN62" s="238"/>
      <c r="BO62" s="238"/>
      <c r="BP62" s="238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2289-9B8A-4614-ACA7-AA3E199A79B3}">
  <sheetPr>
    <tabColor rgb="FFFF0000"/>
  </sheetPr>
  <dimension ref="A1:DG114"/>
  <sheetViews>
    <sheetView showGridLines="0" zoomScale="40" zoomScaleNormal="40" workbookViewId="0">
      <selection activeCell="B36" sqref="B36"/>
    </sheetView>
  </sheetViews>
  <sheetFormatPr defaultColWidth="7.19921875" defaultRowHeight="36" outlineLevelRow="1"/>
  <cols>
    <col min="1" max="58" width="6.59765625" style="10" customWidth="1"/>
    <col min="59" max="63" width="5.796875" style="10" customWidth="1"/>
    <col min="64" max="65" width="7.19921875" style="10"/>
    <col min="66" max="66" width="6.19921875" style="10" customWidth="1"/>
    <col min="67" max="69" width="13.69921875" style="11" customWidth="1"/>
    <col min="70" max="70" width="13.69921875" style="12" customWidth="1"/>
    <col min="71" max="71" width="13.69921875" style="13" customWidth="1"/>
    <col min="72" max="72" width="13.69921875" style="11" customWidth="1"/>
    <col min="73" max="73" width="7.19921875" style="10"/>
    <col min="74" max="74" width="62.296875" style="14" customWidth="1"/>
    <col min="75" max="75" width="23.796875" style="15" bestFit="1" customWidth="1"/>
    <col min="76" max="76" width="6.19921875" style="10" customWidth="1"/>
    <col min="77" max="77" width="15.19921875" style="10" customWidth="1"/>
    <col min="78" max="78" width="15.19921875" customWidth="1"/>
    <col min="79" max="82" width="15.19921875" style="10" customWidth="1"/>
    <col min="83" max="83" width="7.19921875" style="10"/>
    <col min="84" max="84" width="75.19921875" style="17" customWidth="1"/>
    <col min="85" max="85" width="6.19921875" style="10" customWidth="1"/>
    <col min="86" max="86" width="15.19921875" style="10" customWidth="1"/>
    <col min="87" max="87" width="15.19921875" customWidth="1"/>
    <col min="88" max="91" width="15.19921875" style="10" customWidth="1"/>
    <col min="92" max="92" width="7.19921875" style="10"/>
    <col min="93" max="93" width="69.8984375" style="17" bestFit="1" customWidth="1"/>
    <col min="94" max="94" width="6.19921875" style="10" customWidth="1"/>
    <col min="95" max="95" width="15.19921875" customWidth="1"/>
    <col min="96" max="100" width="15.19921875" style="10" customWidth="1"/>
    <col min="101" max="101" width="7.19921875" style="10"/>
    <col min="102" max="102" width="72.59765625" style="17" bestFit="1" customWidth="1"/>
    <col min="103" max="103" width="6.19921875" style="10" customWidth="1"/>
    <col min="104" max="104" width="15.19921875" customWidth="1"/>
    <col min="105" max="109" width="15.19921875" style="10" customWidth="1"/>
    <col min="110" max="110" width="7.19921875" style="10"/>
    <col min="111" max="111" width="67.09765625" style="17" bestFit="1" customWidth="1"/>
    <col min="112" max="16384" width="7.19921875" style="10"/>
  </cols>
  <sheetData>
    <row r="1" spans="1:111" ht="45" customHeight="1" thickBo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9"/>
      <c r="AS1" s="9"/>
      <c r="AT1" s="8"/>
      <c r="AU1" s="8"/>
      <c r="AV1" s="8"/>
      <c r="BY1" s="16" t="s">
        <v>19</v>
      </c>
      <c r="BZ1" s="16" t="s">
        <v>19</v>
      </c>
      <c r="CA1" s="78" t="s">
        <v>285</v>
      </c>
      <c r="CH1" s="16" t="s">
        <v>19</v>
      </c>
      <c r="CI1" s="16" t="s">
        <v>19</v>
      </c>
      <c r="CJ1" s="16" t="s">
        <v>20</v>
      </c>
      <c r="CQ1" s="16" t="s">
        <v>19</v>
      </c>
      <c r="CR1" s="78" t="s">
        <v>285</v>
      </c>
      <c r="CS1" s="18"/>
      <c r="CZ1" s="16" t="s">
        <v>19</v>
      </c>
      <c r="DA1" s="18"/>
      <c r="DB1" s="18"/>
    </row>
    <row r="2" spans="1:111" s="18" customFormat="1" ht="45" customHeight="1">
      <c r="A2" s="19"/>
      <c r="B2" s="20" t="s">
        <v>21</v>
      </c>
      <c r="C2" s="21"/>
      <c r="D2" s="22"/>
      <c r="E2" s="20" t="s">
        <v>22</v>
      </c>
      <c r="F2" s="21"/>
      <c r="G2" s="22"/>
      <c r="H2" s="23" t="s">
        <v>23</v>
      </c>
      <c r="I2" s="24"/>
      <c r="J2" s="25"/>
      <c r="K2" s="23" t="s">
        <v>24</v>
      </c>
      <c r="L2" s="24"/>
      <c r="M2" s="25"/>
      <c r="N2" s="26">
        <v>0.05</v>
      </c>
      <c r="O2" s="27"/>
      <c r="P2" s="28"/>
      <c r="Q2" s="23" t="s">
        <v>25</v>
      </c>
      <c r="R2" s="24"/>
      <c r="S2" s="25"/>
      <c r="T2" s="23" t="s">
        <v>26</v>
      </c>
      <c r="U2" s="24"/>
      <c r="V2" s="25"/>
      <c r="W2" s="29" t="s">
        <v>27</v>
      </c>
      <c r="X2" s="30"/>
      <c r="Y2" s="31"/>
      <c r="Z2" s="29" t="s">
        <v>28</v>
      </c>
      <c r="AA2" s="30"/>
      <c r="AB2" s="31"/>
      <c r="AC2" s="29" t="s">
        <v>29</v>
      </c>
      <c r="AD2" s="30"/>
      <c r="AE2" s="31"/>
      <c r="AF2" s="32" t="s">
        <v>30</v>
      </c>
      <c r="AG2" s="33"/>
      <c r="AH2" s="34"/>
      <c r="AI2" s="32" t="s">
        <v>31</v>
      </c>
      <c r="AJ2" s="33"/>
      <c r="AK2" s="34"/>
      <c r="AL2" s="19"/>
      <c r="AM2" s="19"/>
      <c r="AN2" s="19"/>
      <c r="AO2" s="19"/>
      <c r="AP2" s="19"/>
      <c r="AQ2" s="19"/>
      <c r="AR2" s="35"/>
      <c r="AS2" s="35"/>
      <c r="AT2" s="19"/>
      <c r="AU2" s="19"/>
      <c r="AV2" s="19"/>
      <c r="BN2" s="10"/>
      <c r="BO2" s="11"/>
      <c r="BP2" s="11"/>
      <c r="BQ2" s="11"/>
      <c r="BR2" s="12"/>
      <c r="BS2" s="13"/>
      <c r="BT2" s="11"/>
      <c r="BU2" s="10"/>
      <c r="BV2" s="14"/>
      <c r="BW2" s="15"/>
      <c r="BX2" s="10"/>
      <c r="BY2" s="36" t="s">
        <v>32</v>
      </c>
      <c r="BZ2" s="36" t="s">
        <v>33</v>
      </c>
      <c r="CA2" s="36" t="s">
        <v>34</v>
      </c>
      <c r="CF2" s="17"/>
      <c r="CG2" s="10"/>
      <c r="CH2" s="36" t="s">
        <v>32</v>
      </c>
      <c r="CI2" s="36" t="s">
        <v>33</v>
      </c>
      <c r="CJ2" s="36"/>
      <c r="CO2" s="17"/>
      <c r="CP2" s="10"/>
      <c r="CQ2" s="36" t="s">
        <v>35</v>
      </c>
      <c r="CR2" s="36" t="s">
        <v>34</v>
      </c>
      <c r="CX2" s="17"/>
      <c r="CY2" s="10"/>
      <c r="CZ2" s="36" t="s">
        <v>36</v>
      </c>
      <c r="DG2" s="17"/>
    </row>
    <row r="3" spans="1:111" s="18" customFormat="1" ht="45" customHeight="1">
      <c r="A3" s="19"/>
      <c r="B3" s="37" t="s">
        <v>37</v>
      </c>
      <c r="C3" s="38"/>
      <c r="D3" s="39" t="s">
        <v>38</v>
      </c>
      <c r="E3" s="40"/>
      <c r="F3" s="38"/>
      <c r="G3" s="41"/>
      <c r="H3" s="42"/>
      <c r="I3" s="43"/>
      <c r="J3" s="44"/>
      <c r="K3" s="42"/>
      <c r="L3" s="43"/>
      <c r="M3" s="44"/>
      <c r="N3" s="45"/>
      <c r="O3" s="46"/>
      <c r="P3" s="47"/>
      <c r="Q3" s="42"/>
      <c r="R3" s="43"/>
      <c r="S3" s="44"/>
      <c r="T3" s="42"/>
      <c r="U3" s="43"/>
      <c r="V3" s="44"/>
      <c r="W3" s="48" t="s">
        <v>39</v>
      </c>
      <c r="X3" s="49"/>
      <c r="Y3" s="50" t="s">
        <v>40</v>
      </c>
      <c r="Z3" s="48" t="s">
        <v>41</v>
      </c>
      <c r="AA3" s="51">
        <v>0</v>
      </c>
      <c r="AB3" s="50" t="s">
        <v>42</v>
      </c>
      <c r="AC3" s="52"/>
      <c r="AD3" s="49"/>
      <c r="AE3" s="53"/>
      <c r="AF3" s="54"/>
      <c r="AG3" s="55"/>
      <c r="AH3" s="56"/>
      <c r="AI3" s="54"/>
      <c r="AJ3" s="55"/>
      <c r="AK3" s="56"/>
      <c r="AL3" s="19"/>
      <c r="AM3" s="19"/>
      <c r="AN3" s="19"/>
      <c r="AO3" s="19"/>
      <c r="AP3" s="19"/>
      <c r="AQ3" s="19"/>
      <c r="AR3" s="35"/>
      <c r="AS3" s="35"/>
      <c r="AT3" s="19"/>
      <c r="AU3" s="19"/>
      <c r="AV3" s="19"/>
      <c r="BO3" s="57" t="s">
        <v>43</v>
      </c>
      <c r="BQ3" s="58"/>
      <c r="BR3" s="59"/>
      <c r="BS3" s="58"/>
      <c r="BT3" s="58"/>
      <c r="BV3" s="14"/>
      <c r="BW3" s="60"/>
      <c r="CF3" s="17"/>
      <c r="CO3" s="17"/>
      <c r="CX3" s="17"/>
      <c r="DG3" s="17"/>
    </row>
    <row r="4" spans="1:111" ht="45" customHeight="1" thickBot="1">
      <c r="A4" s="61"/>
      <c r="B4" s="62" t="s">
        <v>44</v>
      </c>
      <c r="C4" s="63"/>
      <c r="D4" s="64" t="s">
        <v>45</v>
      </c>
      <c r="E4" s="62" t="s">
        <v>46</v>
      </c>
      <c r="F4" s="63"/>
      <c r="G4" s="65" t="s">
        <v>14</v>
      </c>
      <c r="H4" s="255" t="s">
        <v>47</v>
      </c>
      <c r="I4" s="256"/>
      <c r="J4" s="257" t="s">
        <v>48</v>
      </c>
      <c r="K4" s="258" t="s">
        <v>49</v>
      </c>
      <c r="L4" s="259"/>
      <c r="M4" s="257" t="s">
        <v>50</v>
      </c>
      <c r="N4" s="255" t="s">
        <v>51</v>
      </c>
      <c r="O4" s="256"/>
      <c r="P4" s="257" t="s">
        <v>52</v>
      </c>
      <c r="Q4" s="258" t="s">
        <v>53</v>
      </c>
      <c r="R4" s="259"/>
      <c r="S4" s="257" t="s">
        <v>54</v>
      </c>
      <c r="T4" s="258" t="s">
        <v>62</v>
      </c>
      <c r="U4" s="256"/>
      <c r="V4" s="257" t="s">
        <v>63</v>
      </c>
      <c r="W4" s="66" t="s">
        <v>56</v>
      </c>
      <c r="X4" s="67"/>
      <c r="Y4" s="68" t="s">
        <v>57</v>
      </c>
      <c r="Z4" s="69" t="s">
        <v>58</v>
      </c>
      <c r="AA4" s="70"/>
      <c r="AB4" s="71" t="s">
        <v>59</v>
      </c>
      <c r="AC4" s="69" t="s">
        <v>60</v>
      </c>
      <c r="AD4" s="67">
        <v>0</v>
      </c>
      <c r="AE4" s="68" t="s">
        <v>61</v>
      </c>
      <c r="AF4" s="262" t="s">
        <v>558</v>
      </c>
      <c r="AG4" s="67"/>
      <c r="AH4" s="71" t="s">
        <v>559</v>
      </c>
      <c r="AI4" s="267" t="s">
        <v>566</v>
      </c>
      <c r="AJ4" s="70"/>
      <c r="AK4" s="73"/>
      <c r="AL4" s="61"/>
      <c r="AM4" s="61"/>
      <c r="AN4" s="61"/>
      <c r="AO4" s="61"/>
      <c r="AP4" s="61"/>
      <c r="AQ4" s="61"/>
      <c r="AR4" s="9"/>
      <c r="AS4" s="9"/>
      <c r="AT4" s="61"/>
      <c r="AU4" s="61"/>
      <c r="AV4" s="61"/>
      <c r="BN4" s="74"/>
      <c r="BO4" s="78" t="s">
        <v>285</v>
      </c>
      <c r="BP4" s="75" t="s">
        <v>4</v>
      </c>
      <c r="BQ4" s="76" t="s">
        <v>64</v>
      </c>
      <c r="BR4" s="77" t="s">
        <v>65</v>
      </c>
      <c r="BS4" s="78" t="s">
        <v>19</v>
      </c>
      <c r="BT4" s="79" t="s">
        <v>66</v>
      </c>
      <c r="BU4" s="18"/>
      <c r="BW4" s="60"/>
      <c r="BX4" s="74"/>
      <c r="BY4" s="78" t="s">
        <v>285</v>
      </c>
      <c r="BZ4" s="80" t="s">
        <v>4</v>
      </c>
      <c r="CA4" s="81" t="s">
        <v>64</v>
      </c>
      <c r="CB4" s="82" t="s">
        <v>65</v>
      </c>
      <c r="CC4" s="83" t="s">
        <v>19</v>
      </c>
      <c r="CD4" s="84" t="s">
        <v>66</v>
      </c>
      <c r="CG4" s="74"/>
      <c r="CH4" s="78" t="s">
        <v>285</v>
      </c>
      <c r="CI4" s="80" t="s">
        <v>4</v>
      </c>
      <c r="CJ4" s="81" t="s">
        <v>64</v>
      </c>
      <c r="CK4" s="82" t="s">
        <v>65</v>
      </c>
      <c r="CL4" s="83" t="s">
        <v>19</v>
      </c>
      <c r="CM4" s="84" t="s">
        <v>66</v>
      </c>
      <c r="CP4" s="74"/>
      <c r="CQ4" s="78" t="s">
        <v>285</v>
      </c>
      <c r="CR4" s="80" t="s">
        <v>4</v>
      </c>
      <c r="CS4" s="81" t="s">
        <v>64</v>
      </c>
      <c r="CT4" s="82" t="s">
        <v>65</v>
      </c>
      <c r="CU4" s="83" t="s">
        <v>19</v>
      </c>
      <c r="CV4" s="84" t="s">
        <v>66</v>
      </c>
      <c r="CY4" s="74"/>
      <c r="CZ4" s="78" t="s">
        <v>285</v>
      </c>
      <c r="DA4" s="80" t="s">
        <v>4</v>
      </c>
      <c r="DB4" s="81" t="s">
        <v>64</v>
      </c>
      <c r="DC4" s="82" t="s">
        <v>65</v>
      </c>
      <c r="DD4" s="83" t="s">
        <v>19</v>
      </c>
      <c r="DE4" s="84" t="s">
        <v>66</v>
      </c>
    </row>
    <row r="5" spans="1:111" s="18" customFormat="1" ht="45" customHeight="1">
      <c r="A5" s="19"/>
      <c r="B5" s="19"/>
      <c r="C5" s="20" t="s">
        <v>67</v>
      </c>
      <c r="D5" s="21"/>
      <c r="E5" s="22"/>
      <c r="F5" s="20" t="s">
        <v>68</v>
      </c>
      <c r="G5" s="21"/>
      <c r="H5" s="22"/>
      <c r="I5" s="20" t="s">
        <v>69</v>
      </c>
      <c r="J5" s="21"/>
      <c r="K5" s="22"/>
      <c r="L5" s="20" t="s">
        <v>70</v>
      </c>
      <c r="M5" s="21"/>
      <c r="N5" s="22"/>
      <c r="O5" s="20" t="s">
        <v>71</v>
      </c>
      <c r="P5" s="21"/>
      <c r="Q5" s="22"/>
      <c r="R5" s="20" t="s">
        <v>72</v>
      </c>
      <c r="S5" s="21"/>
      <c r="T5" s="22"/>
      <c r="U5" s="29" t="s">
        <v>73</v>
      </c>
      <c r="V5" s="30"/>
      <c r="W5" s="31"/>
      <c r="X5" s="29" t="s">
        <v>74</v>
      </c>
      <c r="Y5" s="30"/>
      <c r="Z5" s="31"/>
      <c r="AA5" s="29" t="s">
        <v>75</v>
      </c>
      <c r="AB5" s="30"/>
      <c r="AC5" s="31"/>
      <c r="AD5" s="29" t="s">
        <v>76</v>
      </c>
      <c r="AE5" s="30"/>
      <c r="AF5" s="31"/>
      <c r="AG5" s="23" t="s">
        <v>77</v>
      </c>
      <c r="AH5" s="24"/>
      <c r="AI5" s="25"/>
      <c r="AJ5" s="23" t="s">
        <v>78</v>
      </c>
      <c r="AK5" s="24"/>
      <c r="AL5" s="25"/>
      <c r="AM5" s="32" t="s">
        <v>79</v>
      </c>
      <c r="AN5" s="33"/>
      <c r="AO5" s="34"/>
      <c r="AP5" s="19"/>
      <c r="AQ5" s="19"/>
      <c r="AR5" s="35"/>
      <c r="AS5" s="35"/>
      <c r="AT5" s="19"/>
      <c r="AU5" s="19"/>
      <c r="AV5" s="19"/>
      <c r="BN5" s="85">
        <f xml:space="preserve"> ROW() - 4</f>
        <v>1</v>
      </c>
      <c r="BO5" s="253" t="str" cm="1">
        <f t="array" ref="BO5:BR63" xml:space="preserve"> TRANSPOSE(D17:BJ20)</f>
        <v>b</v>
      </c>
      <c r="BP5" s="86" t="str">
        <v>b</v>
      </c>
      <c r="BQ5" s="76" t="str">
        <v>!</v>
      </c>
      <c r="BR5" s="77" t="str">
        <v>ㆠ</v>
      </c>
      <c r="BS5" s="87" t="s">
        <v>282</v>
      </c>
      <c r="BT5" s="88">
        <f t="shared" ref="BT5:BT36" si="0" xml:space="preserve"> LEN(BO5)</f>
        <v>1</v>
      </c>
      <c r="BU5" s="10"/>
      <c r="BV5" s="89" t="str">
        <f xml:space="preserve"> "    """ &amp; BQ5 &amp; """: { commit: """ &amp; BR5 &amp; """ }" &amp; "  # " &amp; "/" &amp; BO5 &amp; "/ ==&gt; " &amp; BP5</f>
        <v xml:space="preserve">    "!": { commit: "ㆠ" }  # /b/ ==&gt; b</v>
      </c>
      <c r="BW5" s="90"/>
      <c r="BX5" s="85">
        <f xml:space="preserve"> ROW() - 4</f>
        <v>1</v>
      </c>
      <c r="BY5" s="93" t="e" cm="1">
        <f t="array" ref="BY5" xml:space="preserve"> _xlfn._xlws.SORT( _xlfn._xlws.FILTER($BO5:$BT64,($BS5:$BS64=BY2)*($BS5:$BS64&lt;&gt;BZ2)*($BO5:$BT64=CA2), "無符合資料"), 6, -1)</f>
        <v>#VALUE!</v>
      </c>
      <c r="BZ5" s="91"/>
      <c r="CA5" s="92"/>
      <c r="CB5" s="77"/>
      <c r="CC5" s="94"/>
      <c r="CD5" s="95"/>
      <c r="CF5" s="17" t="str">
        <f t="shared" ref="CF5:CF27" si="1" xml:space="preserve"> IFERROR( IF(LEN(BZ5)=0, "", IF(BZ5=BY5, "", "    - xform/" &amp; BY5 &amp; "/" &amp; BZ5 &amp; "/  # " &amp; "【" &amp; CA5 &amp; "】 ==&gt; " &amp; CC5 &amp; "： " &amp; CB5 &amp; " [" &amp; BY5 &amp; "]")), "")</f>
        <v/>
      </c>
      <c r="CG5" s="85">
        <f xml:space="preserve"> ROW() - 4</f>
        <v>1</v>
      </c>
      <c r="CH5" s="93" t="str" cm="1">
        <f t="array" ref="CH5:CM19" xml:space="preserve"> _xlfn._xlws.SORT( _xlfn._xlws.FILTER($BO5:$BT64,($BS5:$BS64=CH2)*($BS5:$BS64&lt;&gt;CI2), "無符合資料"), 6, -1)</f>
        <v>ang</v>
      </c>
      <c r="CI5" s="91" t="str">
        <v>A</v>
      </c>
      <c r="CJ5" s="92" t="str">
        <v>;</v>
      </c>
      <c r="CK5" s="77" t="str">
        <v>ㄤ</v>
      </c>
      <c r="CL5" s="94" t="str">
        <v>韻</v>
      </c>
      <c r="CM5" s="95">
        <v>3</v>
      </c>
      <c r="CO5" s="17" t="str">
        <f t="shared" ref="CO5:CO27" si="2" xml:space="preserve"> IFERROR( IF(LEN(CI5)=0, "", IF(EXACT(CI5,CH5), "", "    - xform/" &amp; CH5 &amp; "/" &amp; CI5 &amp; "/  # " &amp; "【" &amp; CJ5 &amp; "】 ==&gt; " &amp; CL5 &amp; "： " &amp; CK5 &amp; " [" &amp; CH5 &amp; "]")), "")</f>
        <v xml:space="preserve">    - xform/ang/A/  # 【;】 ==&gt; 韻： ㄤ [ang]</v>
      </c>
      <c r="CP5" s="85">
        <f xml:space="preserve"> ROW() - 4</f>
        <v>1</v>
      </c>
      <c r="CQ5" s="93" t="str" cm="1">
        <f t="array" ref="CQ5:CV25" xml:space="preserve"> _xlfn._xlws.SORT( _xlfn._xlws.FILTER($BO$5:$BT$64,($BS5:$BS64=CQ2)*($BO5:$BO64&lt;&gt;CR2), "無符合資料"), 6, -1)</f>
        <v>c(tsh)</v>
      </c>
      <c r="CR5" s="91" t="str">
        <v>c</v>
      </c>
      <c r="CS5" s="92" t="str">
        <v>h</v>
      </c>
      <c r="CT5" s="77" t="str">
        <v>ㄘ</v>
      </c>
      <c r="CU5" s="94" t="str">
        <v>聲</v>
      </c>
      <c r="CV5" s="95">
        <v>6</v>
      </c>
      <c r="CX5" s="96" t="str">
        <f t="shared" ref="CX5:CX14" si="3" xml:space="preserve"> IFERROR( IF(LEN(CR5)=0, "", IF(EXACT(CR5,CQ5), "", "    - xform/^" &amp; CQ5 &amp; "/" &amp; CR5 &amp; "/  # " &amp; "【" &amp; CS5 &amp; "】 ==&gt; " &amp; CU5 &amp; "： " &amp; CT5 &amp; " [" &amp; CQ5 &amp; "]")), "")</f>
        <v xml:space="preserve">    - xform/^c(tsh)/c/  # 【h】 ==&gt; 聲： ㄘ [c(tsh)]</v>
      </c>
      <c r="CY5" s="85">
        <f xml:space="preserve"> ROW() - 4</f>
        <v>1</v>
      </c>
      <c r="CZ5" s="93" cm="1">
        <f t="array" ref="CZ5:DE6" xml:space="preserve"> _xlfn._xlws.FILTER($BO$5:$BT$64,($BS5:$BS64=CZ2), "無符合資料")</f>
        <v>5</v>
      </c>
      <c r="DA5" s="91">
        <v>5</v>
      </c>
      <c r="DB5" s="92">
        <v>6</v>
      </c>
      <c r="DC5" s="77" t="str">
        <v>五</v>
      </c>
      <c r="DD5" s="94" t="str">
        <v>鍵</v>
      </c>
      <c r="DE5" s="95">
        <v>1</v>
      </c>
      <c r="DG5" s="17"/>
    </row>
    <row r="6" spans="1:111" s="18" customFormat="1" ht="45" customHeight="1">
      <c r="A6" s="19"/>
      <c r="B6" s="19"/>
      <c r="C6" s="40"/>
      <c r="D6" s="38"/>
      <c r="E6" s="41"/>
      <c r="F6" s="40"/>
      <c r="G6" s="38"/>
      <c r="H6" s="41"/>
      <c r="I6" s="37" t="s">
        <v>80</v>
      </c>
      <c r="J6" s="38"/>
      <c r="K6" s="41" t="s">
        <v>81</v>
      </c>
      <c r="L6" s="97" t="s">
        <v>82</v>
      </c>
      <c r="M6" s="38"/>
      <c r="N6" s="98" t="s">
        <v>83</v>
      </c>
      <c r="O6" s="97"/>
      <c r="P6" s="99"/>
      <c r="Q6" s="98"/>
      <c r="R6" s="97" t="s">
        <v>84</v>
      </c>
      <c r="S6" s="38"/>
      <c r="T6" s="98" t="s">
        <v>85</v>
      </c>
      <c r="U6" s="48" t="s">
        <v>86</v>
      </c>
      <c r="V6" s="49"/>
      <c r="W6" s="50" t="s">
        <v>87</v>
      </c>
      <c r="X6" s="48" t="s">
        <v>88</v>
      </c>
      <c r="Y6" s="100"/>
      <c r="Z6" s="101" t="s">
        <v>89</v>
      </c>
      <c r="AA6" s="48" t="s">
        <v>90</v>
      </c>
      <c r="AB6" s="49"/>
      <c r="AC6" s="50" t="s">
        <v>91</v>
      </c>
      <c r="AD6" s="52"/>
      <c r="AE6" s="49"/>
      <c r="AF6" s="53"/>
      <c r="AG6" s="42"/>
      <c r="AH6" s="43"/>
      <c r="AI6" s="44"/>
      <c r="AJ6" s="42"/>
      <c r="AK6" s="43"/>
      <c r="AL6" s="44"/>
      <c r="AM6" s="48"/>
      <c r="AN6" s="100"/>
      <c r="AO6" s="102"/>
      <c r="AP6" s="19"/>
      <c r="AQ6" s="19"/>
      <c r="AR6" s="35"/>
      <c r="AS6" s="35"/>
      <c r="AT6" s="19"/>
      <c r="AU6" s="19"/>
      <c r="AV6" s="19"/>
      <c r="BN6" s="85">
        <f t="shared" ref="BN6:BN64" si="4" xml:space="preserve"> ROW() - 4</f>
        <v>2</v>
      </c>
      <c r="BO6" s="253" t="str">
        <v>p</v>
      </c>
      <c r="BP6" s="86" t="str">
        <v>p</v>
      </c>
      <c r="BQ6" s="76" t="str">
        <v>1</v>
      </c>
      <c r="BR6" s="77" t="str">
        <v>ㄅ</v>
      </c>
      <c r="BS6" s="87" t="s">
        <v>282</v>
      </c>
      <c r="BT6" s="88">
        <f t="shared" si="0"/>
        <v>1</v>
      </c>
      <c r="BV6" s="89" t="str">
        <f t="shared" ref="BV6:BV31" si="5" xml:space="preserve"> "    """ &amp; BQ6 &amp; """: { commit: """ &amp; BR6 &amp; """ }" &amp; "  # " &amp; "/" &amp; BO7 &amp; "/ ==&gt; " &amp; BP6</f>
        <v xml:space="preserve">    "1": { commit: "ㄅ" }  # /ph/ ==&gt; p</v>
      </c>
      <c r="BW6" s="90"/>
      <c r="BX6" s="85">
        <f t="shared" ref="BX6:BX64" si="6" xml:space="preserve"> ROW() - 4</f>
        <v>2</v>
      </c>
      <c r="BY6" s="93"/>
      <c r="BZ6" s="91"/>
      <c r="CA6" s="92"/>
      <c r="CB6" s="77"/>
      <c r="CC6" s="94"/>
      <c r="CD6" s="95"/>
      <c r="CF6" s="17" t="str">
        <f t="shared" si="1"/>
        <v/>
      </c>
      <c r="CG6" s="85">
        <f t="shared" ref="CG6:CG64" si="7" xml:space="preserve"> ROW() - 4</f>
        <v>2</v>
      </c>
      <c r="CH6" s="93" t="str">
        <v>ong</v>
      </c>
      <c r="CI6" s="91" t="str">
        <v>H</v>
      </c>
      <c r="CJ6" s="92" t="str">
        <v>o</v>
      </c>
      <c r="CK6" s="77" t="str">
        <v>ㆲ</v>
      </c>
      <c r="CL6" s="94" t="str">
        <v>韻</v>
      </c>
      <c r="CM6" s="95">
        <v>3</v>
      </c>
      <c r="CO6" s="17" t="str">
        <f t="shared" si="2"/>
        <v xml:space="preserve">    - xform/ong/H/  # 【o】 ==&gt; 韻： ㆲ [ong]</v>
      </c>
      <c r="CP6" s="85">
        <f t="shared" ref="CP6:CP64" si="8" xml:space="preserve"> ROW() - 4</f>
        <v>2</v>
      </c>
      <c r="CQ6" s="93" t="str">
        <v>z(ts)</v>
      </c>
      <c r="CR6" s="91" t="str">
        <v>z</v>
      </c>
      <c r="CS6" s="92" t="str">
        <v>y</v>
      </c>
      <c r="CT6" s="77" t="str">
        <v>ㄗ</v>
      </c>
      <c r="CU6" s="94" t="str">
        <v>聲</v>
      </c>
      <c r="CV6" s="95">
        <v>5</v>
      </c>
      <c r="CX6" s="96" t="str">
        <f t="shared" si="3"/>
        <v xml:space="preserve">    - xform/^z(ts)/z/  # 【y】 ==&gt; 聲： ㄗ [z(ts)]</v>
      </c>
      <c r="CY6" s="85">
        <f t="shared" ref="CY6:CY64" si="9" xml:space="preserve"> ROW() - 4</f>
        <v>2</v>
      </c>
      <c r="CZ6" s="93">
        <v>8</v>
      </c>
      <c r="DA6" s="91">
        <v>8</v>
      </c>
      <c r="DB6" s="92" t="str">
        <v>]</v>
      </c>
      <c r="DC6" s="77" t="str">
        <v>八</v>
      </c>
      <c r="DD6" s="94" t="str">
        <v>鍵</v>
      </c>
      <c r="DE6" s="95">
        <v>1</v>
      </c>
      <c r="DG6" s="17"/>
    </row>
    <row r="7" spans="1:111" ht="45" customHeight="1" thickBot="1">
      <c r="A7" s="61"/>
      <c r="B7" s="61"/>
      <c r="C7" s="62" t="s">
        <v>92</v>
      </c>
      <c r="D7" s="63"/>
      <c r="E7" s="65" t="s">
        <v>93</v>
      </c>
      <c r="F7" s="62" t="s">
        <v>94</v>
      </c>
      <c r="G7" s="63"/>
      <c r="H7" s="65" t="s">
        <v>95</v>
      </c>
      <c r="I7" s="62" t="s">
        <v>96</v>
      </c>
      <c r="J7" s="63">
        <v>0</v>
      </c>
      <c r="K7" s="103" t="s">
        <v>97</v>
      </c>
      <c r="L7" s="104" t="s">
        <v>98</v>
      </c>
      <c r="M7" s="63"/>
      <c r="N7" s="105" t="s">
        <v>83</v>
      </c>
      <c r="O7" s="62" t="s">
        <v>99</v>
      </c>
      <c r="P7" s="63"/>
      <c r="Q7" s="103" t="s">
        <v>100</v>
      </c>
      <c r="R7" s="104" t="s">
        <v>101</v>
      </c>
      <c r="S7" s="63"/>
      <c r="T7" s="106" t="s">
        <v>102</v>
      </c>
      <c r="U7" s="69" t="s">
        <v>103</v>
      </c>
      <c r="V7" s="67"/>
      <c r="W7" s="71" t="s">
        <v>104</v>
      </c>
      <c r="X7" s="69" t="s">
        <v>105</v>
      </c>
      <c r="Y7" s="67"/>
      <c r="Z7" s="71" t="s">
        <v>106</v>
      </c>
      <c r="AA7" s="69" t="s">
        <v>107</v>
      </c>
      <c r="AB7" s="67"/>
      <c r="AC7" s="71" t="s">
        <v>108</v>
      </c>
      <c r="AD7" s="69" t="s">
        <v>109</v>
      </c>
      <c r="AE7" s="70"/>
      <c r="AF7" s="107" t="s">
        <v>110</v>
      </c>
      <c r="AG7" s="258"/>
      <c r="AH7" s="259"/>
      <c r="AI7" s="260" t="s">
        <v>555</v>
      </c>
      <c r="AJ7" s="258" t="s">
        <v>55</v>
      </c>
      <c r="AK7" s="259"/>
      <c r="AL7" s="260" t="s">
        <v>554</v>
      </c>
      <c r="AM7" s="69"/>
      <c r="AN7" s="70"/>
      <c r="AO7" s="71"/>
      <c r="AP7" s="61"/>
      <c r="AQ7" s="61"/>
      <c r="AR7" s="9"/>
      <c r="AS7" s="9"/>
      <c r="AT7" s="61"/>
      <c r="AU7" s="61"/>
      <c r="AV7" s="61"/>
      <c r="BN7" s="85">
        <f t="shared" si="4"/>
        <v>3</v>
      </c>
      <c r="BO7" s="253" t="str">
        <v>ph</v>
      </c>
      <c r="BP7" s="86" t="str">
        <v>P</v>
      </c>
      <c r="BQ7" s="76" t="str">
        <v>q</v>
      </c>
      <c r="BR7" s="77" t="str">
        <v>ㄆ</v>
      </c>
      <c r="BS7" s="87" t="s">
        <v>282</v>
      </c>
      <c r="BT7" s="88">
        <f t="shared" si="0"/>
        <v>2</v>
      </c>
      <c r="BU7" s="18"/>
      <c r="BV7" s="89" t="str">
        <f t="shared" si="5"/>
        <v xml:space="preserve">    "q": { commit: "ㄆ" }  # /m/ ==&gt; P</v>
      </c>
      <c r="BW7" s="90"/>
      <c r="BX7" s="85">
        <f t="shared" si="6"/>
        <v>3</v>
      </c>
      <c r="BY7" s="93"/>
      <c r="BZ7" s="91"/>
      <c r="CA7" s="92"/>
      <c r="CB7" s="77"/>
      <c r="CC7" s="94"/>
      <c r="CD7" s="95"/>
      <c r="CF7" s="17" t="str">
        <f t="shared" si="1"/>
        <v/>
      </c>
      <c r="CG7" s="85">
        <f t="shared" si="7"/>
        <v>3</v>
      </c>
      <c r="CH7" s="93" t="str">
        <v>aiⁿ</v>
      </c>
      <c r="CI7" s="91" t="str">
        <v>x</v>
      </c>
      <c r="CJ7" s="92" t="str">
        <v>(</v>
      </c>
      <c r="CK7" s="77" t="str">
        <v>ㆮ</v>
      </c>
      <c r="CL7" s="94" t="str">
        <v>韻</v>
      </c>
      <c r="CM7" s="95">
        <v>3</v>
      </c>
      <c r="CO7" s="17" t="str">
        <f t="shared" si="2"/>
        <v xml:space="preserve">    - xform/aiⁿ/x/  # 【(】 ==&gt; 韻： ㆮ [aiⁿ]</v>
      </c>
      <c r="CP7" s="85">
        <f t="shared" si="8"/>
        <v>3</v>
      </c>
      <c r="CQ7" s="93" t="str">
        <v>j(i)</v>
      </c>
      <c r="CR7" s="91" t="str">
        <v>J</v>
      </c>
      <c r="CS7" s="92" t="str">
        <v>R</v>
      </c>
      <c r="CT7" s="77" t="str">
        <v>ㆢ</v>
      </c>
      <c r="CU7" s="94" t="str">
        <v>聲</v>
      </c>
      <c r="CV7" s="95">
        <v>4</v>
      </c>
      <c r="CX7" s="96" t="str">
        <f t="shared" si="3"/>
        <v xml:space="preserve">    - xform/^j(i)/J/  # 【R】 ==&gt; 聲： ㆢ [j(i)]</v>
      </c>
      <c r="CY7" s="85">
        <f t="shared" si="9"/>
        <v>3</v>
      </c>
      <c r="CZ7" s="93"/>
      <c r="DA7" s="91"/>
      <c r="DB7" s="92"/>
      <c r="DC7" s="77"/>
      <c r="DD7" s="94"/>
      <c r="DE7" s="95"/>
    </row>
    <row r="8" spans="1:111" s="18" customFormat="1" ht="45" customHeight="1">
      <c r="A8" s="19"/>
      <c r="B8" s="19"/>
      <c r="C8" s="108"/>
      <c r="D8" s="20" t="s">
        <v>111</v>
      </c>
      <c r="E8" s="21"/>
      <c r="F8" s="22"/>
      <c r="G8" s="20" t="s">
        <v>112</v>
      </c>
      <c r="H8" s="21"/>
      <c r="I8" s="22"/>
      <c r="J8" s="20" t="s">
        <v>113</v>
      </c>
      <c r="K8" s="21"/>
      <c r="L8" s="22"/>
      <c r="M8" s="20" t="s">
        <v>114</v>
      </c>
      <c r="N8" s="21"/>
      <c r="O8" s="22"/>
      <c r="P8" s="20" t="s">
        <v>115</v>
      </c>
      <c r="Q8" s="21"/>
      <c r="R8" s="22"/>
      <c r="S8" s="20" t="s">
        <v>116</v>
      </c>
      <c r="T8" s="21"/>
      <c r="U8" s="22"/>
      <c r="V8" s="29" t="s">
        <v>117</v>
      </c>
      <c r="W8" s="30"/>
      <c r="X8" s="31"/>
      <c r="Y8" s="29" t="s">
        <v>118</v>
      </c>
      <c r="Z8" s="30"/>
      <c r="AA8" s="31"/>
      <c r="AB8" s="29" t="s">
        <v>119</v>
      </c>
      <c r="AC8" s="30"/>
      <c r="AD8" s="31"/>
      <c r="AE8" s="29" t="s">
        <v>120</v>
      </c>
      <c r="AF8" s="30"/>
      <c r="AG8" s="31"/>
      <c r="AH8" s="23" t="s">
        <v>121</v>
      </c>
      <c r="AI8" s="24"/>
      <c r="AJ8" s="25"/>
      <c r="AK8" s="19"/>
      <c r="AL8" s="19"/>
      <c r="AM8" s="19"/>
      <c r="AN8" s="19"/>
      <c r="AO8" s="19"/>
      <c r="AP8" s="19"/>
      <c r="AQ8" s="19"/>
      <c r="AR8" s="35"/>
      <c r="AS8" s="35"/>
      <c r="AT8" s="19"/>
      <c r="AU8" s="19"/>
      <c r="AV8" s="19"/>
      <c r="BN8" s="85">
        <f t="shared" si="4"/>
        <v>4</v>
      </c>
      <c r="BO8" s="253" t="str">
        <v>m</v>
      </c>
      <c r="BP8" s="86" t="str">
        <v>m</v>
      </c>
      <c r="BQ8" s="76" t="str">
        <v>a</v>
      </c>
      <c r="BR8" s="77" t="str">
        <v>ㄇ</v>
      </c>
      <c r="BS8" s="87" t="s">
        <v>282</v>
      </c>
      <c r="BT8" s="88">
        <f t="shared" si="0"/>
        <v>1</v>
      </c>
      <c r="BU8" s="10"/>
      <c r="BV8" s="89" t="str">
        <f t="shared" si="5"/>
        <v xml:space="preserve">    "a": { commit: "ㄇ" }  # /n/ ==&gt; m</v>
      </c>
      <c r="BW8" s="90"/>
      <c r="BX8" s="85">
        <f t="shared" si="6"/>
        <v>4</v>
      </c>
      <c r="BY8" s="93"/>
      <c r="BZ8" s="91"/>
      <c r="CA8" s="92"/>
      <c r="CB8" s="77"/>
      <c r="CC8" s="94"/>
      <c r="CD8" s="95"/>
      <c r="CF8" s="17" t="str">
        <f t="shared" si="1"/>
        <v/>
      </c>
      <c r="CG8" s="85">
        <f t="shared" si="7"/>
        <v>4</v>
      </c>
      <c r="CH8" s="93" t="str">
        <v>auⁿ</v>
      </c>
      <c r="CI8" s="91" t="str">
        <v>y</v>
      </c>
      <c r="CJ8" s="92" t="str">
        <v>L</v>
      </c>
      <c r="CK8" s="77" t="str">
        <v>ㆯ</v>
      </c>
      <c r="CL8" s="94" t="str">
        <v>韻</v>
      </c>
      <c r="CM8" s="95">
        <v>3</v>
      </c>
      <c r="CO8" s="17" t="str">
        <f t="shared" si="2"/>
        <v xml:space="preserve">    - xform/auⁿ/y/  # 【L】 ==&gt; 韻： ㆯ [auⁿ]</v>
      </c>
      <c r="CP8" s="85">
        <f t="shared" si="8"/>
        <v>4</v>
      </c>
      <c r="CQ8" s="93" t="str">
        <v>z(i)</v>
      </c>
      <c r="CR8" s="91" t="str">
        <v>Z</v>
      </c>
      <c r="CS8" s="92" t="str">
        <v>r</v>
      </c>
      <c r="CT8" s="77" t="str">
        <v>ㄐ</v>
      </c>
      <c r="CU8" s="94" t="str">
        <v>聲</v>
      </c>
      <c r="CV8" s="95">
        <v>4</v>
      </c>
      <c r="CX8" s="96" t="str">
        <f t="shared" si="3"/>
        <v xml:space="preserve">    - xform/^z(i)/Z/  # 【r】 ==&gt; 聲： ㄐ [z(i)]</v>
      </c>
      <c r="CY8" s="85">
        <f t="shared" si="9"/>
        <v>4</v>
      </c>
      <c r="CZ8" s="93"/>
      <c r="DA8" s="91"/>
      <c r="DB8" s="92"/>
      <c r="DC8" s="77"/>
      <c r="DD8" s="94"/>
      <c r="DE8" s="95"/>
      <c r="DG8" s="17"/>
    </row>
    <row r="9" spans="1:111" s="18" customFormat="1" ht="45" customHeight="1">
      <c r="A9" s="19"/>
      <c r="B9" s="19"/>
      <c r="C9" s="108"/>
      <c r="D9" s="37"/>
      <c r="E9" s="38"/>
      <c r="F9" s="109"/>
      <c r="G9" s="40"/>
      <c r="H9" s="38"/>
      <c r="I9" s="41"/>
      <c r="J9" s="40"/>
      <c r="K9" s="38"/>
      <c r="L9" s="41"/>
      <c r="M9" s="40"/>
      <c r="N9" s="38"/>
      <c r="O9" s="41"/>
      <c r="P9" s="40"/>
      <c r="Q9" s="38"/>
      <c r="R9" s="41"/>
      <c r="S9" s="97"/>
      <c r="T9" s="38"/>
      <c r="U9" s="98"/>
      <c r="V9" s="48" t="s">
        <v>122</v>
      </c>
      <c r="W9" s="51">
        <v>0</v>
      </c>
      <c r="X9" s="50" t="s">
        <v>123</v>
      </c>
      <c r="Y9" s="52" t="s">
        <v>124</v>
      </c>
      <c r="Z9" s="49"/>
      <c r="AA9" s="53" t="s">
        <v>125</v>
      </c>
      <c r="AB9" s="48" t="s">
        <v>126</v>
      </c>
      <c r="AC9" s="49"/>
      <c r="AD9" s="50" t="s">
        <v>127</v>
      </c>
      <c r="AE9" s="48"/>
      <c r="AF9" s="49"/>
      <c r="AG9" s="50"/>
      <c r="AH9" s="42"/>
      <c r="AI9" s="43"/>
      <c r="AJ9" s="44"/>
      <c r="AK9" s="19"/>
      <c r="AL9" s="19"/>
      <c r="AM9" s="19"/>
      <c r="AN9" s="19"/>
      <c r="AO9" s="19"/>
      <c r="AP9" s="19"/>
      <c r="AQ9" s="19"/>
      <c r="AR9" s="35"/>
      <c r="AS9" s="35"/>
      <c r="AT9" s="19"/>
      <c r="AU9" s="19"/>
      <c r="AV9" s="19"/>
      <c r="BN9" s="85">
        <f t="shared" si="4"/>
        <v>5</v>
      </c>
      <c r="BO9" s="253" t="str">
        <v>n</v>
      </c>
      <c r="BP9" s="86" t="str">
        <v>n</v>
      </c>
      <c r="BQ9" s="76" t="str">
        <v>s</v>
      </c>
      <c r="BR9" s="77" t="str">
        <v>ㄋ</v>
      </c>
      <c r="BS9" s="87" t="s">
        <v>282</v>
      </c>
      <c r="BT9" s="88">
        <f t="shared" si="0"/>
        <v>1</v>
      </c>
      <c r="BV9" s="89" t="str">
        <f t="shared" si="5"/>
        <v xml:space="preserve">    "s": { commit: "ㄋ" }  # /t/ ==&gt; n</v>
      </c>
      <c r="BW9" s="90"/>
      <c r="BX9" s="85">
        <f t="shared" si="6"/>
        <v>5</v>
      </c>
      <c r="BY9" s="93"/>
      <c r="BZ9" s="91"/>
      <c r="CA9" s="92"/>
      <c r="CB9" s="77"/>
      <c r="CC9" s="94"/>
      <c r="CD9" s="95"/>
      <c r="CF9" s="17" t="str">
        <f t="shared" si="1"/>
        <v/>
      </c>
      <c r="CG9" s="85">
        <f t="shared" si="7"/>
        <v>5</v>
      </c>
      <c r="CH9" s="93" t="str">
        <v>ai</v>
      </c>
      <c r="CI9" s="91" t="str">
        <v>I</v>
      </c>
      <c r="CJ9" s="92" t="str">
        <v>9</v>
      </c>
      <c r="CK9" s="77" t="str">
        <v>ㄞ</v>
      </c>
      <c r="CL9" s="94" t="str">
        <v>韻</v>
      </c>
      <c r="CM9" s="95">
        <v>2</v>
      </c>
      <c r="CO9" s="17" t="str">
        <f t="shared" si="2"/>
        <v xml:space="preserve">    - xform/ai/I/  # 【9】 ==&gt; 韻： ㄞ [ai]</v>
      </c>
      <c r="CP9" s="85">
        <f t="shared" si="8"/>
        <v>5</v>
      </c>
      <c r="CQ9" s="93" t="str">
        <v>c(i)</v>
      </c>
      <c r="CR9" s="91" t="str">
        <v>C</v>
      </c>
      <c r="CS9" s="92" t="str">
        <v>f</v>
      </c>
      <c r="CT9" s="77" t="str">
        <v>ㄑ</v>
      </c>
      <c r="CU9" s="94" t="str">
        <v>聲</v>
      </c>
      <c r="CV9" s="95">
        <v>4</v>
      </c>
      <c r="CX9" s="96" t="str">
        <f t="shared" si="3"/>
        <v xml:space="preserve">    - xform/^c(i)/C/  # 【f】 ==&gt; 聲： ㄑ [c(i)]</v>
      </c>
      <c r="CY9" s="85">
        <f t="shared" si="9"/>
        <v>5</v>
      </c>
      <c r="CZ9" s="93"/>
      <c r="DA9" s="91"/>
      <c r="DB9" s="92"/>
      <c r="DC9" s="77"/>
      <c r="DD9" s="94"/>
      <c r="DE9" s="95"/>
      <c r="DG9" s="17"/>
    </row>
    <row r="10" spans="1:111" ht="45" customHeight="1" thickBot="1">
      <c r="A10" s="61"/>
      <c r="B10" s="61"/>
      <c r="C10" s="61"/>
      <c r="D10" s="62" t="s">
        <v>128</v>
      </c>
      <c r="E10" s="63"/>
      <c r="F10" s="65" t="s">
        <v>129</v>
      </c>
      <c r="G10" s="62" t="s">
        <v>130</v>
      </c>
      <c r="H10" s="63"/>
      <c r="I10" s="65" t="s">
        <v>131</v>
      </c>
      <c r="J10" s="62" t="s">
        <v>132</v>
      </c>
      <c r="K10" s="63">
        <v>0</v>
      </c>
      <c r="L10" s="106" t="s">
        <v>133</v>
      </c>
      <c r="M10" s="62" t="s">
        <v>134</v>
      </c>
      <c r="N10" s="63"/>
      <c r="O10" s="106" t="s">
        <v>135</v>
      </c>
      <c r="P10" s="104" t="s">
        <v>136</v>
      </c>
      <c r="Q10" s="63"/>
      <c r="R10" s="106" t="s">
        <v>137</v>
      </c>
      <c r="S10" s="104" t="s">
        <v>138</v>
      </c>
      <c r="T10" s="63"/>
      <c r="U10" s="106" t="s">
        <v>139</v>
      </c>
      <c r="V10" s="69" t="s">
        <v>140</v>
      </c>
      <c r="W10" s="67"/>
      <c r="X10" s="71" t="s">
        <v>141</v>
      </c>
      <c r="Y10" s="69" t="s">
        <v>142</v>
      </c>
      <c r="Z10" s="67"/>
      <c r="AA10" s="71" t="s">
        <v>143</v>
      </c>
      <c r="AB10" s="69" t="s">
        <v>144</v>
      </c>
      <c r="AC10" s="67"/>
      <c r="AD10" s="71" t="s">
        <v>145</v>
      </c>
      <c r="AE10" s="69" t="s">
        <v>146</v>
      </c>
      <c r="AF10" s="70"/>
      <c r="AG10" s="71" t="s">
        <v>147</v>
      </c>
      <c r="AH10" s="258"/>
      <c r="AI10" s="259"/>
      <c r="AJ10" s="260" t="s">
        <v>556</v>
      </c>
      <c r="AK10" s="61"/>
      <c r="AL10" s="61"/>
      <c r="AM10" s="61"/>
      <c r="AN10" s="61"/>
      <c r="AO10" s="61"/>
      <c r="AP10" s="61"/>
      <c r="AQ10" s="61"/>
      <c r="AR10" s="9"/>
      <c r="AS10" s="9"/>
      <c r="AT10" s="61"/>
      <c r="AU10" s="61"/>
      <c r="AV10" s="61"/>
      <c r="BN10" s="85">
        <f t="shared" si="4"/>
        <v>6</v>
      </c>
      <c r="BO10" s="253" t="str">
        <v>t</v>
      </c>
      <c r="BP10" s="86" t="str">
        <v>t</v>
      </c>
      <c r="BQ10" s="76" t="str">
        <v>2</v>
      </c>
      <c r="BR10" s="77" t="str">
        <v>ㄉ</v>
      </c>
      <c r="BS10" s="87" t="s">
        <v>282</v>
      </c>
      <c r="BT10" s="88">
        <f t="shared" si="0"/>
        <v>1</v>
      </c>
      <c r="BU10" s="18"/>
      <c r="BV10" s="89" t="str">
        <f t="shared" si="5"/>
        <v xml:space="preserve">    "2": { commit: "ㄉ" }  # /th/ ==&gt; t</v>
      </c>
      <c r="BW10" s="90"/>
      <c r="BX10" s="85">
        <f t="shared" si="6"/>
        <v>6</v>
      </c>
      <c r="BY10" s="93"/>
      <c r="BZ10" s="91"/>
      <c r="CA10" s="92"/>
      <c r="CB10" s="77"/>
      <c r="CC10" s="94"/>
      <c r="CD10" s="95"/>
      <c r="CF10" s="17" t="str">
        <f t="shared" si="1"/>
        <v/>
      </c>
      <c r="CG10" s="85">
        <f t="shared" si="7"/>
        <v>6</v>
      </c>
      <c r="CH10" s="93" t="str">
        <v>au</v>
      </c>
      <c r="CI10" s="91" t="str">
        <v>U</v>
      </c>
      <c r="CJ10" s="92" t="str">
        <v>l</v>
      </c>
      <c r="CK10" s="77" t="str">
        <v>ㄠ</v>
      </c>
      <c r="CL10" s="94" t="str">
        <v>韻</v>
      </c>
      <c r="CM10" s="95">
        <v>2</v>
      </c>
      <c r="CO10" s="17" t="str">
        <f t="shared" si="2"/>
        <v xml:space="preserve">    - xform/au/U/  # 【l】 ==&gt; 韻： ㄠ [au]</v>
      </c>
      <c r="CP10" s="85">
        <f t="shared" si="8"/>
        <v>6</v>
      </c>
      <c r="CQ10" s="93" t="str">
        <v>s(i)</v>
      </c>
      <c r="CR10" s="91" t="str">
        <v>S</v>
      </c>
      <c r="CS10" s="92" t="str">
        <v>v</v>
      </c>
      <c r="CT10" s="77" t="str">
        <v>ㄒ</v>
      </c>
      <c r="CU10" s="94" t="str">
        <v>聲</v>
      </c>
      <c r="CV10" s="95">
        <v>4</v>
      </c>
      <c r="CX10" s="96" t="str">
        <f t="shared" si="3"/>
        <v xml:space="preserve">    - xform/^s(i)/S/  # 【v】 ==&gt; 聲： ㄒ [s(i)]</v>
      </c>
      <c r="CY10" s="85">
        <f t="shared" si="9"/>
        <v>6</v>
      </c>
      <c r="CZ10" s="93"/>
      <c r="DA10" s="91"/>
      <c r="DB10" s="92"/>
      <c r="DC10" s="77"/>
      <c r="DD10" s="94"/>
      <c r="DE10" s="95"/>
    </row>
    <row r="11" spans="1:111" s="18" customFormat="1" ht="45" customHeight="1">
      <c r="A11" s="19"/>
      <c r="B11" s="19"/>
      <c r="C11" s="19"/>
      <c r="D11" s="19"/>
      <c r="E11" s="20" t="s">
        <v>148</v>
      </c>
      <c r="F11" s="21"/>
      <c r="G11" s="22"/>
      <c r="H11" s="20" t="s">
        <v>149</v>
      </c>
      <c r="I11" s="21"/>
      <c r="J11" s="22"/>
      <c r="K11" s="20" t="s">
        <v>150</v>
      </c>
      <c r="L11" s="21"/>
      <c r="M11" s="22"/>
      <c r="N11" s="20" t="s">
        <v>151</v>
      </c>
      <c r="O11" s="21"/>
      <c r="P11" s="22"/>
      <c r="Q11" s="20" t="s">
        <v>152</v>
      </c>
      <c r="R11" s="21"/>
      <c r="S11" s="22"/>
      <c r="T11" s="20" t="s">
        <v>153</v>
      </c>
      <c r="U11" s="21"/>
      <c r="V11" s="22"/>
      <c r="W11" s="29" t="s">
        <v>154</v>
      </c>
      <c r="X11" s="30"/>
      <c r="Y11" s="31"/>
      <c r="Z11" s="29" t="s">
        <v>155</v>
      </c>
      <c r="AA11" s="30"/>
      <c r="AB11" s="31"/>
      <c r="AC11" s="29" t="s">
        <v>156</v>
      </c>
      <c r="AD11" s="30"/>
      <c r="AE11" s="31"/>
      <c r="AF11" s="32" t="s">
        <v>157</v>
      </c>
      <c r="AG11" s="33"/>
      <c r="AH11" s="34"/>
      <c r="AI11" s="19"/>
      <c r="AJ11" s="19"/>
      <c r="AK11" s="19"/>
      <c r="AL11" s="19"/>
      <c r="AM11" s="19"/>
      <c r="AN11" s="19"/>
      <c r="AO11" s="19"/>
      <c r="AP11" s="19"/>
      <c r="AQ11" s="19"/>
      <c r="AR11" s="35"/>
      <c r="AS11" s="35"/>
      <c r="AT11" s="19"/>
      <c r="AU11" s="19"/>
      <c r="AV11" s="19"/>
      <c r="BN11" s="85">
        <f t="shared" si="4"/>
        <v>7</v>
      </c>
      <c r="BO11" s="253" t="str">
        <v>th</v>
      </c>
      <c r="BP11" s="86" t="str">
        <v>T</v>
      </c>
      <c r="BQ11" s="76" t="str">
        <v>w</v>
      </c>
      <c r="BR11" s="77" t="str">
        <v>ㄊ</v>
      </c>
      <c r="BS11" s="87" t="s">
        <v>282</v>
      </c>
      <c r="BT11" s="88">
        <f t="shared" si="0"/>
        <v>2</v>
      </c>
      <c r="BU11" s="10"/>
      <c r="BV11" s="89" t="str">
        <f t="shared" si="5"/>
        <v xml:space="preserve">    "w": { commit: "ㄊ" }  # /l/ ==&gt; T</v>
      </c>
      <c r="BW11" s="90"/>
      <c r="BX11" s="85">
        <f t="shared" si="6"/>
        <v>7</v>
      </c>
      <c r="BY11" s="93"/>
      <c r="BZ11" s="91"/>
      <c r="CA11" s="92"/>
      <c r="CB11" s="77"/>
      <c r="CC11" s="94"/>
      <c r="CD11" s="95"/>
      <c r="CF11" s="17" t="str">
        <f t="shared" si="1"/>
        <v/>
      </c>
      <c r="CG11" s="85">
        <f t="shared" si="7"/>
        <v>7</v>
      </c>
      <c r="CH11" s="93" t="str">
        <v>am</v>
      </c>
      <c r="CI11" s="91" t="str">
        <v>Y</v>
      </c>
      <c r="CJ11" s="92" t="str">
        <v>M</v>
      </c>
      <c r="CK11" s="77" t="str">
        <v>ㆰ</v>
      </c>
      <c r="CL11" s="94" t="str">
        <v>韻</v>
      </c>
      <c r="CM11" s="95">
        <v>2</v>
      </c>
      <c r="CO11" s="17" t="str">
        <f t="shared" si="2"/>
        <v xml:space="preserve">    - xform/am/Y/  # 【M】 ==&gt; 韻： ㆰ [am]</v>
      </c>
      <c r="CP11" s="85">
        <f t="shared" si="8"/>
        <v>7</v>
      </c>
      <c r="CQ11" s="93" t="str">
        <v>ph</v>
      </c>
      <c r="CR11" s="91" t="str">
        <v>P</v>
      </c>
      <c r="CS11" s="92" t="str">
        <v>q</v>
      </c>
      <c r="CT11" s="77" t="str">
        <v>ㄆ</v>
      </c>
      <c r="CU11" s="94" t="str">
        <v>聲</v>
      </c>
      <c r="CV11" s="95">
        <v>2</v>
      </c>
      <c r="CX11" s="96" t="str">
        <f t="shared" si="3"/>
        <v xml:space="preserve">    - xform/^ph/P/  # 【q】 ==&gt; 聲： ㄆ [ph]</v>
      </c>
      <c r="CY11" s="85">
        <f t="shared" si="9"/>
        <v>7</v>
      </c>
      <c r="CZ11" s="93"/>
      <c r="DA11" s="91"/>
      <c r="DB11" s="92"/>
      <c r="DC11" s="77"/>
      <c r="DD11" s="94"/>
      <c r="DE11" s="95"/>
      <c r="DG11" s="17"/>
    </row>
    <row r="12" spans="1:111" s="18" customFormat="1" ht="45" customHeight="1">
      <c r="A12" s="19"/>
      <c r="B12" s="19"/>
      <c r="C12" s="19"/>
      <c r="D12" s="19"/>
      <c r="E12" s="40"/>
      <c r="F12" s="38"/>
      <c r="G12" s="41"/>
      <c r="H12" s="40"/>
      <c r="I12" s="38"/>
      <c r="J12" s="41"/>
      <c r="K12" s="40"/>
      <c r="L12" s="38"/>
      <c r="M12" s="41"/>
      <c r="N12" s="40"/>
      <c r="O12" s="38"/>
      <c r="P12" s="41"/>
      <c r="Q12" s="97"/>
      <c r="R12" s="38"/>
      <c r="S12" s="98"/>
      <c r="T12" s="37" t="s">
        <v>158</v>
      </c>
      <c r="U12" s="38"/>
      <c r="V12" s="41" t="s">
        <v>159</v>
      </c>
      <c r="W12" s="48" t="s">
        <v>160</v>
      </c>
      <c r="X12" s="49"/>
      <c r="Y12" s="50" t="s">
        <v>161</v>
      </c>
      <c r="Z12" s="48" t="s">
        <v>162</v>
      </c>
      <c r="AA12" s="51">
        <v>0</v>
      </c>
      <c r="AB12" s="50" t="s">
        <v>163</v>
      </c>
      <c r="AC12" s="261"/>
      <c r="AD12" s="110"/>
      <c r="AE12" s="111"/>
      <c r="AF12" s="112"/>
      <c r="AG12" s="49"/>
      <c r="AH12" s="50"/>
      <c r="AI12" s="19"/>
      <c r="AJ12" s="19"/>
      <c r="AK12" s="19"/>
      <c r="AL12" s="19"/>
      <c r="AM12" s="19"/>
      <c r="AN12" s="19"/>
      <c r="AO12" s="19"/>
      <c r="AP12" s="19"/>
      <c r="AQ12" s="19" t="s">
        <v>164</v>
      </c>
      <c r="AR12" s="35"/>
      <c r="AS12" s="35"/>
      <c r="AT12" s="19"/>
      <c r="AU12" s="19"/>
      <c r="AV12" s="19"/>
      <c r="BN12" s="85">
        <f t="shared" si="4"/>
        <v>8</v>
      </c>
      <c r="BO12" s="253" t="str">
        <v>l</v>
      </c>
      <c r="BP12" s="86" t="str">
        <v>l</v>
      </c>
      <c r="BQ12" s="76" t="str">
        <v>x</v>
      </c>
      <c r="BR12" s="77" t="str">
        <v>ㄌ</v>
      </c>
      <c r="BS12" s="87" t="s">
        <v>282</v>
      </c>
      <c r="BT12" s="88">
        <f t="shared" si="0"/>
        <v>1</v>
      </c>
      <c r="BV12" s="89" t="str">
        <f t="shared" si="5"/>
        <v xml:space="preserve">    "x": { commit: "ㄌ" }  # /g/ ==&gt; l</v>
      </c>
      <c r="BW12" s="90"/>
      <c r="BX12" s="85">
        <f t="shared" si="6"/>
        <v>8</v>
      </c>
      <c r="BY12" s="93"/>
      <c r="BZ12" s="91"/>
      <c r="CA12" s="92"/>
      <c r="CB12" s="77"/>
      <c r="CC12" s="94"/>
      <c r="CD12" s="95"/>
      <c r="CF12" s="17" t="str">
        <f t="shared" si="1"/>
        <v/>
      </c>
      <c r="CG12" s="85">
        <f t="shared" si="7"/>
        <v>8</v>
      </c>
      <c r="CH12" s="93" t="str">
        <v>an</v>
      </c>
      <c r="CI12" s="91" t="str">
        <v>@</v>
      </c>
      <c r="CJ12" s="92" t="str">
        <v>0</v>
      </c>
      <c r="CK12" s="77" t="str">
        <v>ㄢ</v>
      </c>
      <c r="CL12" s="94" t="str">
        <v>韻</v>
      </c>
      <c r="CM12" s="95">
        <v>2</v>
      </c>
      <c r="CO12" s="17" t="str">
        <f t="shared" si="2"/>
        <v xml:space="preserve">    - xform/an/@/  # 【0】 ==&gt; 韻： ㄢ [an]</v>
      </c>
      <c r="CP12" s="85">
        <f t="shared" si="8"/>
        <v>8</v>
      </c>
      <c r="CQ12" s="93" t="str">
        <v>th</v>
      </c>
      <c r="CR12" s="91" t="str">
        <v>T</v>
      </c>
      <c r="CS12" s="92" t="str">
        <v>w</v>
      </c>
      <c r="CT12" s="77" t="str">
        <v>ㄊ</v>
      </c>
      <c r="CU12" s="94" t="str">
        <v>聲</v>
      </c>
      <c r="CV12" s="95">
        <v>2</v>
      </c>
      <c r="CX12" s="96" t="str">
        <f t="shared" si="3"/>
        <v xml:space="preserve">    - xform/^th/T/  # 【w】 ==&gt; 聲： ㄊ [th]</v>
      </c>
      <c r="CY12" s="85">
        <f t="shared" si="9"/>
        <v>8</v>
      </c>
      <c r="CZ12" s="93"/>
      <c r="DA12" s="91"/>
      <c r="DB12" s="92"/>
      <c r="DC12" s="77"/>
      <c r="DD12" s="94"/>
      <c r="DE12" s="95"/>
      <c r="DG12" s="17"/>
    </row>
    <row r="13" spans="1:111" ht="45" customHeight="1" thickBot="1">
      <c r="A13" s="61"/>
      <c r="B13" s="61"/>
      <c r="C13" s="61"/>
      <c r="D13" s="61"/>
      <c r="E13" s="104" t="s">
        <v>165</v>
      </c>
      <c r="F13" s="63"/>
      <c r="G13" s="106" t="s">
        <v>166</v>
      </c>
      <c r="H13" s="62" t="s">
        <v>167</v>
      </c>
      <c r="I13" s="63"/>
      <c r="J13" s="65" t="s">
        <v>168</v>
      </c>
      <c r="K13" s="62" t="s">
        <v>169</v>
      </c>
      <c r="L13" s="63"/>
      <c r="M13" s="106" t="s">
        <v>170</v>
      </c>
      <c r="N13" s="62" t="s">
        <v>171</v>
      </c>
      <c r="O13" s="63"/>
      <c r="P13" s="106" t="s">
        <v>172</v>
      </c>
      <c r="Q13" s="104" t="s">
        <v>173</v>
      </c>
      <c r="R13" s="63"/>
      <c r="S13" s="106" t="s">
        <v>174</v>
      </c>
      <c r="T13" s="62" t="s">
        <v>175</v>
      </c>
      <c r="U13" s="63"/>
      <c r="V13" s="106" t="s">
        <v>176</v>
      </c>
      <c r="W13" s="69" t="s">
        <v>177</v>
      </c>
      <c r="X13" s="67"/>
      <c r="Y13" s="71" t="s">
        <v>178</v>
      </c>
      <c r="Z13" s="69" t="s">
        <v>179</v>
      </c>
      <c r="AA13" s="67">
        <v>0</v>
      </c>
      <c r="AB13" s="71" t="s">
        <v>180</v>
      </c>
      <c r="AC13" s="262"/>
      <c r="AD13" s="67"/>
      <c r="AE13" s="71"/>
      <c r="AF13" s="69" t="s">
        <v>182</v>
      </c>
      <c r="AG13" s="67"/>
      <c r="AH13" s="71" t="s">
        <v>183</v>
      </c>
      <c r="AI13" s="61"/>
      <c r="AJ13" s="61"/>
      <c r="AK13" s="61"/>
      <c r="AL13" s="61"/>
      <c r="AM13" s="61"/>
      <c r="AN13" s="61"/>
      <c r="AO13" s="61"/>
      <c r="AP13" s="61"/>
      <c r="AQ13" s="61"/>
      <c r="AR13" s="9"/>
      <c r="AS13" s="9"/>
      <c r="AT13" s="61"/>
      <c r="AU13" s="61"/>
      <c r="AV13" s="61"/>
      <c r="BJ13" s="18"/>
      <c r="BK13" s="18"/>
      <c r="BN13" s="85">
        <f t="shared" si="4"/>
        <v>9</v>
      </c>
      <c r="BO13" s="253" t="str">
        <v>g</v>
      </c>
      <c r="BP13" s="86" t="str">
        <v>g</v>
      </c>
      <c r="BQ13" s="76" t="str">
        <v>E</v>
      </c>
      <c r="BR13" s="77" t="str">
        <v>ㆣ</v>
      </c>
      <c r="BS13" s="87" t="s">
        <v>282</v>
      </c>
      <c r="BT13" s="88">
        <f t="shared" si="0"/>
        <v>1</v>
      </c>
      <c r="BU13" s="18"/>
      <c r="BV13" s="89" t="str">
        <f t="shared" si="5"/>
        <v xml:space="preserve">    "E": { commit: "ㆣ" }  # /k/ ==&gt; g</v>
      </c>
      <c r="BW13" s="90"/>
      <c r="BX13" s="85">
        <f t="shared" si="6"/>
        <v>9</v>
      </c>
      <c r="BY13" s="93"/>
      <c r="BZ13" s="91"/>
      <c r="CA13" s="92"/>
      <c r="CB13" s="77"/>
      <c r="CC13" s="94"/>
      <c r="CD13" s="95"/>
      <c r="CF13" s="17" t="str">
        <f t="shared" si="1"/>
        <v/>
      </c>
      <c r="CG13" s="85">
        <f t="shared" si="7"/>
        <v>9</v>
      </c>
      <c r="CH13" s="93" t="str">
        <v>om</v>
      </c>
      <c r="CI13" s="91" t="str">
        <v>W</v>
      </c>
      <c r="CJ13" s="92" t="str">
        <v>O</v>
      </c>
      <c r="CK13" s="77" t="str">
        <v>ㆱ</v>
      </c>
      <c r="CL13" s="94" t="str">
        <v>韻</v>
      </c>
      <c r="CM13" s="95">
        <v>2</v>
      </c>
      <c r="CO13" s="17" t="str">
        <f t="shared" si="2"/>
        <v xml:space="preserve">    - xform/om/W/  # 【O】 ==&gt; 韻： ㆱ [om]</v>
      </c>
      <c r="CP13" s="85">
        <f t="shared" si="8"/>
        <v>9</v>
      </c>
      <c r="CQ13" s="93" t="str">
        <v>kh</v>
      </c>
      <c r="CR13" s="91" t="str">
        <v>K</v>
      </c>
      <c r="CS13" s="92" t="str">
        <v>d</v>
      </c>
      <c r="CT13" s="77" t="str">
        <v>ㄎ</v>
      </c>
      <c r="CU13" s="94" t="str">
        <v>聲</v>
      </c>
      <c r="CV13" s="95">
        <v>2</v>
      </c>
      <c r="CX13" s="96" t="str">
        <f t="shared" si="3"/>
        <v xml:space="preserve">    - xform/^kh/K/  # 【d】 ==&gt; 聲： ㄎ [kh]</v>
      </c>
      <c r="CY13" s="85">
        <f t="shared" si="9"/>
        <v>9</v>
      </c>
      <c r="CZ13" s="93"/>
      <c r="DA13" s="91"/>
      <c r="DB13" s="92"/>
      <c r="DC13" s="77"/>
      <c r="DD13" s="94"/>
      <c r="DE13" s="95"/>
    </row>
    <row r="14" spans="1:111" ht="45" customHeight="1">
      <c r="BJ14" s="18"/>
      <c r="BK14" s="18"/>
      <c r="BN14" s="85">
        <f t="shared" si="4"/>
        <v>10</v>
      </c>
      <c r="BO14" s="253" t="str">
        <v>k</v>
      </c>
      <c r="BP14" s="86" t="str">
        <v>k</v>
      </c>
      <c r="BQ14" s="76" t="str">
        <v>e</v>
      </c>
      <c r="BR14" s="77" t="str">
        <v>ㄍ</v>
      </c>
      <c r="BS14" s="87" t="s">
        <v>282</v>
      </c>
      <c r="BT14" s="88">
        <f t="shared" si="0"/>
        <v>1</v>
      </c>
      <c r="BV14" s="89" t="str">
        <f t="shared" si="5"/>
        <v xml:space="preserve">    "e": { commit: "ㄍ" }  # /kh/ ==&gt; k</v>
      </c>
      <c r="BW14" s="90"/>
      <c r="BX14" s="85">
        <f t="shared" si="6"/>
        <v>10</v>
      </c>
      <c r="BY14" s="93"/>
      <c r="BZ14" s="91"/>
      <c r="CA14" s="92"/>
      <c r="CB14" s="77"/>
      <c r="CC14" s="94"/>
      <c r="CD14" s="95"/>
      <c r="CF14" s="17" t="str">
        <f t="shared" si="1"/>
        <v/>
      </c>
      <c r="CG14" s="85">
        <f t="shared" si="7"/>
        <v>10</v>
      </c>
      <c r="CH14" s="93" t="str">
        <v>aⁿ</v>
      </c>
      <c r="CI14" s="91" t="str">
        <v>d</v>
      </c>
      <c r="CJ14" s="92" t="str">
        <v>*</v>
      </c>
      <c r="CK14" s="77" t="str">
        <v>ㆩ</v>
      </c>
      <c r="CL14" s="94" t="str">
        <v>韻</v>
      </c>
      <c r="CM14" s="95">
        <v>2</v>
      </c>
      <c r="CO14" s="17" t="str">
        <f t="shared" si="2"/>
        <v xml:space="preserve">    - xform/aⁿ/d/  # 【*】 ==&gt; 韻： ㆩ [aⁿ]</v>
      </c>
      <c r="CP14" s="85">
        <f t="shared" si="8"/>
        <v>10</v>
      </c>
      <c r="CQ14" s="93" t="str">
        <v>ng</v>
      </c>
      <c r="CR14" s="91" t="str">
        <v>ŋ</v>
      </c>
      <c r="CS14" s="92" t="str">
        <v>N</v>
      </c>
      <c r="CT14" s="77" t="str">
        <v>ㄫ</v>
      </c>
      <c r="CU14" s="94" t="str">
        <v>聲</v>
      </c>
      <c r="CV14" s="95">
        <v>2</v>
      </c>
      <c r="CX14" s="96" t="str">
        <f t="shared" si="3"/>
        <v xml:space="preserve">    - xform/^ng/ŋ/  # 【N】 ==&gt; 聲： ㄫ [ng]</v>
      </c>
      <c r="CY14" s="85">
        <f t="shared" si="9"/>
        <v>10</v>
      </c>
      <c r="CZ14" s="93"/>
      <c r="DA14" s="91"/>
      <c r="DB14" s="92"/>
      <c r="DC14" s="77"/>
      <c r="DD14" s="94"/>
      <c r="DE14" s="95"/>
    </row>
    <row r="15" spans="1:111" s="113" customFormat="1" ht="4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9"/>
      <c r="AS15" s="9"/>
      <c r="AT15" s="61"/>
      <c r="AU15" s="61"/>
      <c r="AV15" s="61"/>
      <c r="AW15" s="10"/>
      <c r="AX15" s="10"/>
      <c r="AY15" s="10"/>
      <c r="AZ15" s="10"/>
      <c r="BA15" s="10"/>
      <c r="BB15" s="10"/>
      <c r="BC15" s="18"/>
      <c r="BD15" s="18"/>
      <c r="BE15" s="18"/>
      <c r="BF15" s="18"/>
      <c r="BG15" s="18"/>
      <c r="BH15" s="18"/>
      <c r="BI15" s="18"/>
      <c r="BJ15" s="18"/>
      <c r="BK15" s="18"/>
      <c r="BN15" s="85">
        <f t="shared" si="4"/>
        <v>11</v>
      </c>
      <c r="BO15" s="253" t="str">
        <v>kh</v>
      </c>
      <c r="BP15" s="86" t="str">
        <v>K</v>
      </c>
      <c r="BQ15" s="76" t="str">
        <v>d</v>
      </c>
      <c r="BR15" s="77" t="str">
        <v>ㄎ</v>
      </c>
      <c r="BS15" s="87" t="s">
        <v>282</v>
      </c>
      <c r="BT15" s="88">
        <f t="shared" si="0"/>
        <v>2</v>
      </c>
      <c r="BU15" s="10"/>
      <c r="BV15" s="89" t="str">
        <f t="shared" si="5"/>
        <v xml:space="preserve">    "d": { commit: "ㄎ" }  # /ng/ ==&gt; K</v>
      </c>
      <c r="BW15" s="90"/>
      <c r="BX15" s="85">
        <f t="shared" si="6"/>
        <v>11</v>
      </c>
      <c r="BY15" s="93"/>
      <c r="BZ15" s="91"/>
      <c r="CA15" s="92"/>
      <c r="CB15" s="77"/>
      <c r="CC15" s="94"/>
      <c r="CD15" s="95"/>
      <c r="CF15" s="17" t="str">
        <f t="shared" si="1"/>
        <v/>
      </c>
      <c r="CG15" s="85">
        <f t="shared" si="7"/>
        <v>11</v>
      </c>
      <c r="CH15" s="93" t="str">
        <v>iⁿ</v>
      </c>
      <c r="CI15" s="91" t="str">
        <v>f</v>
      </c>
      <c r="CJ15" s="92" t="str">
        <v>U</v>
      </c>
      <c r="CK15" s="77" t="str">
        <v>ㆪ</v>
      </c>
      <c r="CL15" s="94" t="str">
        <v>韻</v>
      </c>
      <c r="CM15" s="95">
        <v>2</v>
      </c>
      <c r="CO15" s="17" t="str">
        <f t="shared" si="2"/>
        <v xml:space="preserve">    - xform/iⁿ/f/  # 【U】 ==&gt; 韻： ㆪ [iⁿ]</v>
      </c>
      <c r="CP15" s="85">
        <f t="shared" si="8"/>
        <v>11</v>
      </c>
      <c r="CQ15" s="93" t="str">
        <v>b</v>
      </c>
      <c r="CR15" s="91" t="str">
        <v>b</v>
      </c>
      <c r="CS15" s="92" t="str">
        <v>!</v>
      </c>
      <c r="CT15" s="77" t="str">
        <v>ㆠ</v>
      </c>
      <c r="CU15" s="94" t="str">
        <v>聲</v>
      </c>
      <c r="CV15" s="95">
        <v>1</v>
      </c>
      <c r="CX15" s="96" t="str">
        <f xml:space="preserve"> _xlfn.CONCAT("    - xform/^", CR15, "/", CR15, "/", "      # ", CT15, " [", CQ15, "]" )</f>
        <v xml:space="preserve">    - xform/^b/b/      # ㆠ [b]</v>
      </c>
      <c r="CY15" s="85">
        <f t="shared" si="9"/>
        <v>11</v>
      </c>
      <c r="CZ15" s="93"/>
      <c r="DA15" s="91"/>
      <c r="DB15" s="92"/>
      <c r="DC15" s="77"/>
      <c r="DD15" s="94"/>
      <c r="DE15" s="95"/>
      <c r="DG15" s="17"/>
    </row>
    <row r="16" spans="1:111" s="120" customFormat="1" ht="45" customHeight="1">
      <c r="A16" s="114"/>
      <c r="B16" s="115" t="s">
        <v>184</v>
      </c>
      <c r="C16" s="116"/>
      <c r="D16" s="117" cm="1">
        <f t="array" ref="D16" xml:space="preserve"> COLUMN() - COLUMN($C:$C)</f>
        <v>1</v>
      </c>
      <c r="E16" s="117" cm="1">
        <f t="array" ref="E16" xml:space="preserve"> COLUMN() - COLUMN($C:$C)</f>
        <v>2</v>
      </c>
      <c r="F16" s="117" cm="1">
        <f t="array" ref="F16" xml:space="preserve"> COLUMN() - COLUMN($C:$C)</f>
        <v>3</v>
      </c>
      <c r="G16" s="117" cm="1">
        <f t="array" ref="G16" xml:space="preserve"> COLUMN() - COLUMN($C:$C)</f>
        <v>4</v>
      </c>
      <c r="H16" s="117" cm="1">
        <f t="array" ref="H16" xml:space="preserve"> COLUMN() - COLUMN($C:$C)</f>
        <v>5</v>
      </c>
      <c r="I16" s="117" cm="1">
        <f t="array" ref="I16" xml:space="preserve"> COLUMN() - COLUMN($C:$C)</f>
        <v>6</v>
      </c>
      <c r="J16" s="117" cm="1">
        <f t="array" ref="J16" xml:space="preserve"> COLUMN() - COLUMN($C:$C)</f>
        <v>7</v>
      </c>
      <c r="K16" s="117" cm="1">
        <f t="array" ref="K16" xml:space="preserve"> COLUMN() - COLUMN($C:$C)</f>
        <v>8</v>
      </c>
      <c r="L16" s="117" cm="1">
        <f t="array" ref="L16" xml:space="preserve"> COLUMN() - COLUMN($C:$C)</f>
        <v>9</v>
      </c>
      <c r="M16" s="117" cm="1">
        <f t="array" ref="M16" xml:space="preserve"> COLUMN() - COLUMN($C:$C)</f>
        <v>10</v>
      </c>
      <c r="N16" s="117" cm="1">
        <f t="array" ref="N16" xml:space="preserve"> COLUMN() - COLUMN($C:$C)</f>
        <v>11</v>
      </c>
      <c r="O16" s="117" cm="1">
        <f t="array" ref="O16" xml:space="preserve"> COLUMN() - COLUMN($C:$C)</f>
        <v>12</v>
      </c>
      <c r="P16" s="117" cm="1">
        <f t="array" ref="P16" xml:space="preserve"> COLUMN() - COLUMN($C:$C)</f>
        <v>13</v>
      </c>
      <c r="Q16" s="117" cm="1">
        <f t="array" ref="Q16" xml:space="preserve"> COLUMN() - COLUMN($C:$C)</f>
        <v>14</v>
      </c>
      <c r="R16" s="117" cm="1">
        <f t="array" ref="R16" xml:space="preserve"> COLUMN() - COLUMN($C:$C)</f>
        <v>15</v>
      </c>
      <c r="S16" s="117" cm="1">
        <f t="array" ref="S16" xml:space="preserve"> COLUMN() - COLUMN($C:$C)</f>
        <v>16</v>
      </c>
      <c r="T16" s="117" cm="1">
        <f t="array" ref="T16" xml:space="preserve"> COLUMN() - COLUMN($C:$C)</f>
        <v>17</v>
      </c>
      <c r="U16" s="117" cm="1">
        <f t="array" ref="U16" xml:space="preserve"> COLUMN() - COLUMN($C:$C)</f>
        <v>18</v>
      </c>
      <c r="V16" s="117" cm="1">
        <f t="array" ref="V16" xml:space="preserve"> COLUMN() - COLUMN($C:$C)</f>
        <v>19</v>
      </c>
      <c r="W16" s="117" cm="1">
        <f t="array" ref="W16" xml:space="preserve"> COLUMN() - COLUMN($C:$C)</f>
        <v>20</v>
      </c>
      <c r="X16" s="117" cm="1">
        <f t="array" ref="X16" xml:space="preserve"> COLUMN() - COLUMN($C:$C)</f>
        <v>21</v>
      </c>
      <c r="Y16" s="118" cm="1">
        <f t="array" ref="Y16" xml:space="preserve"> COLUMN() - COLUMN($C:$C)</f>
        <v>22</v>
      </c>
      <c r="Z16" s="118" cm="1">
        <f t="array" ref="Z16" xml:space="preserve"> COLUMN() - COLUMN($C:$C)</f>
        <v>23</v>
      </c>
      <c r="AA16" s="118" cm="1">
        <f t="array" ref="AA16" xml:space="preserve"> COLUMN() - COLUMN($C:$C)</f>
        <v>24</v>
      </c>
      <c r="AB16" s="118" cm="1">
        <f t="array" ref="AB16" xml:space="preserve"> COLUMN() - COLUMN($C:$C)</f>
        <v>25</v>
      </c>
      <c r="AC16" s="118" cm="1">
        <f t="array" ref="AC16" xml:space="preserve"> COLUMN() - COLUMN($C:$C)</f>
        <v>26</v>
      </c>
      <c r="AD16" s="118" cm="1">
        <f t="array" ref="AD16" xml:space="preserve"> COLUMN() - COLUMN($C:$C)</f>
        <v>27</v>
      </c>
      <c r="AE16" s="118" cm="1">
        <f t="array" ref="AE16" xml:space="preserve"> COLUMN() - COLUMN($C:$C)</f>
        <v>28</v>
      </c>
      <c r="AF16" s="118" cm="1">
        <f t="array" ref="AF16" xml:space="preserve"> COLUMN() - COLUMN($C:$C)</f>
        <v>29</v>
      </c>
      <c r="AG16" s="118" cm="1">
        <f t="array" ref="AG16" xml:space="preserve"> COLUMN() - COLUMN($C:$C)</f>
        <v>30</v>
      </c>
      <c r="AH16" s="118" cm="1">
        <f t="array" ref="AH16" xml:space="preserve"> COLUMN() - COLUMN($C:$C)</f>
        <v>31</v>
      </c>
      <c r="AI16" s="118" cm="1">
        <f t="array" ref="AI16" xml:space="preserve"> COLUMN() - COLUMN($C:$C)</f>
        <v>32</v>
      </c>
      <c r="AJ16" s="118" cm="1">
        <f t="array" ref="AJ16" xml:space="preserve"> COLUMN() - COLUMN($C:$C)</f>
        <v>33</v>
      </c>
      <c r="AK16" s="118" cm="1">
        <f t="array" ref="AK16" xml:space="preserve"> COLUMN() - COLUMN($C:$C)</f>
        <v>34</v>
      </c>
      <c r="AL16" s="118" cm="1">
        <f t="array" ref="AL16" xml:space="preserve"> COLUMN() - COLUMN($C:$C)</f>
        <v>35</v>
      </c>
      <c r="AM16" s="118" cm="1">
        <f t="array" ref="AM16" xml:space="preserve"> COLUMN() - COLUMN($C:$C)</f>
        <v>36</v>
      </c>
      <c r="AN16" s="118" cm="1">
        <f t="array" ref="AN16" xml:space="preserve"> COLUMN() - COLUMN($C:$C)</f>
        <v>37</v>
      </c>
      <c r="AO16" s="118" cm="1">
        <f t="array" ref="AO16" xml:space="preserve"> COLUMN() - COLUMN($C:$C)</f>
        <v>38</v>
      </c>
      <c r="AP16" s="118" cm="1">
        <f t="array" ref="AP16" xml:space="preserve"> COLUMN() - COLUMN($C:$C)</f>
        <v>39</v>
      </c>
      <c r="AQ16" s="118" cm="1">
        <f t="array" ref="AQ16" xml:space="preserve"> COLUMN() - COLUMN($C:$C)</f>
        <v>40</v>
      </c>
      <c r="AR16" s="118" cm="1">
        <f t="array" ref="AR16" xml:space="preserve"> COLUMN() - COLUMN($C:$C)</f>
        <v>41</v>
      </c>
      <c r="AS16" s="118" cm="1">
        <f t="array" ref="AS16" xml:space="preserve"> COLUMN() - COLUMN($C:$C)</f>
        <v>42</v>
      </c>
      <c r="AT16" s="118" cm="1">
        <f t="array" ref="AT16" xml:space="preserve"> COLUMN() - COLUMN($C:$C)</f>
        <v>43</v>
      </c>
      <c r="AU16" s="118" cm="1">
        <f t="array" ref="AU16" xml:space="preserve"> COLUMN() - COLUMN($C:$C)</f>
        <v>44</v>
      </c>
      <c r="AV16" s="118" cm="1">
        <f t="array" ref="AV16" xml:space="preserve"> COLUMN() - COLUMN($C:$C)</f>
        <v>45</v>
      </c>
      <c r="AW16" s="118" cm="1">
        <f t="array" ref="AW16" xml:space="preserve"> COLUMN() - COLUMN($C:$C)</f>
        <v>46</v>
      </c>
      <c r="AX16" s="119" cm="1">
        <f t="array" ref="AX16" xml:space="preserve"> COLUMN() - COLUMN($C:$C)</f>
        <v>47</v>
      </c>
      <c r="AY16" s="119" cm="1">
        <f t="array" ref="AY16" xml:space="preserve"> COLUMN() - COLUMN($C:$C)</f>
        <v>48</v>
      </c>
      <c r="AZ16" s="119" cm="1">
        <f t="array" ref="AZ16" xml:space="preserve"> COLUMN() - COLUMN($C:$C)</f>
        <v>49</v>
      </c>
      <c r="BA16" s="119" cm="1">
        <f t="array" ref="BA16" xml:space="preserve"> COLUMN() - COLUMN($C:$C)</f>
        <v>50</v>
      </c>
      <c r="BB16" s="119" cm="1">
        <f t="array" ref="BB16" xml:space="preserve"> COLUMN() - COLUMN($C:$C)</f>
        <v>51</v>
      </c>
      <c r="BC16" s="119" cm="1">
        <f t="array" ref="BC16" xml:space="preserve"> COLUMN() - COLUMN($C:$C)</f>
        <v>52</v>
      </c>
      <c r="BD16" s="119" cm="1">
        <f t="array" ref="BD16" xml:space="preserve"> COLUMN() - COLUMN($C:$C)</f>
        <v>53</v>
      </c>
      <c r="BE16" s="119" cm="1">
        <f t="array" ref="BE16" xml:space="preserve"> COLUMN() - COLUMN($C:$C)</f>
        <v>54</v>
      </c>
      <c r="BF16" s="119" cm="1">
        <f t="array" ref="BF16" xml:space="preserve"> COLUMN() - COLUMN($C:$C)</f>
        <v>55</v>
      </c>
      <c r="BG16" s="119" cm="1">
        <f t="array" ref="BG16" xml:space="preserve"> COLUMN() - COLUMN($C:$C)</f>
        <v>56</v>
      </c>
      <c r="BH16" s="119" cm="1">
        <f t="array" ref="BH16" xml:space="preserve"> COLUMN() - COLUMN($C:$C)</f>
        <v>57</v>
      </c>
      <c r="BI16" s="119" cm="1">
        <f t="array" ref="BI16" xml:space="preserve"> COLUMN() - COLUMN($C:$C)</f>
        <v>58</v>
      </c>
      <c r="BJ16" s="119" cm="1">
        <f t="array" ref="BJ16" xml:space="preserve"> COLUMN() - COLUMN($C:$C)</f>
        <v>59</v>
      </c>
      <c r="BK16" s="119" cm="1">
        <f t="array" ref="BK16" xml:space="preserve"> COLUMN() - COLUMN($C:$C)</f>
        <v>60</v>
      </c>
      <c r="BN16" s="85">
        <f t="shared" si="4"/>
        <v>12</v>
      </c>
      <c r="BO16" s="253" t="str">
        <v>ng</v>
      </c>
      <c r="BP16" s="86" t="str">
        <v>ŋ</v>
      </c>
      <c r="BQ16" s="76" t="str">
        <v>N</v>
      </c>
      <c r="BR16" s="77" t="str">
        <v>ㄫ</v>
      </c>
      <c r="BS16" s="87" t="s">
        <v>282</v>
      </c>
      <c r="BT16" s="88">
        <f t="shared" si="0"/>
        <v>2</v>
      </c>
      <c r="BU16" s="113"/>
      <c r="BV16" s="89" t="str">
        <f xml:space="preserve"> "    """ &amp; BQ16 &amp; """: { commit: """ &amp; BR16 &amp; """ }" &amp; "  # " &amp; "/" &amp; BO17 &amp; "/ ==&gt; " &amp; BP16</f>
        <v xml:space="preserve">    "N": { commit: "ㄫ" }  # /j/ ==&gt; ŋ</v>
      </c>
      <c r="BW16" s="90"/>
      <c r="BX16" s="85">
        <f t="shared" si="6"/>
        <v>12</v>
      </c>
      <c r="BY16" s="93"/>
      <c r="BZ16" s="91"/>
      <c r="CA16" s="92"/>
      <c r="CB16" s="77"/>
      <c r="CC16" s="94"/>
      <c r="CD16" s="95"/>
      <c r="CF16" s="17" t="str">
        <f t="shared" si="1"/>
        <v/>
      </c>
      <c r="CG16" s="85">
        <f t="shared" si="7"/>
        <v>12</v>
      </c>
      <c r="CH16" s="93" t="str">
        <v>uⁿ</v>
      </c>
      <c r="CI16" s="91" t="str">
        <v>q</v>
      </c>
      <c r="CJ16" s="92" t="str">
        <v>J</v>
      </c>
      <c r="CK16" s="77" t="str">
        <v>ㆫ</v>
      </c>
      <c r="CL16" s="94" t="str">
        <v>韻</v>
      </c>
      <c r="CM16" s="95">
        <v>2</v>
      </c>
      <c r="CO16" s="17" t="str">
        <f t="shared" si="2"/>
        <v xml:space="preserve">    - xform/uⁿ/q/  # 【J】 ==&gt; 韻： ㆫ [uⁿ]</v>
      </c>
      <c r="CP16" s="85">
        <f t="shared" si="8"/>
        <v>12</v>
      </c>
      <c r="CQ16" s="93" t="str">
        <v>p</v>
      </c>
      <c r="CR16" s="91" t="str">
        <v>p</v>
      </c>
      <c r="CS16" s="92" t="str">
        <v>1</v>
      </c>
      <c r="CT16" s="77" t="str">
        <v>ㄅ</v>
      </c>
      <c r="CU16" s="94" t="str">
        <v>聲</v>
      </c>
      <c r="CV16" s="95">
        <v>1</v>
      </c>
      <c r="CX16" s="96" t="str">
        <f t="shared" ref="CX16:CX25" si="10" xml:space="preserve"> _xlfn.CONCAT("    - xform/^", CR16, "/", CR16, "/", "      # ", CT16, " [", CQ16, "]" )</f>
        <v xml:space="preserve">    - xform/^p/p/      # ㄅ [p]</v>
      </c>
      <c r="CY16" s="85">
        <f t="shared" si="9"/>
        <v>12</v>
      </c>
      <c r="CZ16" s="93"/>
      <c r="DA16" s="91"/>
      <c r="DB16" s="92"/>
      <c r="DC16" s="77"/>
      <c r="DD16" s="94"/>
      <c r="DE16" s="95"/>
      <c r="DG16" s="17"/>
    </row>
    <row r="17" spans="1:111" s="120" customFormat="1" ht="45" customHeight="1">
      <c r="A17" s="121"/>
      <c r="B17" s="132" t="s">
        <v>285</v>
      </c>
      <c r="C17" s="133"/>
      <c r="D17" s="134" t="str">
        <f>' 台語音標【xlit解析】'!C3</f>
        <v>b</v>
      </c>
      <c r="E17" s="134" t="str">
        <f>' 台語音標【xlit解析】'!D3</f>
        <v>p</v>
      </c>
      <c r="F17" s="134" t="str">
        <f>' 台語音標【xlit解析】'!E3</f>
        <v>ph</v>
      </c>
      <c r="G17" s="134" t="str">
        <f>' 台語音標【xlit解析】'!F3</f>
        <v>m</v>
      </c>
      <c r="H17" s="134" t="str">
        <f>' 台語音標【xlit解析】'!G3</f>
        <v>n</v>
      </c>
      <c r="I17" s="134" t="str">
        <f>' 台語音標【xlit解析】'!H3</f>
        <v>t</v>
      </c>
      <c r="J17" s="134" t="str">
        <f>' 台語音標【xlit解析】'!I3</f>
        <v>th</v>
      </c>
      <c r="K17" s="134" t="str">
        <f>' 台語音標【xlit解析】'!J3</f>
        <v>l</v>
      </c>
      <c r="L17" s="134" t="str">
        <f>' 台語音標【xlit解析】'!K3</f>
        <v>g</v>
      </c>
      <c r="M17" s="134" t="str">
        <f>' 台語音標【xlit解析】'!L3</f>
        <v>k</v>
      </c>
      <c r="N17" s="134" t="str">
        <f>' 台語音標【xlit解析】'!M3</f>
        <v>kh</v>
      </c>
      <c r="O17" s="134" t="str">
        <f>' 台語音標【xlit解析】'!N3</f>
        <v>ng</v>
      </c>
      <c r="P17" s="134" t="str">
        <f>' 台語音標【xlit解析】'!O3</f>
        <v>j</v>
      </c>
      <c r="Q17" s="134" t="str">
        <f>' 台語音標【xlit解析】'!P3</f>
        <v>z(ts)</v>
      </c>
      <c r="R17" s="134" t="str">
        <f>' 台語音標【xlit解析】'!Q3</f>
        <v>c(tsh)</v>
      </c>
      <c r="S17" s="134" t="str">
        <f>' 台語音標【xlit解析】'!R3</f>
        <v>s</v>
      </c>
      <c r="T17" s="134" t="str">
        <f>' 台語音標【xlit解析】'!S3</f>
        <v>h</v>
      </c>
      <c r="U17" s="134" t="str">
        <f>' 台語音標【xlit解析】'!T3</f>
        <v>j(i)</v>
      </c>
      <c r="V17" s="134" t="str">
        <f>' 台語音標【xlit解析】'!U3</f>
        <v>z(i)</v>
      </c>
      <c r="W17" s="134" t="str">
        <f>' 台語音標【xlit解析】'!V3</f>
        <v>c(i)</v>
      </c>
      <c r="X17" s="134" t="str">
        <f>' 台語音標【xlit解析】'!W3</f>
        <v>s(i)</v>
      </c>
      <c r="Y17" s="134" t="str">
        <f>' 台語音標【xlit解析】'!X3</f>
        <v>a</v>
      </c>
      <c r="Z17" s="134" t="str">
        <f>' 台語音標【xlit解析】'!Y3</f>
        <v>i</v>
      </c>
      <c r="AA17" s="134" t="str">
        <f>' 台語音標【xlit解析】'!Z3</f>
        <v>ir</v>
      </c>
      <c r="AB17" s="134" t="str">
        <f>' 台語音標【xlit解析】'!AA3</f>
        <v>u</v>
      </c>
      <c r="AC17" s="134" t="str">
        <f>' 台語音標【xlit解析】'!AB3</f>
        <v>e</v>
      </c>
      <c r="AD17" s="134" t="str">
        <f>' 台語音標【xlit解析】'!AC3</f>
        <v>oo</v>
      </c>
      <c r="AE17" s="134" t="str">
        <f>' 台語音標【xlit解析】'!AD3</f>
        <v>o</v>
      </c>
      <c r="AF17" s="134" t="str">
        <f>' 台語音標【xlit解析】'!AE3</f>
        <v>-m</v>
      </c>
      <c r="AG17" s="134" t="str">
        <f>' 台語音標【xlit解析】'!AF3</f>
        <v>-n</v>
      </c>
      <c r="AH17" s="134" t="str">
        <f>' 台語音標【xlit解析】'!AG3</f>
        <v>-ng</v>
      </c>
      <c r="AI17" s="134" t="str">
        <f>' 台語音標【xlit解析】'!AH3</f>
        <v>-p</v>
      </c>
      <c r="AJ17" s="134" t="str">
        <f>' 台語音標【xlit解析】'!AI3</f>
        <v>-t</v>
      </c>
      <c r="AK17" s="134" t="str">
        <f>' 台語音標【xlit解析】'!AJ3</f>
        <v>-k</v>
      </c>
      <c r="AL17" s="134" t="str">
        <f>' 台語音標【xlit解析】'!AK3</f>
        <v>-h</v>
      </c>
      <c r="AM17" s="134" t="str">
        <f>' 台語音標【xlit解析】'!AL3</f>
        <v>ai</v>
      </c>
      <c r="AN17" s="134" t="str">
        <f>' 台語音標【xlit解析】'!AM3</f>
        <v>au</v>
      </c>
      <c r="AO17" s="134" t="str">
        <f>' 台語音標【xlit解析】'!AN3</f>
        <v>am</v>
      </c>
      <c r="AP17" s="134" t="str">
        <f>' 台語音標【xlit解析】'!AO3</f>
        <v>an</v>
      </c>
      <c r="AQ17" s="134" t="str">
        <f>' 台語音標【xlit解析】'!AP3</f>
        <v>ang</v>
      </c>
      <c r="AR17" s="134" t="str">
        <f>' 台語音標【xlit解析】'!AQ3</f>
        <v>om</v>
      </c>
      <c r="AS17" s="134" t="str">
        <f>' 台語音標【xlit解析】'!AR3</f>
        <v>ong</v>
      </c>
      <c r="AT17" s="134" t="str">
        <f>' 台語音標【xlit解析】'!AS3</f>
        <v>aⁿ</v>
      </c>
      <c r="AU17" s="134" t="str">
        <f>' 台語音標【xlit解析】'!AT3</f>
        <v>iⁿ</v>
      </c>
      <c r="AV17" s="134" t="str">
        <f>' 台語音標【xlit解析】'!AU3</f>
        <v>uⁿ</v>
      </c>
      <c r="AW17" s="134" t="str">
        <f>' 台語音標【xlit解析】'!AV3</f>
        <v>eⁿ</v>
      </c>
      <c r="AX17" s="134" t="str">
        <f>' 台語音標【xlit解析】'!AW3</f>
        <v>oⁿ</v>
      </c>
      <c r="AY17" s="134" t="str">
        <f>' 台語音標【xlit解析】'!AX3</f>
        <v>aiⁿ</v>
      </c>
      <c r="AZ17" s="134" t="str">
        <f>' 台語音標【xlit解析】'!AY3</f>
        <v>auⁿ</v>
      </c>
      <c r="BA17" s="134">
        <f>' 台語音標【xlit解析】'!BI3</f>
        <v>0</v>
      </c>
      <c r="BB17" s="134" t="str">
        <f>' 台語音標【xlit解析】'!AZ3</f>
        <v>ⁿ</v>
      </c>
      <c r="BC17" s="134" t="s">
        <v>566</v>
      </c>
      <c r="BD17" s="134">
        <f>' 台語音標【xlit解析】'!BB3</f>
        <v>1</v>
      </c>
      <c r="BE17" s="134">
        <f>' 台語音標【xlit解析】'!BC3</f>
        <v>7</v>
      </c>
      <c r="BF17" s="134">
        <f>' 台語音標【xlit解析】'!BD3</f>
        <v>3</v>
      </c>
      <c r="BG17" s="134">
        <f>' 台語音標【xlit解析】'!BE3</f>
        <v>2</v>
      </c>
      <c r="BH17" s="134">
        <f>' 台語音標【xlit解析】'!BF3</f>
        <v>5</v>
      </c>
      <c r="BI17" s="134">
        <f>' 台語音標【xlit解析】'!BG3</f>
        <v>8</v>
      </c>
      <c r="BJ17" s="134">
        <f>' 台語音標【xlit解析】'!BH3</f>
        <v>4</v>
      </c>
      <c r="BK17" s="134"/>
      <c r="BN17" s="85">
        <f t="shared" si="4"/>
        <v>13</v>
      </c>
      <c r="BO17" s="253" t="str">
        <v>j</v>
      </c>
      <c r="BP17" s="86" t="str">
        <v>j</v>
      </c>
      <c r="BQ17" s="76" t="str">
        <v>Y</v>
      </c>
      <c r="BR17" s="77" t="str">
        <v>ㆡ</v>
      </c>
      <c r="BS17" s="87" t="s">
        <v>282</v>
      </c>
      <c r="BT17" s="88">
        <f t="shared" si="0"/>
        <v>1</v>
      </c>
      <c r="BV17" s="89" t="str">
        <f t="shared" si="5"/>
        <v xml:space="preserve">    "Y": { commit: "ㆡ" }  # /z(ts)/ ==&gt; j</v>
      </c>
      <c r="BW17" s="90"/>
      <c r="BX17" s="85">
        <f t="shared" si="6"/>
        <v>13</v>
      </c>
      <c r="BY17" s="93"/>
      <c r="BZ17" s="91"/>
      <c r="CA17" s="92"/>
      <c r="CB17" s="77"/>
      <c r="CC17" s="94"/>
      <c r="CD17" s="95"/>
      <c r="CF17" s="17" t="str">
        <f t="shared" si="1"/>
        <v/>
      </c>
      <c r="CG17" s="85">
        <f t="shared" si="7"/>
        <v>13</v>
      </c>
      <c r="CH17" s="93" t="str">
        <v>eⁿ</v>
      </c>
      <c r="CI17" s="91" t="str">
        <v>r</v>
      </c>
      <c r="CJ17" s="92" t="str">
        <v>&lt;</v>
      </c>
      <c r="CK17" s="77" t="str">
        <v>ㆥ</v>
      </c>
      <c r="CL17" s="94" t="str">
        <v>韻</v>
      </c>
      <c r="CM17" s="95">
        <v>2</v>
      </c>
      <c r="CO17" s="17" t="str">
        <f t="shared" si="2"/>
        <v xml:space="preserve">    - xform/eⁿ/r/  # 【&lt;】 ==&gt; 韻： ㆥ [eⁿ]</v>
      </c>
      <c r="CP17" s="85">
        <f t="shared" si="8"/>
        <v>13</v>
      </c>
      <c r="CQ17" s="93" t="str">
        <v>m</v>
      </c>
      <c r="CR17" s="91" t="str">
        <v>m</v>
      </c>
      <c r="CS17" s="92" t="str">
        <v>a</v>
      </c>
      <c r="CT17" s="77" t="str">
        <v>ㄇ</v>
      </c>
      <c r="CU17" s="94" t="str">
        <v>聲</v>
      </c>
      <c r="CV17" s="95">
        <v>1</v>
      </c>
      <c r="CX17" s="96" t="str">
        <f t="shared" si="10"/>
        <v xml:space="preserve">    - xform/^m/m/      # ㄇ [m]</v>
      </c>
      <c r="CY17" s="85">
        <f t="shared" si="9"/>
        <v>13</v>
      </c>
      <c r="CZ17" s="93"/>
      <c r="DA17" s="91"/>
      <c r="DB17" s="92"/>
      <c r="DC17" s="77"/>
      <c r="DD17" s="94"/>
      <c r="DE17" s="95"/>
      <c r="DG17" s="17"/>
    </row>
    <row r="18" spans="1:111" s="120" customFormat="1" ht="45" customHeight="1">
      <c r="A18" s="121"/>
      <c r="B18" s="122" t="s">
        <v>4</v>
      </c>
      <c r="C18" s="123"/>
      <c r="D18" s="124" t="str">
        <f>' 台語音標【xlit解析】'!C4</f>
        <v>b</v>
      </c>
      <c r="E18" s="124" t="str">
        <f>' 台語音標【xlit解析】'!D4</f>
        <v>p</v>
      </c>
      <c r="F18" s="124" t="str">
        <f>' 台語音標【xlit解析】'!E4</f>
        <v>P</v>
      </c>
      <c r="G18" s="124" t="str">
        <f>' 台語音標【xlit解析】'!F4</f>
        <v>m</v>
      </c>
      <c r="H18" s="125" t="str">
        <f>' 台語音標【xlit解析】'!G4</f>
        <v>n</v>
      </c>
      <c r="I18" s="124" t="str">
        <f>' 台語音標【xlit解析】'!H4</f>
        <v>t</v>
      </c>
      <c r="J18" s="124" t="str">
        <f>' 台語音標【xlit解析】'!I4</f>
        <v>T</v>
      </c>
      <c r="K18" s="124" t="str">
        <f>' 台語音標【xlit解析】'!J4</f>
        <v>l</v>
      </c>
      <c r="L18" s="124" t="str">
        <f>' 台語音標【xlit解析】'!K4</f>
        <v>g</v>
      </c>
      <c r="M18" s="125" t="str">
        <f>' 台語音標【xlit解析】'!L4</f>
        <v>k</v>
      </c>
      <c r="N18" s="124" t="str">
        <f>' 台語音標【xlit解析】'!M4</f>
        <v>K</v>
      </c>
      <c r="O18" s="124" t="str">
        <f>' 台語音標【xlit解析】'!N4</f>
        <v>ŋ</v>
      </c>
      <c r="P18" s="124" t="str">
        <f>' 台語音標【xlit解析】'!O4</f>
        <v>j</v>
      </c>
      <c r="Q18" s="124" t="str">
        <f>' 台語音標【xlit解析】'!P4</f>
        <v>z</v>
      </c>
      <c r="R18" s="124" t="str">
        <f>' 台語音標【xlit解析】'!Q4</f>
        <v>c</v>
      </c>
      <c r="S18" s="124" t="str">
        <f>' 台語音標【xlit解析】'!R4</f>
        <v>s</v>
      </c>
      <c r="T18" s="124" t="str">
        <f>' 台語音標【xlit解析】'!S4</f>
        <v>h</v>
      </c>
      <c r="U18" s="124" t="str">
        <f>' 台語音標【xlit解析】'!T4</f>
        <v>J</v>
      </c>
      <c r="V18" s="124" t="str">
        <f>' 台語音標【xlit解析】'!U4</f>
        <v>Z</v>
      </c>
      <c r="W18" s="124" t="str">
        <f>' 台語音標【xlit解析】'!V4</f>
        <v>C</v>
      </c>
      <c r="X18" s="124" t="str">
        <f>' 台語音標【xlit解析】'!W4</f>
        <v>S</v>
      </c>
      <c r="Y18" s="124" t="str">
        <f>' 台語音標【xlit解析】'!X4</f>
        <v>a</v>
      </c>
      <c r="Z18" s="124" t="str">
        <f>' 台語音標【xlit解析】'!Y4</f>
        <v>i</v>
      </c>
      <c r="AA18" s="124" t="str">
        <f>' 台語音標【xlit解析】'!Z4</f>
        <v>w</v>
      </c>
      <c r="AB18" s="124" t="str">
        <f>' 台語音標【xlit解析】'!AA4</f>
        <v>u</v>
      </c>
      <c r="AC18" s="124" t="str">
        <f>' 台語音標【xlit解析】'!AB4</f>
        <v>e</v>
      </c>
      <c r="AD18" s="124" t="str">
        <f>' 台語音標【xlit解析】'!AC4</f>
        <v>O</v>
      </c>
      <c r="AE18" s="124" t="str">
        <f>' 台語音標【xlit解析】'!AD4</f>
        <v>ə</v>
      </c>
      <c r="AF18" s="124" t="str">
        <f>' 台語音標【xlit解析】'!AE4</f>
        <v>M</v>
      </c>
      <c r="AG18" s="124" t="str">
        <f>' 台語音標【xlit解析】'!AF4</f>
        <v>N</v>
      </c>
      <c r="AH18" s="125" t="str">
        <f>' 台語音標【xlit解析】'!AG4</f>
        <v>G</v>
      </c>
      <c r="AI18" s="125" t="str">
        <f>' 台語音標【xlit解析】'!AH4</f>
        <v>R</v>
      </c>
      <c r="AJ18" s="125" t="str">
        <f>' 台語音標【xlit解析】'!AI4</f>
        <v>F</v>
      </c>
      <c r="AK18" s="125" t="str">
        <f>' 台語音標【xlit解析】'!AJ4</f>
        <v>Q</v>
      </c>
      <c r="AL18" s="125" t="str">
        <f>' 台語音標【xlit解析】'!AK4</f>
        <v>V</v>
      </c>
      <c r="AM18" s="124" t="str">
        <f>' 台語音標【xlit解析】'!AL4</f>
        <v>I</v>
      </c>
      <c r="AN18" s="124" t="str">
        <f>' 台語音標【xlit解析】'!AM4</f>
        <v>U</v>
      </c>
      <c r="AO18" s="124" t="str">
        <f>' 台語音標【xlit解析】'!AN4</f>
        <v>Y</v>
      </c>
      <c r="AP18" s="124" t="str">
        <f>' 台語音標【xlit解析】'!AO4</f>
        <v>@</v>
      </c>
      <c r="AQ18" s="124" t="str">
        <f>' 台語音標【xlit解析】'!AP4</f>
        <v>A</v>
      </c>
      <c r="AR18" s="124" t="str">
        <f>' 台語音標【xlit解析】'!AQ4</f>
        <v>W</v>
      </c>
      <c r="AS18" s="124" t="str">
        <f>' 台語音標【xlit解析】'!AR4</f>
        <v>H</v>
      </c>
      <c r="AT18" s="124" t="str">
        <f>' 台語音標【xlit解析】'!AS4</f>
        <v>d</v>
      </c>
      <c r="AU18" s="124" t="str">
        <f>' 台語音標【xlit解析】'!AT4</f>
        <v>f</v>
      </c>
      <c r="AV18" s="124" t="str">
        <f>' 台語音標【xlit解析】'!AU4</f>
        <v>q</v>
      </c>
      <c r="AW18" s="125" t="str">
        <f>' 台語音標【xlit解析】'!AV4</f>
        <v>r</v>
      </c>
      <c r="AX18" s="125" t="str">
        <f>' 台語音標【xlit解析】'!AW4</f>
        <v>v</v>
      </c>
      <c r="AY18" s="125" t="str">
        <f>' 台語音標【xlit解析】'!AX4</f>
        <v>x</v>
      </c>
      <c r="AZ18" s="125" t="str">
        <f>' 台語音標【xlit解析】'!AY4</f>
        <v>y</v>
      </c>
      <c r="BA18" s="124" t="str">
        <f>' 台語音標【xlit解析】'!BI4</f>
        <v>&amp;</v>
      </c>
      <c r="BB18" s="124" t="str">
        <f>' 台語音標【xlit解析】'!AZ4</f>
        <v>L</v>
      </c>
      <c r="BC18" s="124" t="s">
        <v>566</v>
      </c>
      <c r="BD18" s="124">
        <f>' 台語音標【xlit解析】'!BB4</f>
        <v>1</v>
      </c>
      <c r="BE18" s="124">
        <f>' 台語音標【xlit解析】'!BC4</f>
        <v>7</v>
      </c>
      <c r="BF18" s="124">
        <f>' 台語音標【xlit解析】'!BD4</f>
        <v>3</v>
      </c>
      <c r="BG18" s="124">
        <f>' 台語音標【xlit解析】'!BE4</f>
        <v>2</v>
      </c>
      <c r="BH18" s="124">
        <f>' 台語音標【xlit解析】'!BF4</f>
        <v>5</v>
      </c>
      <c r="BI18" s="124">
        <f>' 台語音標【xlit解析】'!BG4</f>
        <v>8</v>
      </c>
      <c r="BJ18" s="124">
        <f>' 台語音標【xlit解析】'!BH4</f>
        <v>4</v>
      </c>
      <c r="BK18" s="124"/>
      <c r="BN18" s="85">
        <f t="shared" si="4"/>
        <v>14</v>
      </c>
      <c r="BO18" s="253" t="str">
        <v>z(ts)</v>
      </c>
      <c r="BP18" s="86" t="str">
        <v>z</v>
      </c>
      <c r="BQ18" s="76" t="str">
        <v>y</v>
      </c>
      <c r="BR18" s="77" t="str">
        <v>ㄗ</v>
      </c>
      <c r="BS18" s="87" t="s">
        <v>282</v>
      </c>
      <c r="BT18" s="88">
        <f t="shared" si="0"/>
        <v>5</v>
      </c>
      <c r="BV18" s="89" t="str">
        <f t="shared" si="5"/>
        <v xml:space="preserve">    "y": { commit: "ㄗ" }  # /c(tsh)/ ==&gt; z</v>
      </c>
      <c r="BW18" s="90"/>
      <c r="BX18" s="85">
        <f t="shared" si="6"/>
        <v>14</v>
      </c>
      <c r="BY18" s="93"/>
      <c r="BZ18" s="91"/>
      <c r="CA18" s="92"/>
      <c r="CB18" s="77"/>
      <c r="CC18" s="94"/>
      <c r="CD18" s="95"/>
      <c r="CF18" s="17" t="str">
        <f t="shared" si="1"/>
        <v/>
      </c>
      <c r="CG18" s="85">
        <f t="shared" si="7"/>
        <v>14</v>
      </c>
      <c r="CH18" s="93" t="str">
        <v>oⁿ</v>
      </c>
      <c r="CI18" s="91" t="str">
        <v>v</v>
      </c>
      <c r="CJ18" s="92" t="str">
        <v>I</v>
      </c>
      <c r="CK18" s="77" t="str">
        <v>ㆧ</v>
      </c>
      <c r="CL18" s="94" t="str">
        <v>韻</v>
      </c>
      <c r="CM18" s="95">
        <v>2</v>
      </c>
      <c r="CO18" s="17" t="str">
        <f t="shared" si="2"/>
        <v xml:space="preserve">    - xform/oⁿ/v/  # 【I】 ==&gt; 韻： ㆧ [oⁿ]</v>
      </c>
      <c r="CP18" s="85">
        <f t="shared" si="8"/>
        <v>14</v>
      </c>
      <c r="CQ18" s="93" t="str">
        <v>n</v>
      </c>
      <c r="CR18" s="91" t="str">
        <v>n</v>
      </c>
      <c r="CS18" s="92" t="str">
        <v>s</v>
      </c>
      <c r="CT18" s="77" t="str">
        <v>ㄋ</v>
      </c>
      <c r="CU18" s="94" t="str">
        <v>聲</v>
      </c>
      <c r="CV18" s="95">
        <v>1</v>
      </c>
      <c r="CX18" s="96" t="str">
        <f t="shared" si="10"/>
        <v xml:space="preserve">    - xform/^n/n/      # ㄋ [n]</v>
      </c>
      <c r="CY18" s="85">
        <f t="shared" si="9"/>
        <v>14</v>
      </c>
      <c r="CZ18" s="93"/>
      <c r="DA18" s="91"/>
      <c r="DB18" s="92"/>
      <c r="DC18" s="77"/>
      <c r="DD18" s="94"/>
      <c r="DE18" s="95"/>
      <c r="DG18" s="17"/>
    </row>
    <row r="19" spans="1:111" s="120" customFormat="1" ht="45" customHeight="1">
      <c r="A19" s="121"/>
      <c r="B19" s="126" t="s">
        <v>64</v>
      </c>
      <c r="C19" s="127"/>
      <c r="D19" s="128" t="str">
        <f>' 台語音標【xlit解析】'!C5</f>
        <v>!</v>
      </c>
      <c r="E19" s="128" t="str">
        <f>' 台語音標【xlit解析】'!D5</f>
        <v>1</v>
      </c>
      <c r="F19" s="128" t="str">
        <f>' 台語音標【xlit解析】'!E5</f>
        <v>q</v>
      </c>
      <c r="G19" s="128" t="str">
        <f>' 台語音標【xlit解析】'!F5</f>
        <v>a</v>
      </c>
      <c r="H19" s="128" t="str">
        <f>' 台語音標【xlit解析】'!G5</f>
        <v>s</v>
      </c>
      <c r="I19" s="128" t="str">
        <f>' 台語音標【xlit解析】'!H5</f>
        <v>2</v>
      </c>
      <c r="J19" s="128" t="str">
        <f>' 台語音標【xlit解析】'!I5</f>
        <v>w</v>
      </c>
      <c r="K19" s="128" t="str">
        <f>' 台語音標【xlit解析】'!J5</f>
        <v>x</v>
      </c>
      <c r="L19" s="128" t="str">
        <f>' 台語音標【xlit解析】'!K5</f>
        <v>E</v>
      </c>
      <c r="M19" s="128" t="str">
        <f>' 台語音標【xlit解析】'!L5</f>
        <v>e</v>
      </c>
      <c r="N19" s="128" t="str">
        <f>' 台語音標【xlit解析】'!M5</f>
        <v>d</v>
      </c>
      <c r="O19" s="128" t="str">
        <f>' 台語音標【xlit解析】'!N5</f>
        <v>N</v>
      </c>
      <c r="P19" s="128" t="str">
        <f>' 台語音標【xlit解析】'!O5</f>
        <v>Y</v>
      </c>
      <c r="Q19" s="128" t="str">
        <f>' 台語音標【xlit解析】'!P5</f>
        <v>y</v>
      </c>
      <c r="R19" s="128" t="str">
        <f>' 台語音標【xlit解析】'!Q5</f>
        <v>h</v>
      </c>
      <c r="S19" s="128" t="str">
        <f>' 台語音標【xlit解析】'!R5</f>
        <v>n</v>
      </c>
      <c r="T19" s="128" t="str">
        <f>' 台語音標【xlit解析】'!S5</f>
        <v>c</v>
      </c>
      <c r="U19" s="128" t="str">
        <f>' 台語音標【xlit解析】'!T5</f>
        <v>R</v>
      </c>
      <c r="V19" s="128" t="str">
        <f>' 台語音標【xlit解析】'!U5</f>
        <v>r</v>
      </c>
      <c r="W19" s="128" t="str">
        <f>' 台語音標【xlit解析】'!V5</f>
        <v>f</v>
      </c>
      <c r="X19" s="128" t="str">
        <f>' 台語音標【xlit解析】'!W5</f>
        <v>v</v>
      </c>
      <c r="Y19" s="128" t="str">
        <f>' 台語音標【xlit解析】'!X5</f>
        <v>8</v>
      </c>
      <c r="Z19" s="128" t="str">
        <f>' 台語音標【xlit解析】'!Y5</f>
        <v>u</v>
      </c>
      <c r="AA19" s="128" t="str">
        <f>' 台語音標【xlit解析】'!Z5</f>
        <v>K</v>
      </c>
      <c r="AB19" s="128" t="str">
        <f>' 台語音標【xlit解析】'!AA5</f>
        <v>j</v>
      </c>
      <c r="AC19" s="128" t="str">
        <f>' 台語音標【xlit解析】'!AB5</f>
        <v>,</v>
      </c>
      <c r="AD19" s="128" t="str">
        <f>' 台語音標【xlit解析】'!AC5</f>
        <v>i</v>
      </c>
      <c r="AE19" s="128" t="str">
        <f>' 台語音標【xlit解析】'!AD5</f>
        <v>k</v>
      </c>
      <c r="AF19" s="128" t="str">
        <f>' 台語音標【xlit解析】'!AE5</f>
        <v>m</v>
      </c>
      <c r="AG19" s="128" t="str">
        <f>' 台語音標【xlit解析】'!AF5</f>
        <v>p</v>
      </c>
      <c r="AH19" s="128" t="str">
        <f>' 台語音標【xlit解析】'!AG5</f>
        <v>/</v>
      </c>
      <c r="AI19" s="128" t="str">
        <f>' 台語音標【xlit解析】'!AH5</f>
        <v>b</v>
      </c>
      <c r="AJ19" s="128" t="str">
        <f>' 台語音標【xlit解析】'!AI5</f>
        <v>t</v>
      </c>
      <c r="AK19" s="128" t="str">
        <f>' 台語音標【xlit解析】'!AJ5</f>
        <v>g</v>
      </c>
      <c r="AL19" s="128" t="str">
        <f>' 台語音標【xlit解析】'!AK5</f>
        <v>z</v>
      </c>
      <c r="AM19" s="128" t="str">
        <f>' 台語音標【xlit解析】'!AL5</f>
        <v>9</v>
      </c>
      <c r="AN19" s="128" t="str">
        <f>' 台語音標【xlit解析】'!AM5</f>
        <v>l</v>
      </c>
      <c r="AO19" s="128" t="str">
        <f>' 台語音標【xlit解析】'!AN5</f>
        <v>M</v>
      </c>
      <c r="AP19" s="128" t="str">
        <f>' 台語音標【xlit解析】'!AO5</f>
        <v>0</v>
      </c>
      <c r="AQ19" s="128" t="str">
        <f>' 台語音標【xlit解析】'!AP5</f>
        <v>;</v>
      </c>
      <c r="AR19" s="128" t="str">
        <f>' 台語音標【xlit解析】'!AQ5</f>
        <v>O</v>
      </c>
      <c r="AS19" s="128" t="str">
        <f>' 台語音標【xlit解析】'!AR5</f>
        <v>o</v>
      </c>
      <c r="AT19" s="128" t="str">
        <f>' 台語音標【xlit解析】'!AS5</f>
        <v>*</v>
      </c>
      <c r="AU19" s="128" t="str">
        <f>' 台語音標【xlit解析】'!AT5</f>
        <v>U</v>
      </c>
      <c r="AV19" s="128" t="str">
        <f>' 台語音標【xlit解析】'!AU5</f>
        <v>J</v>
      </c>
      <c r="AW19" s="128" t="str">
        <f>' 台語音標【xlit解析】'!AV5</f>
        <v>&lt;</v>
      </c>
      <c r="AX19" s="128" t="str">
        <f>' 台語音標【xlit解析】'!AW5</f>
        <v>I</v>
      </c>
      <c r="AY19" s="128" t="str">
        <f>' 台語音標【xlit解析】'!AX5</f>
        <v>(</v>
      </c>
      <c r="AZ19" s="128" t="str">
        <f>' 台語音標【xlit解析】'!AY5</f>
        <v>L</v>
      </c>
      <c r="BA19" s="128">
        <f>' 台語音標【xlit解析】'!BI5</f>
        <v>7</v>
      </c>
      <c r="BB19" s="128" t="str">
        <f>' 台語音標【xlit解析】'!AZ5</f>
        <v>-</v>
      </c>
      <c r="BC19" s="128" t="s">
        <v>568</v>
      </c>
      <c r="BD19" s="128" t="str">
        <f>' 台語音標【xlit解析】'!BB5</f>
        <v>"</v>
      </c>
      <c r="BE19" s="128">
        <f>' 台語音標【xlit解析】'!BC5</f>
        <v>5</v>
      </c>
      <c r="BF19" s="128">
        <f>' 台語音標【xlit解析】'!BD5</f>
        <v>3</v>
      </c>
      <c r="BG19" s="128">
        <f>' 台語音標【xlit解析】'!BE5</f>
        <v>4</v>
      </c>
      <c r="BH19" s="128">
        <f>' 台語音標【xlit解析】'!BF5</f>
        <v>6</v>
      </c>
      <c r="BI19" s="128" t="str">
        <f>' 台語音標【xlit解析】'!BG5</f>
        <v>]</v>
      </c>
      <c r="BJ19" s="128" t="str">
        <f>' 台語音標【xlit解析】'!BH5</f>
        <v>[</v>
      </c>
      <c r="BK19" s="128"/>
      <c r="BL19" s="10"/>
      <c r="BN19" s="85">
        <f t="shared" si="4"/>
        <v>15</v>
      </c>
      <c r="BO19" s="253" t="str">
        <v>c(tsh)</v>
      </c>
      <c r="BP19" s="86" t="str">
        <v>c</v>
      </c>
      <c r="BQ19" s="76" t="str">
        <v>h</v>
      </c>
      <c r="BR19" s="77" t="str">
        <v>ㄘ</v>
      </c>
      <c r="BS19" s="87" t="s">
        <v>282</v>
      </c>
      <c r="BT19" s="88">
        <f t="shared" si="0"/>
        <v>6</v>
      </c>
      <c r="BV19" s="89" t="str">
        <f t="shared" si="5"/>
        <v xml:space="preserve">    "h": { commit: "ㄘ" }  # /s/ ==&gt; c</v>
      </c>
      <c r="BW19" s="90"/>
      <c r="BX19" s="85">
        <f t="shared" si="6"/>
        <v>15</v>
      </c>
      <c r="BY19" s="93"/>
      <c r="BZ19" s="91"/>
      <c r="CA19" s="92"/>
      <c r="CB19" s="77"/>
      <c r="CC19" s="94"/>
      <c r="CD19" s="95"/>
      <c r="CF19" s="17" t="str">
        <f t="shared" si="1"/>
        <v/>
      </c>
      <c r="CG19" s="85">
        <f t="shared" si="7"/>
        <v>15</v>
      </c>
      <c r="CH19" s="93" t="str">
        <v>o</v>
      </c>
      <c r="CI19" s="91" t="str">
        <v>ə</v>
      </c>
      <c r="CJ19" s="92" t="str">
        <v>k</v>
      </c>
      <c r="CK19" s="77" t="str">
        <v>ㄜ</v>
      </c>
      <c r="CL19" s="94" t="str">
        <v>韻</v>
      </c>
      <c r="CM19" s="95">
        <v>1</v>
      </c>
      <c r="CO19" s="17" t="str">
        <f t="shared" si="2"/>
        <v xml:space="preserve">    - xform/o/ə/  # 【k】 ==&gt; 韻： ㄜ [o]</v>
      </c>
      <c r="CP19" s="85">
        <f t="shared" si="8"/>
        <v>15</v>
      </c>
      <c r="CQ19" s="93" t="str">
        <v>t</v>
      </c>
      <c r="CR19" s="91" t="str">
        <v>t</v>
      </c>
      <c r="CS19" s="92" t="str">
        <v>2</v>
      </c>
      <c r="CT19" s="77" t="str">
        <v>ㄉ</v>
      </c>
      <c r="CU19" s="94" t="str">
        <v>聲</v>
      </c>
      <c r="CV19" s="95">
        <v>1</v>
      </c>
      <c r="CX19" s="96" t="str">
        <f t="shared" si="10"/>
        <v xml:space="preserve">    - xform/^t/t/      # ㄉ [t]</v>
      </c>
      <c r="CY19" s="85">
        <f t="shared" si="9"/>
        <v>15</v>
      </c>
      <c r="CZ19" s="93"/>
      <c r="DA19" s="91"/>
      <c r="DB19" s="92"/>
      <c r="DC19" s="77"/>
      <c r="DD19" s="94"/>
      <c r="DE19" s="95"/>
      <c r="DG19" s="17"/>
    </row>
    <row r="20" spans="1:111" ht="45" customHeight="1">
      <c r="A20" s="121"/>
      <c r="B20" s="129" t="s">
        <v>65</v>
      </c>
      <c r="C20" s="130"/>
      <c r="D20" s="131" t="str">
        <f>' 台語音標【xlit解析】'!C6</f>
        <v>ㆠ</v>
      </c>
      <c r="E20" s="131" t="str">
        <f>' 台語音標【xlit解析】'!D6</f>
        <v>ㄅ</v>
      </c>
      <c r="F20" s="131" t="str">
        <f>' 台語音標【xlit解析】'!E6</f>
        <v>ㄆ</v>
      </c>
      <c r="G20" s="131" t="str">
        <f>' 台語音標【xlit解析】'!F6</f>
        <v>ㄇ</v>
      </c>
      <c r="H20" s="131" t="str">
        <f>' 台語音標【xlit解析】'!G6</f>
        <v>ㄋ</v>
      </c>
      <c r="I20" s="131" t="str">
        <f>' 台語音標【xlit解析】'!H6</f>
        <v>ㄉ</v>
      </c>
      <c r="J20" s="131" t="str">
        <f>' 台語音標【xlit解析】'!I6</f>
        <v>ㄊ</v>
      </c>
      <c r="K20" s="131" t="str">
        <f>' 台語音標【xlit解析】'!J6</f>
        <v>ㄌ</v>
      </c>
      <c r="L20" s="131" t="str">
        <f>' 台語音標【xlit解析】'!K6</f>
        <v>ㆣ</v>
      </c>
      <c r="M20" s="131" t="str">
        <f>' 台語音標【xlit解析】'!L6</f>
        <v>ㄍ</v>
      </c>
      <c r="N20" s="131" t="str">
        <f>' 台語音標【xlit解析】'!M6</f>
        <v>ㄎ</v>
      </c>
      <c r="O20" s="131" t="str">
        <f>' 台語音標【xlit解析】'!N6</f>
        <v>ㄫ</v>
      </c>
      <c r="P20" s="131" t="str">
        <f>' 台語音標【xlit解析】'!O6</f>
        <v>ㆡ</v>
      </c>
      <c r="Q20" s="131" t="str">
        <f>' 台語音標【xlit解析】'!P6</f>
        <v>ㄗ</v>
      </c>
      <c r="R20" s="131" t="str">
        <f>' 台語音標【xlit解析】'!Q6</f>
        <v>ㄘ</v>
      </c>
      <c r="S20" s="131" t="str">
        <f>' 台語音標【xlit解析】'!R6</f>
        <v>ㄙ</v>
      </c>
      <c r="T20" s="131" t="str">
        <f>' 台語音標【xlit解析】'!S6</f>
        <v>ㄏ</v>
      </c>
      <c r="U20" s="131" t="str">
        <f>' 台語音標【xlit解析】'!T6</f>
        <v>ㆢ</v>
      </c>
      <c r="V20" s="131" t="str">
        <f>' 台語音標【xlit解析】'!U6</f>
        <v>ㄐ</v>
      </c>
      <c r="W20" s="131" t="str">
        <f>' 台語音標【xlit解析】'!V6</f>
        <v>ㄑ</v>
      </c>
      <c r="X20" s="131" t="str">
        <f>' 台語音標【xlit解析】'!W6</f>
        <v>ㄒ</v>
      </c>
      <c r="Y20" s="131" t="str">
        <f>' 台語音標【xlit解析】'!X6</f>
        <v>ㄚ</v>
      </c>
      <c r="Z20" s="131" t="str">
        <f>' 台語音標【xlit解析】'!Y6</f>
        <v>ㄧ</v>
      </c>
      <c r="AA20" s="131" t="str">
        <f>' 台語音標【xlit解析】'!Z6</f>
        <v>ㆨ</v>
      </c>
      <c r="AB20" s="131" t="str">
        <f>' 台語音標【xlit解析】'!AA6</f>
        <v>ㄨ</v>
      </c>
      <c r="AC20" s="131" t="str">
        <f>' 台語音標【xlit解析】'!AB6</f>
        <v>ㆤ</v>
      </c>
      <c r="AD20" s="131" t="str">
        <f>' 台語音標【xlit解析】'!AC6</f>
        <v>ㆦ</v>
      </c>
      <c r="AE20" s="131" t="str">
        <f>' 台語音標【xlit解析】'!AD6</f>
        <v>ㄜ</v>
      </c>
      <c r="AF20" s="131" t="str">
        <f>' 台語音標【xlit解析】'!AE6</f>
        <v>ㆬ</v>
      </c>
      <c r="AG20" s="131" t="str">
        <f>' 台語音標【xlit解析】'!AF6</f>
        <v>ㄣ</v>
      </c>
      <c r="AH20" s="131" t="str">
        <f>' 台語音標【xlit解析】'!AG6</f>
        <v>ㆭ</v>
      </c>
      <c r="AI20" s="131" t="str">
        <f>' 台語音標【xlit解析】'!AH6</f>
        <v>ㆴ</v>
      </c>
      <c r="AJ20" s="131" t="str">
        <f>' 台語音標【xlit解析】'!AI6</f>
        <v>ㆵ</v>
      </c>
      <c r="AK20" s="131" t="str">
        <f>' 台語音標【xlit解析】'!AJ6</f>
        <v>ㆻ</v>
      </c>
      <c r="AL20" s="131" t="str">
        <f>' 台語音標【xlit解析】'!AK6</f>
        <v>ㆷ</v>
      </c>
      <c r="AM20" s="131" t="str">
        <f>' 台語音標【xlit解析】'!AL6</f>
        <v>ㄞ</v>
      </c>
      <c r="AN20" s="131" t="str">
        <f>' 台語音標【xlit解析】'!AM6</f>
        <v>ㄠ</v>
      </c>
      <c r="AO20" s="131" t="str">
        <f>' 台語音標【xlit解析】'!AN6</f>
        <v>ㆰ</v>
      </c>
      <c r="AP20" s="131" t="str">
        <f>' 台語音標【xlit解析】'!AO6</f>
        <v>ㄢ</v>
      </c>
      <c r="AQ20" s="131" t="str">
        <f>' 台語音標【xlit解析】'!AP6</f>
        <v>ㄤ</v>
      </c>
      <c r="AR20" s="131" t="str">
        <f>' 台語音標【xlit解析】'!AQ6</f>
        <v>ㆱ</v>
      </c>
      <c r="AS20" s="131" t="str">
        <f>' 台語音標【xlit解析】'!AR6</f>
        <v>ㆲ</v>
      </c>
      <c r="AT20" s="131" t="str">
        <f>' 台語音標【xlit解析】'!AS6</f>
        <v>ㆩ</v>
      </c>
      <c r="AU20" s="131" t="str">
        <f>' 台語音標【xlit解析】'!AT6</f>
        <v>ㆪ</v>
      </c>
      <c r="AV20" s="131" t="str">
        <f>' 台語音標【xlit解析】'!AU6</f>
        <v>ㆫ</v>
      </c>
      <c r="AW20" s="131" t="str">
        <f>' 台語音標【xlit解析】'!AV6</f>
        <v>ㆥ</v>
      </c>
      <c r="AX20" s="131" t="str">
        <f>' 台語音標【xlit解析】'!AW6</f>
        <v>ㆧ</v>
      </c>
      <c r="AY20" s="131" t="str">
        <f>' 台語音標【xlit解析】'!AX6</f>
        <v>ㆮ</v>
      </c>
      <c r="AZ20" s="131" t="str">
        <f>' 台語音標【xlit解析】'!AY6</f>
        <v>ㆯ</v>
      </c>
      <c r="BA20" s="131" t="str">
        <f>' 台語音標【xlit解析】'!BI6</f>
        <v>入</v>
      </c>
      <c r="BB20" s="131" t="str">
        <f>' 台語音標【xlit解析】'!AZ6</f>
        <v>ㄥ</v>
      </c>
      <c r="BC20" s="131" t="s">
        <v>566</v>
      </c>
      <c r="BD20" s="131" t="str">
        <f>' 台語音標【xlit解析】'!BB6</f>
        <v>一</v>
      </c>
      <c r="BE20" s="131" t="str">
        <f>' 台語音標【xlit解析】'!BC6</f>
        <v>七</v>
      </c>
      <c r="BF20" s="131" t="str">
        <f>' 台語音標【xlit解析】'!BD6</f>
        <v>三</v>
      </c>
      <c r="BG20" s="131" t="str">
        <f>' 台語音標【xlit解析】'!BE6</f>
        <v>二</v>
      </c>
      <c r="BH20" s="131" t="str">
        <f>' 台語音標【xlit解析】'!BF6</f>
        <v>五</v>
      </c>
      <c r="BI20" s="131" t="str">
        <f>' 台語音標【xlit解析】'!BG6</f>
        <v>八</v>
      </c>
      <c r="BJ20" s="131" t="str">
        <f>' 台語音標【xlit解析】'!BH6</f>
        <v>四</v>
      </c>
      <c r="BK20" s="131"/>
      <c r="BL20" s="135"/>
      <c r="BN20" s="85">
        <f t="shared" si="4"/>
        <v>16</v>
      </c>
      <c r="BO20" s="253" t="str">
        <v>s</v>
      </c>
      <c r="BP20" s="86" t="str">
        <v>s</v>
      </c>
      <c r="BQ20" s="76" t="str">
        <v>n</v>
      </c>
      <c r="BR20" s="77" t="str">
        <v>ㄙ</v>
      </c>
      <c r="BS20" s="87" t="s">
        <v>282</v>
      </c>
      <c r="BT20" s="88">
        <f t="shared" si="0"/>
        <v>1</v>
      </c>
      <c r="BU20" s="120"/>
      <c r="BV20" s="89" t="str">
        <f xml:space="preserve"> "    """ &amp; BQ20 &amp; """: { commit: """ &amp; BR20 &amp; """ }" &amp; "  # " &amp; "/" &amp; BO21 &amp; "/ ==&gt; " &amp; BP20</f>
        <v xml:space="preserve">    "n": { commit: "ㄙ" }  # /h/ ==&gt; s</v>
      </c>
      <c r="BW20" s="90"/>
      <c r="BX20" s="85">
        <f t="shared" si="6"/>
        <v>16</v>
      </c>
      <c r="BY20" s="93"/>
      <c r="BZ20" s="91"/>
      <c r="CA20" s="92"/>
      <c r="CB20" s="77"/>
      <c r="CC20" s="94"/>
      <c r="CD20" s="95"/>
      <c r="CF20" s="17" t="str">
        <f t="shared" si="1"/>
        <v/>
      </c>
      <c r="CG20" s="85">
        <f t="shared" si="7"/>
        <v>16</v>
      </c>
      <c r="CH20" s="93"/>
      <c r="CI20" s="91"/>
      <c r="CJ20" s="92"/>
      <c r="CK20" s="77"/>
      <c r="CL20" s="94"/>
      <c r="CM20" s="95"/>
      <c r="CO20" s="17" t="str">
        <f t="shared" si="2"/>
        <v/>
      </c>
      <c r="CP20" s="85">
        <f t="shared" si="8"/>
        <v>16</v>
      </c>
      <c r="CQ20" s="93" t="str">
        <v>l</v>
      </c>
      <c r="CR20" s="91" t="str">
        <v>l</v>
      </c>
      <c r="CS20" s="92" t="str">
        <v>x</v>
      </c>
      <c r="CT20" s="77" t="str">
        <v>ㄌ</v>
      </c>
      <c r="CU20" s="94" t="str">
        <v>聲</v>
      </c>
      <c r="CV20" s="95">
        <v>1</v>
      </c>
      <c r="CX20" s="96" t="str">
        <f t="shared" si="10"/>
        <v xml:space="preserve">    - xform/^l/l/      # ㄌ [l]</v>
      </c>
      <c r="CY20" s="85">
        <f t="shared" si="9"/>
        <v>16</v>
      </c>
      <c r="CZ20" s="93"/>
      <c r="DA20" s="91"/>
      <c r="DB20" s="92"/>
      <c r="DC20" s="77"/>
      <c r="DD20" s="94"/>
      <c r="DE20" s="95"/>
    </row>
    <row r="21" spans="1:111" s="135" customFormat="1" ht="45" customHeight="1">
      <c r="BM21" s="10"/>
      <c r="BN21" s="85">
        <f t="shared" si="4"/>
        <v>17</v>
      </c>
      <c r="BO21" s="253" t="str">
        <v>h</v>
      </c>
      <c r="BP21" s="86" t="str">
        <v>h</v>
      </c>
      <c r="BQ21" s="76" t="str">
        <v>c</v>
      </c>
      <c r="BR21" s="77" t="str">
        <v>ㄏ</v>
      </c>
      <c r="BS21" s="87" t="s">
        <v>282</v>
      </c>
      <c r="BT21" s="88">
        <f t="shared" si="0"/>
        <v>1</v>
      </c>
      <c r="BU21" s="10"/>
      <c r="BV21" s="89" t="str">
        <f t="shared" si="5"/>
        <v xml:space="preserve">    "c": { commit: "ㄏ" }  # /j(i)/ ==&gt; h</v>
      </c>
      <c r="BW21" s="90"/>
      <c r="BX21" s="85">
        <f t="shared" si="6"/>
        <v>17</v>
      </c>
      <c r="BY21" s="93"/>
      <c r="BZ21" s="91"/>
      <c r="CA21" s="92"/>
      <c r="CB21" s="77"/>
      <c r="CC21" s="94"/>
      <c r="CD21" s="95"/>
      <c r="CF21" s="17" t="str">
        <f t="shared" si="1"/>
        <v/>
      </c>
      <c r="CG21" s="85">
        <f t="shared" si="7"/>
        <v>17</v>
      </c>
      <c r="CH21" s="93"/>
      <c r="CI21" s="91"/>
      <c r="CJ21" s="92"/>
      <c r="CK21" s="77"/>
      <c r="CL21" s="94"/>
      <c r="CM21" s="95"/>
      <c r="CO21" s="17" t="str">
        <f t="shared" si="2"/>
        <v/>
      </c>
      <c r="CP21" s="85">
        <f t="shared" si="8"/>
        <v>17</v>
      </c>
      <c r="CQ21" s="93" t="str">
        <v>g</v>
      </c>
      <c r="CR21" s="91" t="str">
        <v>g</v>
      </c>
      <c r="CS21" s="92" t="str">
        <v>E</v>
      </c>
      <c r="CT21" s="77" t="str">
        <v>ㆣ</v>
      </c>
      <c r="CU21" s="94" t="str">
        <v>聲</v>
      </c>
      <c r="CV21" s="95">
        <v>1</v>
      </c>
      <c r="CX21" s="96" t="str">
        <f xml:space="preserve"> _xlfn.CONCAT("    - xform/^", CR21, "/", CR21, "/", "      # ", CT21, " [", CQ21, "]" )</f>
        <v xml:space="preserve">    - xform/^g/g/      # ㆣ [g]</v>
      </c>
      <c r="CY21" s="85">
        <f t="shared" si="9"/>
        <v>17</v>
      </c>
      <c r="CZ21" s="93"/>
      <c r="DA21" s="91"/>
      <c r="DB21" s="92"/>
      <c r="DC21" s="77"/>
      <c r="DD21" s="94"/>
      <c r="DE21" s="95"/>
      <c r="DG21" s="17"/>
    </row>
    <row r="22" spans="1:111" s="135" customFormat="1" ht="45" customHeight="1">
      <c r="B22" s="136" t="s">
        <v>57</v>
      </c>
      <c r="C22" s="136" t="s">
        <v>38</v>
      </c>
      <c r="D22" s="136" t="s">
        <v>139</v>
      </c>
      <c r="E22" s="136" t="s">
        <v>185</v>
      </c>
      <c r="F22" s="136" t="s">
        <v>180</v>
      </c>
      <c r="G22" s="136" t="s">
        <v>186</v>
      </c>
      <c r="H22" s="136" t="s">
        <v>97</v>
      </c>
      <c r="I22" s="136" t="s">
        <v>170</v>
      </c>
      <c r="J22" s="136" t="s">
        <v>104</v>
      </c>
      <c r="K22" s="136" t="s">
        <v>187</v>
      </c>
      <c r="L22" s="136" t="s">
        <v>133</v>
      </c>
      <c r="M22" s="136" t="s">
        <v>168</v>
      </c>
      <c r="N22" s="136" t="s">
        <v>188</v>
      </c>
      <c r="O22" s="136" t="s">
        <v>189</v>
      </c>
      <c r="P22" s="136" t="s">
        <v>190</v>
      </c>
      <c r="Q22" s="136" t="s">
        <v>45</v>
      </c>
      <c r="R22" s="136" t="s">
        <v>191</v>
      </c>
      <c r="S22" s="136" t="s">
        <v>192</v>
      </c>
      <c r="T22" s="136" t="s">
        <v>176</v>
      </c>
      <c r="U22" s="136" t="s">
        <v>193</v>
      </c>
      <c r="V22" s="136" t="s">
        <v>141</v>
      </c>
      <c r="W22" s="136" t="s">
        <v>194</v>
      </c>
      <c r="X22" s="136" t="s">
        <v>195</v>
      </c>
      <c r="Y22" s="136" t="s">
        <v>196</v>
      </c>
      <c r="Z22" s="136" t="s">
        <v>197</v>
      </c>
      <c r="AA22" s="136" t="s">
        <v>102</v>
      </c>
      <c r="AL22" s="136" t="s">
        <v>57</v>
      </c>
      <c r="AM22" s="136" t="s">
        <v>38</v>
      </c>
      <c r="AN22" s="136" t="s">
        <v>139</v>
      </c>
      <c r="AO22" s="136" t="s">
        <v>185</v>
      </c>
      <c r="AP22" s="136" t="s">
        <v>180</v>
      </c>
      <c r="AQ22" s="136" t="s">
        <v>186</v>
      </c>
      <c r="AR22" s="136" t="s">
        <v>97</v>
      </c>
      <c r="AS22" s="136" t="s">
        <v>170</v>
      </c>
      <c r="AT22" s="136" t="s">
        <v>104</v>
      </c>
      <c r="AU22" s="136" t="s">
        <v>187</v>
      </c>
      <c r="AV22" s="136" t="s">
        <v>133</v>
      </c>
      <c r="AW22" s="136" t="s">
        <v>168</v>
      </c>
      <c r="AX22" s="136" t="s">
        <v>188</v>
      </c>
      <c r="AY22" s="136" t="s">
        <v>189</v>
      </c>
      <c r="AZ22" s="136" t="s">
        <v>190</v>
      </c>
      <c r="BA22" s="136" t="s">
        <v>45</v>
      </c>
      <c r="BB22" s="136" t="s">
        <v>191</v>
      </c>
      <c r="BC22" s="136" t="s">
        <v>192</v>
      </c>
      <c r="BD22" s="136" t="s">
        <v>176</v>
      </c>
      <c r="BE22" s="136" t="s">
        <v>193</v>
      </c>
      <c r="BF22" s="136" t="s">
        <v>141</v>
      </c>
      <c r="BG22" s="136" t="s">
        <v>194</v>
      </c>
      <c r="BH22" s="136" t="s">
        <v>195</v>
      </c>
      <c r="BI22" s="136" t="s">
        <v>196</v>
      </c>
      <c r="BJ22" s="136" t="s">
        <v>197</v>
      </c>
      <c r="BK22" s="136" t="s">
        <v>102</v>
      </c>
      <c r="BM22" s="10"/>
      <c r="BN22" s="85">
        <f t="shared" si="4"/>
        <v>18</v>
      </c>
      <c r="BO22" s="253" t="str">
        <v>j(i)</v>
      </c>
      <c r="BP22" s="86" t="str">
        <v>J</v>
      </c>
      <c r="BQ22" s="76" t="str">
        <v>R</v>
      </c>
      <c r="BR22" s="77" t="str">
        <v>ㆢ</v>
      </c>
      <c r="BS22" s="87" t="s">
        <v>282</v>
      </c>
      <c r="BT22" s="88">
        <f t="shared" si="0"/>
        <v>4</v>
      </c>
      <c r="BV22" s="89" t="str">
        <f t="shared" si="5"/>
        <v xml:space="preserve">    "R": { commit: "ㆢ" }  # /z(i)/ ==&gt; J</v>
      </c>
      <c r="BW22" s="90"/>
      <c r="BX22" s="85">
        <f t="shared" si="6"/>
        <v>18</v>
      </c>
      <c r="BY22" s="93"/>
      <c r="BZ22" s="91"/>
      <c r="CA22" s="92"/>
      <c r="CB22" s="77"/>
      <c r="CC22" s="94"/>
      <c r="CD22" s="95"/>
      <c r="CF22" s="17" t="str">
        <f t="shared" si="1"/>
        <v/>
      </c>
      <c r="CG22" s="85">
        <f t="shared" si="7"/>
        <v>18</v>
      </c>
      <c r="CH22" s="93"/>
      <c r="CI22" s="91"/>
      <c r="CJ22" s="92"/>
      <c r="CK22" s="77"/>
      <c r="CL22" s="94"/>
      <c r="CM22" s="95"/>
      <c r="CO22" s="17" t="str">
        <f t="shared" si="2"/>
        <v/>
      </c>
      <c r="CP22" s="85">
        <f t="shared" si="8"/>
        <v>18</v>
      </c>
      <c r="CQ22" s="93" t="str">
        <v>k</v>
      </c>
      <c r="CR22" s="91" t="str">
        <v>k</v>
      </c>
      <c r="CS22" s="92" t="str">
        <v>e</v>
      </c>
      <c r="CT22" s="77" t="str">
        <v>ㄍ</v>
      </c>
      <c r="CU22" s="94" t="str">
        <v>聲</v>
      </c>
      <c r="CV22" s="95">
        <v>1</v>
      </c>
      <c r="CX22" s="96" t="str">
        <f t="shared" si="10"/>
        <v xml:space="preserve">    - xform/^k/k/      # ㄍ [k]</v>
      </c>
      <c r="CY22" s="85">
        <f t="shared" si="9"/>
        <v>18</v>
      </c>
      <c r="CZ22" s="93"/>
      <c r="DA22" s="91"/>
      <c r="DB22" s="92"/>
      <c r="DC22" s="77"/>
      <c r="DD22" s="94"/>
      <c r="DE22" s="95"/>
      <c r="DG22" s="17"/>
    </row>
    <row r="23" spans="1:111" s="138" customFormat="1" ht="45" customHeight="1">
      <c r="A23" s="135"/>
      <c r="B23" s="137">
        <f t="shared" ref="B23:AA23" si="11" xml:space="preserve"> IF( ISNUMBER( FIND(B22, _xlfn.CONCAT($D$18:$BK$18)) ),  FIND(B22, _xlfn.CONCAT($D$18:$BK$18)), "V")</f>
        <v>22</v>
      </c>
      <c r="C23" s="137">
        <f t="shared" si="11"/>
        <v>1</v>
      </c>
      <c r="D23" s="137">
        <f t="shared" si="11"/>
        <v>15</v>
      </c>
      <c r="E23" s="137">
        <f t="shared" si="11"/>
        <v>43</v>
      </c>
      <c r="F23" s="137">
        <f t="shared" si="11"/>
        <v>26</v>
      </c>
      <c r="G23" s="137">
        <f t="shared" si="11"/>
        <v>44</v>
      </c>
      <c r="H23" s="137">
        <f t="shared" si="11"/>
        <v>9</v>
      </c>
      <c r="I23" s="137">
        <f t="shared" si="11"/>
        <v>17</v>
      </c>
      <c r="J23" s="137">
        <f t="shared" si="11"/>
        <v>23</v>
      </c>
      <c r="K23" s="137">
        <f t="shared" si="11"/>
        <v>13</v>
      </c>
      <c r="L23" s="137">
        <f t="shared" si="11"/>
        <v>10</v>
      </c>
      <c r="M23" s="137">
        <f t="shared" si="11"/>
        <v>8</v>
      </c>
      <c r="N23" s="137">
        <f t="shared" si="11"/>
        <v>4</v>
      </c>
      <c r="O23" s="137">
        <f t="shared" si="11"/>
        <v>5</v>
      </c>
      <c r="P23" s="137" t="str">
        <f t="shared" si="11"/>
        <v>V</v>
      </c>
      <c r="Q23" s="137">
        <f t="shared" si="11"/>
        <v>2</v>
      </c>
      <c r="R23" s="137">
        <f t="shared" si="11"/>
        <v>45</v>
      </c>
      <c r="S23" s="137">
        <f t="shared" si="11"/>
        <v>46</v>
      </c>
      <c r="T23" s="137">
        <f t="shared" si="11"/>
        <v>16</v>
      </c>
      <c r="U23" s="137">
        <f t="shared" si="11"/>
        <v>6</v>
      </c>
      <c r="V23" s="137">
        <f t="shared" si="11"/>
        <v>25</v>
      </c>
      <c r="W23" s="137">
        <f t="shared" si="11"/>
        <v>47</v>
      </c>
      <c r="X23" s="137">
        <f t="shared" si="11"/>
        <v>24</v>
      </c>
      <c r="Y23" s="137">
        <f t="shared" si="11"/>
        <v>48</v>
      </c>
      <c r="Z23" s="137">
        <f t="shared" si="11"/>
        <v>49</v>
      </c>
      <c r="AA23" s="137">
        <f t="shared" si="11"/>
        <v>14</v>
      </c>
      <c r="AB23" s="135"/>
      <c r="AC23" s="135"/>
      <c r="AE23" s="135"/>
      <c r="AL23" s="137">
        <f t="shared" ref="AL23:BK23" si="12" xml:space="preserve"> IF( ISNUMBER( FIND(AL22, _xlfn.CONCAT($D$18:$BK$18)) ),  FIND(AL22, _xlfn.CONCAT($D$18:$BK$18)), "V")</f>
        <v>22</v>
      </c>
      <c r="AM23" s="137">
        <f t="shared" si="12"/>
        <v>1</v>
      </c>
      <c r="AN23" s="137">
        <f t="shared" si="12"/>
        <v>15</v>
      </c>
      <c r="AO23" s="137">
        <f t="shared" si="12"/>
        <v>43</v>
      </c>
      <c r="AP23" s="137">
        <f t="shared" si="12"/>
        <v>26</v>
      </c>
      <c r="AQ23" s="137">
        <f t="shared" si="12"/>
        <v>44</v>
      </c>
      <c r="AR23" s="137">
        <f t="shared" si="12"/>
        <v>9</v>
      </c>
      <c r="AS23" s="137">
        <f t="shared" si="12"/>
        <v>17</v>
      </c>
      <c r="AT23" s="137">
        <f t="shared" si="12"/>
        <v>23</v>
      </c>
      <c r="AU23" s="137">
        <f t="shared" si="12"/>
        <v>13</v>
      </c>
      <c r="AV23" s="137">
        <f t="shared" si="12"/>
        <v>10</v>
      </c>
      <c r="AW23" s="137">
        <f t="shared" si="12"/>
        <v>8</v>
      </c>
      <c r="AX23" s="137">
        <f t="shared" si="12"/>
        <v>4</v>
      </c>
      <c r="AY23" s="137">
        <f t="shared" si="12"/>
        <v>5</v>
      </c>
      <c r="AZ23" s="137" t="str">
        <f t="shared" si="12"/>
        <v>V</v>
      </c>
      <c r="BA23" s="137">
        <f t="shared" si="12"/>
        <v>2</v>
      </c>
      <c r="BB23" s="137">
        <f t="shared" si="12"/>
        <v>45</v>
      </c>
      <c r="BC23" s="137">
        <f t="shared" si="12"/>
        <v>46</v>
      </c>
      <c r="BD23" s="137">
        <f t="shared" si="12"/>
        <v>16</v>
      </c>
      <c r="BE23" s="137">
        <f t="shared" si="12"/>
        <v>6</v>
      </c>
      <c r="BF23" s="137">
        <f t="shared" si="12"/>
        <v>25</v>
      </c>
      <c r="BG23" s="137">
        <f t="shared" si="12"/>
        <v>47</v>
      </c>
      <c r="BH23" s="137">
        <f t="shared" si="12"/>
        <v>24</v>
      </c>
      <c r="BI23" s="137">
        <f t="shared" si="12"/>
        <v>48</v>
      </c>
      <c r="BJ23" s="137">
        <f t="shared" si="12"/>
        <v>49</v>
      </c>
      <c r="BK23" s="137">
        <f t="shared" si="12"/>
        <v>14</v>
      </c>
      <c r="BL23" s="135"/>
      <c r="BM23" s="10"/>
      <c r="BN23" s="85">
        <f t="shared" si="4"/>
        <v>19</v>
      </c>
      <c r="BO23" s="253" t="str">
        <v>z(i)</v>
      </c>
      <c r="BP23" s="86" t="str">
        <v>Z</v>
      </c>
      <c r="BQ23" s="76" t="str">
        <v>r</v>
      </c>
      <c r="BR23" s="77" t="str">
        <v>ㄐ</v>
      </c>
      <c r="BS23" s="87" t="s">
        <v>282</v>
      </c>
      <c r="BT23" s="88">
        <f t="shared" si="0"/>
        <v>4</v>
      </c>
      <c r="BU23" s="135"/>
      <c r="BV23" s="89" t="str">
        <f t="shared" si="5"/>
        <v xml:space="preserve">    "r": { commit: "ㄐ" }  # /c(i)/ ==&gt; Z</v>
      </c>
      <c r="BW23" s="90"/>
      <c r="BX23" s="85">
        <f t="shared" si="6"/>
        <v>19</v>
      </c>
      <c r="BY23" s="93"/>
      <c r="BZ23" s="91"/>
      <c r="CA23" s="92"/>
      <c r="CB23" s="77"/>
      <c r="CC23" s="94"/>
      <c r="CD23" s="95"/>
      <c r="CF23" s="17" t="str">
        <f t="shared" si="1"/>
        <v/>
      </c>
      <c r="CG23" s="85">
        <f t="shared" si="7"/>
        <v>19</v>
      </c>
      <c r="CH23" s="93"/>
      <c r="CI23" s="91"/>
      <c r="CJ23" s="92"/>
      <c r="CK23" s="77"/>
      <c r="CL23" s="94"/>
      <c r="CM23" s="95"/>
      <c r="CO23" s="17" t="str">
        <f t="shared" si="2"/>
        <v/>
      </c>
      <c r="CP23" s="85">
        <f t="shared" si="8"/>
        <v>19</v>
      </c>
      <c r="CQ23" s="93" t="str">
        <v>j</v>
      </c>
      <c r="CR23" s="91" t="str">
        <v>j</v>
      </c>
      <c r="CS23" s="92" t="str">
        <v>Y</v>
      </c>
      <c r="CT23" s="77" t="str">
        <v>ㆡ</v>
      </c>
      <c r="CU23" s="94" t="str">
        <v>聲</v>
      </c>
      <c r="CV23" s="95">
        <v>1</v>
      </c>
      <c r="CX23" s="96" t="str">
        <f t="shared" si="10"/>
        <v xml:space="preserve">    - xform/^j/j/      # ㆡ [j]</v>
      </c>
      <c r="CY23" s="85">
        <f t="shared" si="9"/>
        <v>19</v>
      </c>
      <c r="CZ23" s="93"/>
      <c r="DA23" s="91"/>
      <c r="DB23" s="92"/>
      <c r="DC23" s="77"/>
      <c r="DD23" s="94"/>
      <c r="DE23" s="95"/>
      <c r="DG23" s="17"/>
    </row>
    <row r="24" spans="1:111" s="135" customFormat="1" ht="45" customHeight="1">
      <c r="A24" s="61"/>
      <c r="B24" s="139" t="str">
        <f t="shared" ref="B24:AA24" si="13" xml:space="preserve"> IF( ISNUMBER( FIND(B22, _xlfn.CONCAT($D$18:$BK$18)) ), "X", B22)</f>
        <v>X</v>
      </c>
      <c r="C24" s="139" t="str">
        <f t="shared" si="13"/>
        <v>X</v>
      </c>
      <c r="D24" s="139" t="str">
        <f t="shared" si="13"/>
        <v>X</v>
      </c>
      <c r="E24" s="139" t="str">
        <f t="shared" si="13"/>
        <v>X</v>
      </c>
      <c r="F24" s="139" t="str">
        <f t="shared" si="13"/>
        <v>X</v>
      </c>
      <c r="G24" s="140" t="str">
        <f t="shared" si="13"/>
        <v>X</v>
      </c>
      <c r="H24" s="139" t="str">
        <f t="shared" si="13"/>
        <v>X</v>
      </c>
      <c r="I24" s="139" t="str">
        <f t="shared" si="13"/>
        <v>X</v>
      </c>
      <c r="J24" s="139" t="str">
        <f t="shared" si="13"/>
        <v>X</v>
      </c>
      <c r="K24" s="139" t="str">
        <f t="shared" si="13"/>
        <v>X</v>
      </c>
      <c r="L24" s="139" t="str">
        <f t="shared" si="13"/>
        <v>X</v>
      </c>
      <c r="M24" s="139" t="str">
        <f t="shared" si="13"/>
        <v>X</v>
      </c>
      <c r="N24" s="139" t="str">
        <f t="shared" si="13"/>
        <v>X</v>
      </c>
      <c r="O24" s="139" t="str">
        <f t="shared" si="13"/>
        <v>X</v>
      </c>
      <c r="P24" s="139" t="str">
        <f t="shared" si="13"/>
        <v>o</v>
      </c>
      <c r="Q24" s="139" t="str">
        <f t="shared" si="13"/>
        <v>X</v>
      </c>
      <c r="R24" s="140" t="str">
        <f t="shared" si="13"/>
        <v>X</v>
      </c>
      <c r="S24" s="140" t="str">
        <f t="shared" si="13"/>
        <v>X</v>
      </c>
      <c r="T24" s="139" t="str">
        <f t="shared" si="13"/>
        <v>X</v>
      </c>
      <c r="U24" s="139" t="str">
        <f t="shared" si="13"/>
        <v>X</v>
      </c>
      <c r="V24" s="139" t="str">
        <f t="shared" si="13"/>
        <v>X</v>
      </c>
      <c r="W24" s="139" t="str">
        <f t="shared" si="13"/>
        <v>X</v>
      </c>
      <c r="X24" s="139" t="str">
        <f t="shared" si="13"/>
        <v>X</v>
      </c>
      <c r="Y24" s="139" t="str">
        <f t="shared" si="13"/>
        <v>X</v>
      </c>
      <c r="Z24" s="139" t="str">
        <f t="shared" si="13"/>
        <v>X</v>
      </c>
      <c r="AA24" s="139" t="str">
        <f t="shared" si="13"/>
        <v>X</v>
      </c>
      <c r="AB24" s="141"/>
      <c r="AC24" s="141"/>
      <c r="AD24" s="142"/>
      <c r="AE24" s="141"/>
      <c r="AF24" s="142"/>
      <c r="AG24" s="142"/>
      <c r="AH24" s="142"/>
      <c r="AI24" s="142"/>
      <c r="AJ24" s="142"/>
      <c r="AK24" s="142"/>
      <c r="AL24" s="139" t="str">
        <f t="shared" ref="AL24:BK24" si="14" xml:space="preserve"> IF( ISNUMBER( FIND(AL22, _xlfn.CONCAT($D$18:$BK$18)) ), "X", AL22)</f>
        <v>X</v>
      </c>
      <c r="AM24" s="139" t="str">
        <f t="shared" si="14"/>
        <v>X</v>
      </c>
      <c r="AN24" s="139" t="str">
        <f t="shared" si="14"/>
        <v>X</v>
      </c>
      <c r="AO24" s="139" t="str">
        <f t="shared" si="14"/>
        <v>X</v>
      </c>
      <c r="AP24" s="139" t="str">
        <f t="shared" si="14"/>
        <v>X</v>
      </c>
      <c r="AQ24" s="140" t="str">
        <f t="shared" si="14"/>
        <v>X</v>
      </c>
      <c r="AR24" s="139" t="str">
        <f t="shared" si="14"/>
        <v>X</v>
      </c>
      <c r="AS24" s="139" t="str">
        <f t="shared" si="14"/>
        <v>X</v>
      </c>
      <c r="AT24" s="139" t="str">
        <f t="shared" si="14"/>
        <v>X</v>
      </c>
      <c r="AU24" s="139" t="str">
        <f t="shared" si="14"/>
        <v>X</v>
      </c>
      <c r="AV24" s="139" t="str">
        <f t="shared" si="14"/>
        <v>X</v>
      </c>
      <c r="AW24" s="139" t="str">
        <f t="shared" si="14"/>
        <v>X</v>
      </c>
      <c r="AX24" s="139" t="str">
        <f t="shared" si="14"/>
        <v>X</v>
      </c>
      <c r="AY24" s="139" t="str">
        <f t="shared" si="14"/>
        <v>X</v>
      </c>
      <c r="AZ24" s="139" t="str">
        <f t="shared" si="14"/>
        <v>o</v>
      </c>
      <c r="BA24" s="139" t="str">
        <f t="shared" si="14"/>
        <v>X</v>
      </c>
      <c r="BB24" s="139" t="str">
        <f t="shared" si="14"/>
        <v>X</v>
      </c>
      <c r="BC24" s="139" t="str">
        <f t="shared" si="14"/>
        <v>X</v>
      </c>
      <c r="BD24" s="139" t="str">
        <f t="shared" si="14"/>
        <v>X</v>
      </c>
      <c r="BE24" s="139" t="str">
        <f t="shared" si="14"/>
        <v>X</v>
      </c>
      <c r="BF24" s="139" t="str">
        <f t="shared" si="14"/>
        <v>X</v>
      </c>
      <c r="BG24" s="139" t="str">
        <f t="shared" si="14"/>
        <v>X</v>
      </c>
      <c r="BH24" s="139" t="str">
        <f t="shared" si="14"/>
        <v>X</v>
      </c>
      <c r="BI24" s="139" t="str">
        <f t="shared" si="14"/>
        <v>X</v>
      </c>
      <c r="BJ24" s="139" t="str">
        <f t="shared" si="14"/>
        <v>X</v>
      </c>
      <c r="BK24" s="139" t="str">
        <f t="shared" si="14"/>
        <v>X</v>
      </c>
      <c r="BM24" s="10"/>
      <c r="BN24" s="85">
        <f t="shared" si="4"/>
        <v>20</v>
      </c>
      <c r="BO24" s="253" t="str">
        <v>c(i)</v>
      </c>
      <c r="BP24" s="86" t="str">
        <v>C</v>
      </c>
      <c r="BQ24" s="76" t="str">
        <v>f</v>
      </c>
      <c r="BR24" s="77" t="str">
        <v>ㄑ</v>
      </c>
      <c r="BS24" s="87" t="s">
        <v>282</v>
      </c>
      <c r="BT24" s="88">
        <f t="shared" si="0"/>
        <v>4</v>
      </c>
      <c r="BU24" s="138"/>
      <c r="BV24" s="89" t="str">
        <f t="shared" si="5"/>
        <v xml:space="preserve">    "f": { commit: "ㄑ" }  # /s(i)/ ==&gt; C</v>
      </c>
      <c r="BW24" s="143"/>
      <c r="BX24" s="85">
        <f t="shared" si="6"/>
        <v>20</v>
      </c>
      <c r="BY24" s="93"/>
      <c r="BZ24" s="91"/>
      <c r="CA24" s="92"/>
      <c r="CB24" s="77"/>
      <c r="CC24" s="94"/>
      <c r="CD24" s="95"/>
      <c r="CF24" s="17" t="str">
        <f t="shared" si="1"/>
        <v/>
      </c>
      <c r="CG24" s="85">
        <f t="shared" si="7"/>
        <v>20</v>
      </c>
      <c r="CH24" s="93"/>
      <c r="CI24" s="91"/>
      <c r="CJ24" s="92"/>
      <c r="CK24" s="77"/>
      <c r="CL24" s="94"/>
      <c r="CM24" s="95"/>
      <c r="CO24" s="17" t="str">
        <f t="shared" si="2"/>
        <v/>
      </c>
      <c r="CP24" s="85">
        <f t="shared" si="8"/>
        <v>20</v>
      </c>
      <c r="CQ24" s="93" t="str">
        <v>s</v>
      </c>
      <c r="CR24" s="91" t="str">
        <v>s</v>
      </c>
      <c r="CS24" s="92" t="str">
        <v>n</v>
      </c>
      <c r="CT24" s="77" t="str">
        <v>ㄙ</v>
      </c>
      <c r="CU24" s="94" t="str">
        <v>聲</v>
      </c>
      <c r="CV24" s="95">
        <v>1</v>
      </c>
      <c r="CX24" s="96" t="str">
        <f t="shared" si="10"/>
        <v xml:space="preserve">    - xform/^s/s/      # ㄙ [s]</v>
      </c>
      <c r="CY24" s="85">
        <f t="shared" si="9"/>
        <v>20</v>
      </c>
      <c r="CZ24" s="93"/>
      <c r="DA24" s="91"/>
      <c r="DB24" s="92"/>
      <c r="DC24" s="77"/>
      <c r="DD24" s="94"/>
      <c r="DE24" s="95"/>
      <c r="DG24" s="17"/>
    </row>
    <row r="25" spans="1:111" s="135" customFormat="1" ht="45" customHeight="1">
      <c r="AD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M25" s="10"/>
      <c r="BN25" s="85">
        <f t="shared" si="4"/>
        <v>21</v>
      </c>
      <c r="BO25" s="253" t="str">
        <v>s(i)</v>
      </c>
      <c r="BP25" s="86" t="str">
        <v>S</v>
      </c>
      <c r="BQ25" s="76" t="str">
        <v>v</v>
      </c>
      <c r="BR25" s="77" t="str">
        <v>ㄒ</v>
      </c>
      <c r="BS25" s="87" t="s">
        <v>282</v>
      </c>
      <c r="BT25" s="88">
        <f t="shared" si="0"/>
        <v>4</v>
      </c>
      <c r="BV25" s="89" t="str">
        <f t="shared" si="5"/>
        <v xml:space="preserve">    "v": { commit: "ㄒ" }  # /a/ ==&gt; S</v>
      </c>
      <c r="BW25" s="90"/>
      <c r="BX25" s="85">
        <f t="shared" si="6"/>
        <v>21</v>
      </c>
      <c r="BY25" s="93"/>
      <c r="BZ25" s="91"/>
      <c r="CA25" s="92"/>
      <c r="CB25" s="77"/>
      <c r="CC25" s="94"/>
      <c r="CD25" s="95"/>
      <c r="CF25" s="17" t="str">
        <f t="shared" si="1"/>
        <v/>
      </c>
      <c r="CG25" s="85">
        <f t="shared" si="7"/>
        <v>21</v>
      </c>
      <c r="CH25" s="93"/>
      <c r="CI25" s="91"/>
      <c r="CJ25" s="92"/>
      <c r="CK25" s="77"/>
      <c r="CL25" s="94"/>
      <c r="CM25" s="95"/>
      <c r="CO25" s="17" t="str">
        <f t="shared" si="2"/>
        <v/>
      </c>
      <c r="CP25" s="85">
        <f t="shared" si="8"/>
        <v>21</v>
      </c>
      <c r="CQ25" s="93" t="str">
        <v>h</v>
      </c>
      <c r="CR25" s="91" t="str">
        <v>h</v>
      </c>
      <c r="CS25" s="92" t="str">
        <v>c</v>
      </c>
      <c r="CT25" s="77" t="str">
        <v>ㄏ</v>
      </c>
      <c r="CU25" s="94" t="str">
        <v>聲</v>
      </c>
      <c r="CV25" s="95">
        <v>1</v>
      </c>
      <c r="CX25" s="96" t="str">
        <f t="shared" si="10"/>
        <v xml:space="preserve">    - xform/^h/h/      # ㄏ [h]</v>
      </c>
      <c r="CY25" s="85">
        <f t="shared" si="9"/>
        <v>21</v>
      </c>
      <c r="CZ25" s="93"/>
      <c r="DA25" s="91"/>
      <c r="DB25" s="92"/>
      <c r="DC25" s="77"/>
      <c r="DD25" s="94"/>
      <c r="DE25" s="95"/>
      <c r="DG25" s="17"/>
    </row>
    <row r="26" spans="1:111" s="135" customFormat="1" ht="45" hidden="1" customHeight="1" outlineLevel="1">
      <c r="A26" s="145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D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M26" s="10"/>
      <c r="BN26" s="85">
        <f t="shared" si="4"/>
        <v>22</v>
      </c>
      <c r="BO26" s="253" t="str">
        <v>a</v>
      </c>
      <c r="BP26" s="86" t="str">
        <v>a</v>
      </c>
      <c r="BQ26" s="76" t="str">
        <v>8</v>
      </c>
      <c r="BR26" s="77" t="str">
        <v>ㄚ</v>
      </c>
      <c r="BS26" s="87"/>
      <c r="BT26" s="88">
        <f t="shared" si="0"/>
        <v>1</v>
      </c>
      <c r="BV26" s="89" t="str">
        <f t="shared" si="5"/>
        <v xml:space="preserve">    "8": { commit: "ㄚ" }  # /i/ ==&gt; a</v>
      </c>
      <c r="BW26" s="90"/>
      <c r="BX26" s="85">
        <f t="shared" si="6"/>
        <v>22</v>
      </c>
      <c r="BY26" s="93"/>
      <c r="BZ26" s="91"/>
      <c r="CA26" s="92"/>
      <c r="CB26" s="77"/>
      <c r="CC26" s="94"/>
      <c r="CD26" s="95"/>
      <c r="CF26" s="17" t="str">
        <f t="shared" si="1"/>
        <v/>
      </c>
      <c r="CG26" s="85">
        <f t="shared" si="7"/>
        <v>22</v>
      </c>
      <c r="CH26" s="93"/>
      <c r="CI26" s="91"/>
      <c r="CJ26" s="92"/>
      <c r="CK26" s="77"/>
      <c r="CL26" s="94"/>
      <c r="CM26" s="95"/>
      <c r="CO26" s="17" t="str">
        <f t="shared" si="2"/>
        <v/>
      </c>
      <c r="CP26" s="85">
        <f t="shared" si="8"/>
        <v>22</v>
      </c>
      <c r="CQ26" s="93"/>
      <c r="CR26" s="91"/>
      <c r="CS26" s="92"/>
      <c r="CT26" s="77"/>
      <c r="CU26" s="94"/>
      <c r="CV26" s="95"/>
      <c r="CX26" s="96" t="str">
        <f t="shared" ref="CX26:CX31" si="15" xml:space="preserve"> IFERROR( IF(LEN(CR26)=0, "", IF(EXACT(CR26,CQ26), "", "    - xform/^" &amp; CQ26 &amp; "/" &amp; CR26 &amp; "/  # " &amp; "【" &amp; CS26 &amp; "】 ==&gt; " &amp; CU26 &amp; "： " &amp; CT26 &amp; " [" &amp; CQ26 &amp; "]")), "")</f>
        <v/>
      </c>
      <c r="CY26" s="85">
        <f t="shared" si="9"/>
        <v>22</v>
      </c>
      <c r="CZ26" s="93"/>
      <c r="DA26" s="91"/>
      <c r="DB26" s="92"/>
      <c r="DC26" s="77"/>
      <c r="DD26" s="94"/>
      <c r="DE26" s="95"/>
      <c r="DG26" s="17"/>
    </row>
    <row r="27" spans="1:111" s="135" customFormat="1" ht="45" hidden="1" customHeight="1" outlineLevel="1">
      <c r="A27" s="61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D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M27" s="10"/>
      <c r="BN27" s="85">
        <f t="shared" si="4"/>
        <v>23</v>
      </c>
      <c r="BO27" s="253" t="str">
        <v>i</v>
      </c>
      <c r="BP27" s="86" t="str">
        <v>i</v>
      </c>
      <c r="BQ27" s="76" t="str">
        <v>u</v>
      </c>
      <c r="BR27" s="77" t="str">
        <v>ㄧ</v>
      </c>
      <c r="BS27" s="87"/>
      <c r="BT27" s="88">
        <f t="shared" si="0"/>
        <v>1</v>
      </c>
      <c r="BV27" s="89" t="str">
        <f t="shared" si="5"/>
        <v xml:space="preserve">    "u": { commit: "ㄧ" }  # /ir/ ==&gt; i</v>
      </c>
      <c r="BW27" s="90"/>
      <c r="BX27" s="85">
        <f t="shared" si="6"/>
        <v>23</v>
      </c>
      <c r="BY27" s="93"/>
      <c r="BZ27" s="91"/>
      <c r="CA27" s="92"/>
      <c r="CB27" s="77"/>
      <c r="CC27" s="94"/>
      <c r="CD27" s="95"/>
      <c r="CF27" s="17" t="str">
        <f t="shared" si="1"/>
        <v/>
      </c>
      <c r="CG27" s="85">
        <f t="shared" si="7"/>
        <v>23</v>
      </c>
      <c r="CH27" s="93"/>
      <c r="CI27" s="91"/>
      <c r="CJ27" s="92"/>
      <c r="CK27" s="77"/>
      <c r="CL27" s="94"/>
      <c r="CM27" s="95"/>
      <c r="CO27" s="17" t="str">
        <f t="shared" si="2"/>
        <v/>
      </c>
      <c r="CP27" s="85">
        <f t="shared" si="8"/>
        <v>23</v>
      </c>
      <c r="CQ27" s="93"/>
      <c r="CR27" s="91"/>
      <c r="CS27" s="92"/>
      <c r="CT27" s="77"/>
      <c r="CU27" s="94"/>
      <c r="CV27" s="95"/>
      <c r="CX27" s="96" t="str">
        <f t="shared" si="15"/>
        <v/>
      </c>
      <c r="CY27" s="85">
        <f t="shared" si="9"/>
        <v>23</v>
      </c>
      <c r="CZ27" s="93"/>
      <c r="DA27" s="91"/>
      <c r="DB27" s="92"/>
      <c r="DC27" s="77"/>
      <c r="DD27" s="94"/>
      <c r="DE27" s="95"/>
      <c r="DG27" s="17"/>
    </row>
    <row r="28" spans="1:111" s="135" customFormat="1" ht="45" hidden="1" customHeight="1" outlineLevel="1">
      <c r="A28" s="61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D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M28" s="10"/>
      <c r="BN28" s="85">
        <f t="shared" si="4"/>
        <v>24</v>
      </c>
      <c r="BO28" s="253" t="str">
        <v>ir</v>
      </c>
      <c r="BP28" s="86" t="str">
        <v>w</v>
      </c>
      <c r="BQ28" s="76" t="str">
        <v>K</v>
      </c>
      <c r="BR28" s="77" t="str">
        <v>ㆨ</v>
      </c>
      <c r="BS28" s="87"/>
      <c r="BT28" s="88">
        <f t="shared" si="0"/>
        <v>2</v>
      </c>
      <c r="BV28" s="89" t="str">
        <f t="shared" si="5"/>
        <v xml:space="preserve">    "K": { commit: "ㆨ" }  # /u/ ==&gt; w</v>
      </c>
      <c r="BW28" s="90"/>
      <c r="BX28" s="85">
        <f t="shared" si="6"/>
        <v>24</v>
      </c>
      <c r="BY28" s="93"/>
      <c r="BZ28" s="91"/>
      <c r="CA28" s="92"/>
      <c r="CB28" s="77"/>
      <c r="CC28" s="94"/>
      <c r="CD28" s="95"/>
      <c r="CF28" s="17"/>
      <c r="CG28" s="85">
        <f t="shared" si="7"/>
        <v>24</v>
      </c>
      <c r="CH28" s="93"/>
      <c r="CI28" s="91"/>
      <c r="CJ28" s="92"/>
      <c r="CK28" s="77"/>
      <c r="CL28" s="94"/>
      <c r="CM28" s="95"/>
      <c r="CO28" s="17"/>
      <c r="CP28" s="85">
        <f t="shared" si="8"/>
        <v>24</v>
      </c>
      <c r="CQ28" s="93"/>
      <c r="CR28" s="91"/>
      <c r="CS28" s="92"/>
      <c r="CT28" s="77"/>
      <c r="CU28" s="94"/>
      <c r="CV28" s="95"/>
      <c r="CX28" s="96" t="str">
        <f t="shared" si="15"/>
        <v/>
      </c>
      <c r="CY28" s="85">
        <f t="shared" si="9"/>
        <v>24</v>
      </c>
      <c r="CZ28" s="93"/>
      <c r="DA28" s="91"/>
      <c r="DB28" s="92"/>
      <c r="DC28" s="77"/>
      <c r="DD28" s="94"/>
      <c r="DE28" s="95"/>
      <c r="DG28" s="17"/>
    </row>
    <row r="29" spans="1:111" s="135" customFormat="1" ht="45" hidden="1" customHeight="1" outlineLevel="1"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D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M29" s="10"/>
      <c r="BN29" s="85">
        <f t="shared" si="4"/>
        <v>25</v>
      </c>
      <c r="BO29" s="253" t="str">
        <v>u</v>
      </c>
      <c r="BP29" s="86" t="str">
        <v>u</v>
      </c>
      <c r="BQ29" s="76" t="str">
        <v>j</v>
      </c>
      <c r="BR29" s="77" t="str">
        <v>ㄨ</v>
      </c>
      <c r="BS29" s="87"/>
      <c r="BT29" s="88">
        <f t="shared" si="0"/>
        <v>1</v>
      </c>
      <c r="BV29" s="89" t="str">
        <f t="shared" si="5"/>
        <v xml:space="preserve">    "j": { commit: "ㄨ" }  # /e/ ==&gt; u</v>
      </c>
      <c r="BW29" s="90"/>
      <c r="BX29" s="85">
        <f t="shared" si="6"/>
        <v>25</v>
      </c>
      <c r="BY29" s="93"/>
      <c r="BZ29" s="91"/>
      <c r="CA29" s="92"/>
      <c r="CB29" s="77"/>
      <c r="CC29" s="94"/>
      <c r="CD29" s="95"/>
      <c r="CF29" s="17"/>
      <c r="CG29" s="85">
        <f t="shared" si="7"/>
        <v>25</v>
      </c>
      <c r="CH29" s="93"/>
      <c r="CI29" s="91"/>
      <c r="CJ29" s="92"/>
      <c r="CK29" s="77"/>
      <c r="CL29" s="94"/>
      <c r="CM29" s="95"/>
      <c r="CO29" s="17"/>
      <c r="CP29" s="85">
        <f t="shared" si="8"/>
        <v>25</v>
      </c>
      <c r="CQ29" s="93"/>
      <c r="CR29" s="91"/>
      <c r="CS29" s="92"/>
      <c r="CT29" s="77"/>
      <c r="CU29" s="94"/>
      <c r="CV29" s="95"/>
      <c r="CX29" s="96" t="str">
        <f t="shared" si="15"/>
        <v/>
      </c>
      <c r="CY29" s="85">
        <f t="shared" si="9"/>
        <v>25</v>
      </c>
      <c r="CZ29" s="93"/>
      <c r="DA29" s="91"/>
      <c r="DB29" s="92"/>
      <c r="DC29" s="77"/>
      <c r="DD29" s="94"/>
      <c r="DE29" s="95"/>
      <c r="DG29" s="17"/>
    </row>
    <row r="30" spans="1:111" s="147" customFormat="1" ht="45" hidden="1" customHeight="1" outlineLevel="1">
      <c r="A30" s="135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35"/>
      <c r="AC30" s="135"/>
      <c r="AD30" s="144"/>
      <c r="AE30" s="135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35"/>
      <c r="BE30" s="135"/>
      <c r="BF30" s="135"/>
      <c r="BG30" s="135"/>
      <c r="BH30" s="135"/>
      <c r="BI30" s="135"/>
      <c r="BJ30" s="135"/>
      <c r="BK30" s="135"/>
      <c r="BL30" s="135"/>
      <c r="BM30" s="10"/>
      <c r="BN30" s="85">
        <f t="shared" si="4"/>
        <v>26</v>
      </c>
      <c r="BO30" s="253" t="str">
        <v>e</v>
      </c>
      <c r="BP30" s="86" t="str">
        <v>e</v>
      </c>
      <c r="BQ30" s="76" t="str">
        <v>,</v>
      </c>
      <c r="BR30" s="77" t="str">
        <v>ㆤ</v>
      </c>
      <c r="BS30" s="87"/>
      <c r="BT30" s="88">
        <f t="shared" si="0"/>
        <v>1</v>
      </c>
      <c r="BU30" s="135"/>
      <c r="BV30" s="89" t="str">
        <f t="shared" si="5"/>
        <v xml:space="preserve">    ",": { commit: "ㆤ" }  # /oo/ ==&gt; e</v>
      </c>
      <c r="BW30" s="90"/>
      <c r="BX30" s="85">
        <f t="shared" si="6"/>
        <v>26</v>
      </c>
      <c r="BY30" s="93"/>
      <c r="BZ30" s="91"/>
      <c r="CA30" s="92"/>
      <c r="CB30" s="77"/>
      <c r="CC30" s="94"/>
      <c r="CD30" s="95"/>
      <c r="CE30" s="135"/>
      <c r="CF30" s="17"/>
      <c r="CG30" s="85">
        <f t="shared" si="7"/>
        <v>26</v>
      </c>
      <c r="CH30" s="93"/>
      <c r="CI30" s="91"/>
      <c r="CJ30" s="92"/>
      <c r="CK30" s="77"/>
      <c r="CL30" s="94"/>
      <c r="CM30" s="95"/>
      <c r="CN30" s="135"/>
      <c r="CO30" s="17"/>
      <c r="CP30" s="85">
        <f t="shared" si="8"/>
        <v>26</v>
      </c>
      <c r="CQ30" s="93"/>
      <c r="CR30" s="91"/>
      <c r="CS30" s="92"/>
      <c r="CT30" s="77"/>
      <c r="CU30" s="94"/>
      <c r="CV30" s="95"/>
      <c r="CW30" s="135"/>
      <c r="CX30" s="96" t="str">
        <f t="shared" si="15"/>
        <v/>
      </c>
      <c r="CY30" s="85">
        <f t="shared" si="9"/>
        <v>26</v>
      </c>
      <c r="CZ30" s="93"/>
      <c r="DA30" s="91"/>
      <c r="DB30" s="92"/>
      <c r="DC30" s="77"/>
      <c r="DD30" s="94"/>
      <c r="DE30" s="95"/>
      <c r="DF30" s="135"/>
      <c r="DG30" s="17"/>
    </row>
    <row r="31" spans="1:111" s="135" customFormat="1" ht="45" hidden="1" customHeight="1" outlineLevel="1"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D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M31" s="10"/>
      <c r="BN31" s="85">
        <f t="shared" si="4"/>
        <v>27</v>
      </c>
      <c r="BO31" s="253" t="str">
        <v>oo</v>
      </c>
      <c r="BP31" s="86" t="str">
        <v>O</v>
      </c>
      <c r="BQ31" s="76" t="str">
        <v>i</v>
      </c>
      <c r="BR31" s="77" t="str">
        <v>ㆦ</v>
      </c>
      <c r="BS31" s="87"/>
      <c r="BT31" s="88">
        <f t="shared" si="0"/>
        <v>2</v>
      </c>
      <c r="BV31" s="89" t="str">
        <f t="shared" si="5"/>
        <v xml:space="preserve">    "i": { commit: "ㆦ" }  # /o/ ==&gt; O</v>
      </c>
      <c r="BW31" s="90"/>
      <c r="BX31" s="85">
        <f t="shared" si="6"/>
        <v>27</v>
      </c>
      <c r="BY31" s="93"/>
      <c r="BZ31" s="91"/>
      <c r="CA31" s="92"/>
      <c r="CB31" s="77"/>
      <c r="CC31" s="94"/>
      <c r="CD31" s="95"/>
      <c r="CE31" s="147"/>
      <c r="CF31" s="17"/>
      <c r="CG31" s="85">
        <f t="shared" si="7"/>
        <v>27</v>
      </c>
      <c r="CH31" s="93"/>
      <c r="CI31" s="91"/>
      <c r="CJ31" s="92"/>
      <c r="CK31" s="77"/>
      <c r="CL31" s="94"/>
      <c r="CM31" s="95"/>
      <c r="CN31" s="147"/>
      <c r="CO31" s="17"/>
      <c r="CP31" s="85">
        <f t="shared" si="8"/>
        <v>27</v>
      </c>
      <c r="CQ31" s="93"/>
      <c r="CR31" s="91"/>
      <c r="CS31" s="92"/>
      <c r="CT31" s="77"/>
      <c r="CU31" s="94"/>
      <c r="CV31" s="95"/>
      <c r="CW31" s="147"/>
      <c r="CX31" s="96" t="str">
        <f t="shared" si="15"/>
        <v/>
      </c>
      <c r="CY31" s="85">
        <f t="shared" si="9"/>
        <v>27</v>
      </c>
      <c r="CZ31" s="93"/>
      <c r="DA31" s="91"/>
      <c r="DB31" s="92"/>
      <c r="DC31" s="77"/>
      <c r="DD31" s="94"/>
      <c r="DE31" s="95"/>
      <c r="DF31" s="147"/>
      <c r="DG31" s="17"/>
    </row>
    <row r="32" spans="1:111" s="135" customFormat="1" ht="45" customHeight="1" outlineLevel="1">
      <c r="AD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M32" s="10"/>
      <c r="BN32" s="85">
        <f t="shared" si="4"/>
        <v>28</v>
      </c>
      <c r="BO32" s="253" t="str">
        <v>o</v>
      </c>
      <c r="BP32" s="86" t="str">
        <v>ə</v>
      </c>
      <c r="BQ32" s="76" t="str">
        <v>k</v>
      </c>
      <c r="BR32" s="77" t="str">
        <v>ㄜ</v>
      </c>
      <c r="BS32" s="87" t="s">
        <v>283</v>
      </c>
      <c r="BT32" s="88">
        <f t="shared" si="0"/>
        <v>1</v>
      </c>
      <c r="BV32" s="89"/>
      <c r="BW32" s="90"/>
      <c r="BX32" s="85">
        <f t="shared" si="6"/>
        <v>28</v>
      </c>
      <c r="BY32" s="93"/>
      <c r="BZ32" s="91"/>
      <c r="CA32" s="92"/>
      <c r="CB32" s="77"/>
      <c r="CC32" s="94"/>
      <c r="CD32" s="95"/>
      <c r="CE32" s="147"/>
      <c r="CF32" s="17"/>
      <c r="CG32" s="85">
        <f t="shared" si="7"/>
        <v>28</v>
      </c>
      <c r="CH32" s="93"/>
      <c r="CI32" s="91"/>
      <c r="CJ32" s="92"/>
      <c r="CK32" s="77"/>
      <c r="CL32" s="94"/>
      <c r="CM32" s="95"/>
      <c r="CN32" s="147"/>
      <c r="CO32" s="17"/>
      <c r="CP32" s="85">
        <f t="shared" si="8"/>
        <v>28</v>
      </c>
      <c r="CQ32" s="93"/>
      <c r="CR32" s="91"/>
      <c r="CS32" s="92"/>
      <c r="CT32" s="77"/>
      <c r="CU32" s="94"/>
      <c r="CV32" s="95"/>
      <c r="CW32" s="147"/>
      <c r="CX32" s="17"/>
      <c r="CY32" s="85">
        <f t="shared" si="9"/>
        <v>28</v>
      </c>
      <c r="CZ32" s="93"/>
      <c r="DA32" s="91"/>
      <c r="DB32" s="92"/>
      <c r="DC32" s="77"/>
      <c r="DD32" s="94"/>
      <c r="DE32" s="95"/>
      <c r="DF32" s="147"/>
      <c r="DG32" s="17"/>
    </row>
    <row r="33" spans="1:111" s="135" customFormat="1" ht="45" customHeight="1">
      <c r="B33" s="148" t="s">
        <v>198</v>
      </c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50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51"/>
      <c r="AJ33" s="151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M33" s="10"/>
      <c r="BN33" s="85">
        <f t="shared" si="4"/>
        <v>29</v>
      </c>
      <c r="BO33" s="253" t="str">
        <v>-m</v>
      </c>
      <c r="BP33" s="86" t="str">
        <v>M</v>
      </c>
      <c r="BQ33" s="76" t="str">
        <v>m</v>
      </c>
      <c r="BR33" s="77" t="str">
        <v>ㆬ</v>
      </c>
      <c r="BS33" s="87" t="s">
        <v>33</v>
      </c>
      <c r="BT33" s="88">
        <f t="shared" si="0"/>
        <v>2</v>
      </c>
      <c r="BV33" s="89" t="str">
        <f t="shared" ref="BV33:BV62" si="16" xml:space="preserve"> "    """ &amp; BQ33 &amp; """: { commit: """ &amp; BR33 &amp; """ }" &amp; "  # " &amp; "/" &amp; BO33 &amp; "/ ==&gt; " &amp; BP33</f>
        <v xml:space="preserve">    "m": { commit: "ㆬ" }  # /-m/ ==&gt; M</v>
      </c>
      <c r="BW33" s="90"/>
      <c r="BX33" s="85">
        <f t="shared" si="6"/>
        <v>29</v>
      </c>
      <c r="BY33" s="93"/>
      <c r="BZ33" s="91"/>
      <c r="CA33" s="92"/>
      <c r="CB33" s="77"/>
      <c r="CC33" s="94"/>
      <c r="CD33" s="95"/>
      <c r="CF33" s="17"/>
      <c r="CG33" s="85">
        <f t="shared" si="7"/>
        <v>29</v>
      </c>
      <c r="CH33" s="93"/>
      <c r="CI33" s="91"/>
      <c r="CJ33" s="92"/>
      <c r="CK33" s="77"/>
      <c r="CL33" s="94"/>
      <c r="CM33" s="95"/>
      <c r="CO33" s="17"/>
      <c r="CP33" s="85">
        <f t="shared" si="8"/>
        <v>29</v>
      </c>
      <c r="CQ33" s="93"/>
      <c r="CR33" s="91"/>
      <c r="CS33" s="92"/>
      <c r="CT33" s="77"/>
      <c r="CU33" s="94"/>
      <c r="CV33" s="95"/>
      <c r="CX33" s="17" t="str">
        <f t="shared" ref="CX33:CX56" si="17" xml:space="preserve"> IF(CU33=0, "", "    - xform/^" &amp; CU33 &amp; "(?!\d)/" &amp; CQ33 &amp; "/  # " &amp; CR33 &amp; " [ " &amp; CU33 &amp; "]")</f>
        <v/>
      </c>
      <c r="CY33" s="85">
        <f t="shared" si="9"/>
        <v>29</v>
      </c>
      <c r="CZ33" s="93"/>
      <c r="DA33" s="91"/>
      <c r="DB33" s="92"/>
      <c r="DC33" s="77"/>
      <c r="DD33" s="94"/>
      <c r="DE33" s="95"/>
      <c r="DG33" s="17"/>
    </row>
    <row r="34" spans="1:111" s="135" customFormat="1" ht="45" customHeight="1">
      <c r="A34" s="147"/>
      <c r="B34" s="152" t="str">
        <f>_xlfn.CONCAT("  alphabet: """,D19:BC19,BD19:BJ19,"""")</f>
        <v xml:space="preserve">  alphabet: "!1qas2wxEedNYyhncRrfv8uKj,ikmp/btgz9lM0;Oo*UJ&lt;I(L7-="5346]["</v>
      </c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61"/>
      <c r="AL34" s="61"/>
      <c r="AM34" s="61"/>
      <c r="AN34" s="61"/>
      <c r="AO34" s="61"/>
      <c r="AP34" s="61"/>
      <c r="AQ34" s="61"/>
      <c r="AR34" s="9"/>
      <c r="AS34" s="9"/>
      <c r="AT34" s="61"/>
      <c r="AU34" s="61"/>
      <c r="AV34" s="61"/>
      <c r="AW34" s="10"/>
      <c r="AX34" s="10"/>
      <c r="AY34" s="10"/>
      <c r="AZ34" s="10"/>
      <c r="BA34" s="10"/>
      <c r="BB34" s="10"/>
      <c r="BJ34" s="151"/>
      <c r="BK34" s="151"/>
      <c r="BL34" s="151"/>
      <c r="BM34" s="10"/>
      <c r="BN34" s="85">
        <f t="shared" si="4"/>
        <v>30</v>
      </c>
      <c r="BO34" s="253" t="str">
        <v>-n</v>
      </c>
      <c r="BP34" s="86" t="str">
        <v>N</v>
      </c>
      <c r="BQ34" s="76" t="str">
        <v>p</v>
      </c>
      <c r="BR34" s="77" t="str">
        <v>ㄣ</v>
      </c>
      <c r="BS34" s="87" t="s">
        <v>33</v>
      </c>
      <c r="BT34" s="88">
        <f t="shared" si="0"/>
        <v>2</v>
      </c>
      <c r="BV34" s="89" t="str">
        <f t="shared" si="16"/>
        <v xml:space="preserve">    "p": { commit: "ㄣ" }  # /-n/ ==&gt; N</v>
      </c>
      <c r="BW34" s="90"/>
      <c r="BX34" s="85">
        <f t="shared" si="6"/>
        <v>30</v>
      </c>
      <c r="BY34" s="93"/>
      <c r="BZ34" s="91"/>
      <c r="CA34" s="92"/>
      <c r="CB34" s="77"/>
      <c r="CC34" s="94"/>
      <c r="CD34" s="95"/>
      <c r="CF34" s="17"/>
      <c r="CG34" s="85">
        <f t="shared" si="7"/>
        <v>30</v>
      </c>
      <c r="CH34" s="93"/>
      <c r="CI34" s="91"/>
      <c r="CJ34" s="92"/>
      <c r="CK34" s="77"/>
      <c r="CL34" s="94"/>
      <c r="CM34" s="95"/>
      <c r="CO34" s="17"/>
      <c r="CP34" s="85">
        <f t="shared" si="8"/>
        <v>30</v>
      </c>
      <c r="CQ34" s="93"/>
      <c r="CR34" s="91"/>
      <c r="CS34" s="92"/>
      <c r="CT34" s="77"/>
      <c r="CU34" s="94"/>
      <c r="CV34" s="95"/>
      <c r="CX34" s="17" t="str">
        <f t="shared" si="17"/>
        <v/>
      </c>
      <c r="CY34" s="85">
        <f t="shared" si="9"/>
        <v>30</v>
      </c>
      <c r="CZ34" s="93"/>
      <c r="DA34" s="91"/>
      <c r="DB34" s="92"/>
      <c r="DC34" s="77"/>
      <c r="DD34" s="94"/>
      <c r="DE34" s="95"/>
      <c r="DG34" s="17"/>
    </row>
    <row r="35" spans="1:111" s="135" customFormat="1" ht="45" customHeight="1">
      <c r="A35" s="61"/>
      <c r="B35" s="152" t="str">
        <f>_xlfn.CONCAT("  initials: """,D19:BC19, """")</f>
        <v xml:space="preserve">  initials: "!1qas2wxEedNYyhncRrfv8uKj,ikmp/btgz9lM0;Oo*UJ&lt;I(L7-="</v>
      </c>
      <c r="C35" s="154"/>
      <c r="D35" s="155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1"/>
      <c r="AL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0"/>
      <c r="BN35" s="85">
        <f t="shared" si="4"/>
        <v>31</v>
      </c>
      <c r="BO35" s="253" t="str">
        <v>-ng</v>
      </c>
      <c r="BP35" s="86" t="str">
        <v>G</v>
      </c>
      <c r="BQ35" s="76" t="str">
        <v>/</v>
      </c>
      <c r="BR35" s="77" t="str">
        <v>ㆭ</v>
      </c>
      <c r="BS35" s="87" t="s">
        <v>33</v>
      </c>
      <c r="BT35" s="88">
        <f t="shared" si="0"/>
        <v>3</v>
      </c>
      <c r="BV35" s="89" t="str">
        <f t="shared" si="16"/>
        <v xml:space="preserve">    "/": { commit: "ㆭ" }  # /-ng/ ==&gt; G</v>
      </c>
      <c r="BW35" s="90"/>
      <c r="BX35" s="85">
        <f t="shared" si="6"/>
        <v>31</v>
      </c>
      <c r="BY35" s="93"/>
      <c r="BZ35" s="91"/>
      <c r="CA35" s="92"/>
      <c r="CB35" s="77"/>
      <c r="CC35" s="94"/>
      <c r="CD35" s="95"/>
      <c r="CF35" s="17"/>
      <c r="CG35" s="85">
        <f t="shared" si="7"/>
        <v>31</v>
      </c>
      <c r="CH35" s="93"/>
      <c r="CI35" s="91"/>
      <c r="CJ35" s="92"/>
      <c r="CK35" s="77"/>
      <c r="CL35" s="94"/>
      <c r="CM35" s="95"/>
      <c r="CO35" s="17"/>
      <c r="CP35" s="85">
        <f t="shared" si="8"/>
        <v>31</v>
      </c>
      <c r="CQ35" s="93"/>
      <c r="CR35" s="91"/>
      <c r="CS35" s="92"/>
      <c r="CT35" s="77"/>
      <c r="CU35" s="94"/>
      <c r="CV35" s="95"/>
      <c r="CX35" s="17" t="str">
        <f t="shared" si="17"/>
        <v/>
      </c>
      <c r="CY35" s="85">
        <f t="shared" si="9"/>
        <v>31</v>
      </c>
      <c r="CZ35" s="93"/>
      <c r="DA35" s="91"/>
      <c r="DB35" s="92"/>
      <c r="DC35" s="77"/>
      <c r="DD35" s="94"/>
      <c r="DE35" s="95"/>
      <c r="DG35" s="17"/>
    </row>
    <row r="36" spans="1:111" s="135" customFormat="1" ht="45" customHeight="1">
      <c r="B36" s="152" t="str">
        <f>_xlfn.CONCAT("  finals: """,BD19:BJ19,"""")</f>
        <v xml:space="preserve">  finals: ""5346]["</v>
      </c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45"/>
      <c r="AL36" s="145"/>
      <c r="AM36" s="145"/>
      <c r="AN36" s="145"/>
      <c r="AO36" s="145"/>
      <c r="AP36" s="145"/>
      <c r="AQ36" s="145"/>
      <c r="AR36" s="157"/>
      <c r="AS36" s="157"/>
      <c r="AT36" s="145"/>
      <c r="AU36" s="145"/>
      <c r="AV36" s="145"/>
      <c r="AW36" s="158"/>
      <c r="AX36" s="158"/>
      <c r="AY36" s="158"/>
      <c r="AZ36" s="158"/>
      <c r="BA36" s="158"/>
      <c r="BB36" s="158"/>
      <c r="BC36" s="138"/>
      <c r="BD36" s="138"/>
      <c r="BE36" s="138"/>
      <c r="BF36" s="138"/>
      <c r="BG36" s="138"/>
      <c r="BH36" s="138"/>
      <c r="BI36" s="138"/>
      <c r="BJ36" s="159"/>
      <c r="BK36" s="159"/>
      <c r="BL36" s="151"/>
      <c r="BN36" s="85">
        <f t="shared" si="4"/>
        <v>32</v>
      </c>
      <c r="BO36" s="253" t="str">
        <v>-p</v>
      </c>
      <c r="BP36" s="86" t="str">
        <v>R</v>
      </c>
      <c r="BQ36" s="76" t="str">
        <v>b</v>
      </c>
      <c r="BR36" s="77" t="str">
        <v>ㆴ</v>
      </c>
      <c r="BS36" s="87" t="s">
        <v>33</v>
      </c>
      <c r="BT36" s="88">
        <f t="shared" si="0"/>
        <v>2</v>
      </c>
      <c r="BV36" s="89" t="str">
        <f t="shared" si="16"/>
        <v xml:space="preserve">    "b": { commit: "ㆴ" }  # /-p/ ==&gt; R</v>
      </c>
      <c r="BW36" s="90"/>
      <c r="BX36" s="85">
        <f t="shared" si="6"/>
        <v>32</v>
      </c>
      <c r="BY36" s="93"/>
      <c r="BZ36" s="91"/>
      <c r="CA36" s="92"/>
      <c r="CB36" s="77"/>
      <c r="CC36" s="94"/>
      <c r="CD36" s="95"/>
      <c r="CF36" s="17"/>
      <c r="CG36" s="85">
        <f t="shared" si="7"/>
        <v>32</v>
      </c>
      <c r="CH36" s="93"/>
      <c r="CI36" s="91"/>
      <c r="CJ36" s="92"/>
      <c r="CK36" s="77"/>
      <c r="CL36" s="94"/>
      <c r="CM36" s="95"/>
      <c r="CO36" s="17"/>
      <c r="CP36" s="85">
        <f t="shared" si="8"/>
        <v>32</v>
      </c>
      <c r="CQ36" s="93"/>
      <c r="CR36" s="91"/>
      <c r="CS36" s="92"/>
      <c r="CT36" s="77"/>
      <c r="CU36" s="94"/>
      <c r="CV36" s="95"/>
      <c r="CX36" s="17" t="str">
        <f t="shared" si="17"/>
        <v/>
      </c>
      <c r="CY36" s="85">
        <f t="shared" si="9"/>
        <v>32</v>
      </c>
      <c r="CZ36" s="93"/>
      <c r="DA36" s="91"/>
      <c r="DB36" s="92"/>
      <c r="DC36" s="77"/>
      <c r="DD36" s="94"/>
      <c r="DE36" s="95"/>
      <c r="DG36" s="17"/>
    </row>
    <row r="37" spans="1:111" s="135" customFormat="1" ht="45" customHeight="1">
      <c r="AK37" s="61"/>
      <c r="AL37" s="61"/>
      <c r="AM37" s="61"/>
      <c r="AN37" s="61"/>
      <c r="AO37" s="61"/>
      <c r="AP37" s="61"/>
      <c r="AQ37" s="61"/>
      <c r="AR37" s="9"/>
      <c r="AS37" s="9"/>
      <c r="AT37" s="61"/>
      <c r="AU37" s="61"/>
      <c r="AV37" s="61"/>
      <c r="AW37" s="10"/>
      <c r="AX37" s="10"/>
      <c r="AY37" s="10"/>
      <c r="AZ37" s="10"/>
      <c r="BA37" s="10"/>
      <c r="BB37" s="10"/>
      <c r="BJ37" s="151"/>
      <c r="BK37" s="151"/>
      <c r="BL37" s="151"/>
      <c r="BN37" s="85">
        <f t="shared" si="4"/>
        <v>33</v>
      </c>
      <c r="BO37" s="253" t="str">
        <v>-t</v>
      </c>
      <c r="BP37" s="86" t="str">
        <v>F</v>
      </c>
      <c r="BQ37" s="76" t="str">
        <v>t</v>
      </c>
      <c r="BR37" s="77" t="str">
        <v>ㆵ</v>
      </c>
      <c r="BS37" s="87" t="s">
        <v>33</v>
      </c>
      <c r="BT37" s="88">
        <f t="shared" ref="BT37:BT64" si="18" xml:space="preserve"> LEN(BO37)</f>
        <v>2</v>
      </c>
      <c r="BV37" s="89" t="str">
        <f t="shared" si="16"/>
        <v xml:space="preserve">    "t": { commit: "ㆵ" }  # /-t/ ==&gt; F</v>
      </c>
      <c r="BW37" s="90"/>
      <c r="BX37" s="85">
        <f t="shared" si="6"/>
        <v>33</v>
      </c>
      <c r="BY37" s="93"/>
      <c r="BZ37" s="91"/>
      <c r="CA37" s="92"/>
      <c r="CB37" s="77"/>
      <c r="CC37" s="94"/>
      <c r="CD37" s="95"/>
      <c r="CF37" s="17"/>
      <c r="CG37" s="85">
        <f t="shared" si="7"/>
        <v>33</v>
      </c>
      <c r="CH37" s="93"/>
      <c r="CI37" s="91"/>
      <c r="CJ37" s="92"/>
      <c r="CK37" s="77"/>
      <c r="CL37" s="94"/>
      <c r="CM37" s="95"/>
      <c r="CO37" s="17"/>
      <c r="CP37" s="85">
        <f t="shared" si="8"/>
        <v>33</v>
      </c>
      <c r="CQ37" s="93"/>
      <c r="CR37" s="91"/>
      <c r="CS37" s="92"/>
      <c r="CT37" s="77"/>
      <c r="CU37" s="94"/>
      <c r="CV37" s="95"/>
      <c r="CX37" s="17" t="str">
        <f t="shared" si="17"/>
        <v/>
      </c>
      <c r="CY37" s="85">
        <f t="shared" si="9"/>
        <v>33</v>
      </c>
      <c r="CZ37" s="93"/>
      <c r="DA37" s="91"/>
      <c r="DB37" s="92"/>
      <c r="DC37" s="77"/>
      <c r="DD37" s="94"/>
      <c r="DE37" s="95"/>
      <c r="DG37" s="17"/>
    </row>
    <row r="38" spans="1:111" s="135" customFormat="1" ht="45" customHeight="1">
      <c r="AF38" s="160" t="str">
        <f>_xlfn.CONCAT(D18:X18)</f>
        <v>bpPmntTlgkKŋjzcshJZCS</v>
      </c>
      <c r="AK38" s="61"/>
      <c r="AL38" s="61"/>
      <c r="AM38" s="61"/>
      <c r="AN38" s="61"/>
      <c r="AO38" s="61"/>
      <c r="AP38" s="61"/>
      <c r="AQ38" s="61"/>
      <c r="AR38" s="9"/>
      <c r="AS38" s="9"/>
      <c r="AT38" s="61"/>
      <c r="AU38" s="61"/>
      <c r="AV38" s="61"/>
      <c r="AW38" s="10"/>
      <c r="AX38" s="10"/>
      <c r="AY38" s="10"/>
      <c r="AZ38" s="10"/>
      <c r="BA38" s="10"/>
      <c r="BB38" s="10"/>
      <c r="BJ38" s="151"/>
      <c r="BK38" s="151"/>
      <c r="BL38" s="151"/>
      <c r="BN38" s="85">
        <f t="shared" si="4"/>
        <v>34</v>
      </c>
      <c r="BO38" s="253" t="str">
        <v>-k</v>
      </c>
      <c r="BP38" s="86" t="str">
        <v>Q</v>
      </c>
      <c r="BQ38" s="76" t="str">
        <v>g</v>
      </c>
      <c r="BR38" s="77" t="str">
        <v>ㆻ</v>
      </c>
      <c r="BS38" s="87" t="s">
        <v>33</v>
      </c>
      <c r="BT38" s="88">
        <f t="shared" si="18"/>
        <v>2</v>
      </c>
      <c r="BV38" s="89" t="str">
        <f t="shared" si="16"/>
        <v xml:space="preserve">    "g": { commit: "ㆻ" }  # /-k/ ==&gt; Q</v>
      </c>
      <c r="BW38" s="90"/>
      <c r="BX38" s="85">
        <f t="shared" si="6"/>
        <v>34</v>
      </c>
      <c r="BY38" s="93"/>
      <c r="BZ38" s="91"/>
      <c r="CA38" s="92"/>
      <c r="CB38" s="77"/>
      <c r="CC38" s="94"/>
      <c r="CD38" s="95"/>
      <c r="CF38" s="17"/>
      <c r="CG38" s="85">
        <f t="shared" si="7"/>
        <v>34</v>
      </c>
      <c r="CH38" s="93"/>
      <c r="CI38" s="91"/>
      <c r="CJ38" s="92"/>
      <c r="CK38" s="77"/>
      <c r="CL38" s="94"/>
      <c r="CM38" s="95"/>
      <c r="CO38" s="17"/>
      <c r="CP38" s="85">
        <f t="shared" si="8"/>
        <v>34</v>
      </c>
      <c r="CQ38" s="93"/>
      <c r="CR38" s="91"/>
      <c r="CS38" s="92"/>
      <c r="CT38" s="77"/>
      <c r="CU38" s="94"/>
      <c r="CV38" s="95"/>
      <c r="CX38" s="17" t="str">
        <f t="shared" si="17"/>
        <v/>
      </c>
      <c r="CY38" s="85">
        <f t="shared" si="9"/>
        <v>34</v>
      </c>
      <c r="CZ38" s="93"/>
      <c r="DA38" s="91"/>
      <c r="DB38" s="92"/>
      <c r="DC38" s="77"/>
      <c r="DD38" s="94"/>
      <c r="DE38" s="95"/>
      <c r="DG38" s="17"/>
    </row>
    <row r="39" spans="1:111" s="135" customFormat="1" ht="45" customHeight="1">
      <c r="B39" s="148" t="s">
        <v>199</v>
      </c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K39" s="61"/>
      <c r="AL39" s="61"/>
      <c r="AM39" s="61"/>
      <c r="AN39" s="61"/>
      <c r="AO39" s="61"/>
      <c r="AP39" s="61"/>
      <c r="AQ39" s="61"/>
      <c r="AR39" s="9"/>
      <c r="AS39" s="9"/>
      <c r="AT39" s="61"/>
      <c r="AU39" s="61"/>
      <c r="AV39" s="61"/>
      <c r="AW39" s="10"/>
      <c r="AX39" s="10"/>
      <c r="AY39" s="10"/>
      <c r="AZ39" s="10"/>
      <c r="BA39" s="10"/>
      <c r="BB39" s="10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N39" s="85">
        <f t="shared" si="4"/>
        <v>35</v>
      </c>
      <c r="BO39" s="253" t="str">
        <v>-h</v>
      </c>
      <c r="BP39" s="86" t="str">
        <v>V</v>
      </c>
      <c r="BQ39" s="76" t="str">
        <v>z</v>
      </c>
      <c r="BR39" s="77" t="str">
        <v>ㆷ</v>
      </c>
      <c r="BS39" s="87" t="s">
        <v>33</v>
      </c>
      <c r="BT39" s="88">
        <f t="shared" si="18"/>
        <v>2</v>
      </c>
      <c r="BV39" s="89" t="str">
        <f t="shared" si="16"/>
        <v xml:space="preserve">    "z": { commit: "ㆷ" }  # /-h/ ==&gt; V</v>
      </c>
      <c r="BW39" s="90"/>
      <c r="BX39" s="85">
        <f t="shared" si="6"/>
        <v>35</v>
      </c>
      <c r="BY39" s="93"/>
      <c r="BZ39" s="91"/>
      <c r="CA39" s="92"/>
      <c r="CB39" s="77"/>
      <c r="CC39" s="94"/>
      <c r="CD39" s="95"/>
      <c r="CF39" s="17"/>
      <c r="CG39" s="85">
        <f t="shared" si="7"/>
        <v>35</v>
      </c>
      <c r="CH39" s="93"/>
      <c r="CI39" s="91"/>
      <c r="CJ39" s="92"/>
      <c r="CK39" s="77"/>
      <c r="CL39" s="94"/>
      <c r="CM39" s="95"/>
      <c r="CO39" s="17"/>
      <c r="CP39" s="85">
        <f t="shared" si="8"/>
        <v>35</v>
      </c>
      <c r="CQ39" s="93"/>
      <c r="CR39" s="91"/>
      <c r="CS39" s="92"/>
      <c r="CT39" s="77"/>
      <c r="CU39" s="94"/>
      <c r="CV39" s="95"/>
      <c r="CX39" s="17" t="str">
        <f t="shared" si="17"/>
        <v/>
      </c>
      <c r="CY39" s="85">
        <f t="shared" si="9"/>
        <v>35</v>
      </c>
      <c r="CZ39" s="93"/>
      <c r="DA39" s="91"/>
      <c r="DB39" s="92"/>
      <c r="DC39" s="77"/>
      <c r="DD39" s="94"/>
      <c r="DE39" s="95"/>
      <c r="DG39" s="17"/>
    </row>
    <row r="40" spans="1:111" ht="45" customHeight="1">
      <c r="A40" s="135"/>
      <c r="B40" s="149" t="s">
        <v>200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50"/>
      <c r="U40" s="149"/>
      <c r="V40" s="149"/>
      <c r="W40" s="149"/>
      <c r="X40" s="149"/>
      <c r="Y40" s="149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35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63"/>
      <c r="BM40" s="135"/>
      <c r="BN40" s="85">
        <f t="shared" si="4"/>
        <v>36</v>
      </c>
      <c r="BO40" s="253" t="str">
        <v>ai</v>
      </c>
      <c r="BP40" s="86" t="str">
        <v>I</v>
      </c>
      <c r="BQ40" s="76" t="str">
        <v>9</v>
      </c>
      <c r="BR40" s="77" t="str">
        <v>ㄞ</v>
      </c>
      <c r="BS40" s="87" t="s">
        <v>283</v>
      </c>
      <c r="BT40" s="88">
        <f t="shared" si="18"/>
        <v>2</v>
      </c>
      <c r="BU40" s="135"/>
      <c r="BV40" s="89" t="str">
        <f t="shared" si="16"/>
        <v xml:space="preserve">    "9": { commit: "ㄞ" }  # /ai/ ==&gt; I</v>
      </c>
      <c r="BW40" s="90"/>
      <c r="BX40" s="85">
        <f t="shared" si="6"/>
        <v>36</v>
      </c>
      <c r="BY40" s="93"/>
      <c r="BZ40" s="91"/>
      <c r="CA40" s="92"/>
      <c r="CB40" s="77"/>
      <c r="CC40" s="94"/>
      <c r="CD40" s="95"/>
      <c r="CE40" s="135"/>
      <c r="CG40" s="85">
        <f t="shared" si="7"/>
        <v>36</v>
      </c>
      <c r="CH40" s="93"/>
      <c r="CI40" s="91"/>
      <c r="CJ40" s="92"/>
      <c r="CK40" s="77"/>
      <c r="CL40" s="94"/>
      <c r="CM40" s="95"/>
      <c r="CN40" s="135"/>
      <c r="CP40" s="85">
        <f t="shared" si="8"/>
        <v>36</v>
      </c>
      <c r="CQ40" s="93"/>
      <c r="CR40" s="91"/>
      <c r="CS40" s="92"/>
      <c r="CT40" s="77"/>
      <c r="CU40" s="94"/>
      <c r="CV40" s="95"/>
      <c r="CW40" s="135"/>
      <c r="CX40" s="17" t="str">
        <f t="shared" si="17"/>
        <v/>
      </c>
      <c r="CY40" s="85">
        <f t="shared" si="9"/>
        <v>36</v>
      </c>
      <c r="CZ40" s="93"/>
      <c r="DA40" s="91"/>
      <c r="DB40" s="92"/>
      <c r="DC40" s="77"/>
      <c r="DD40" s="94"/>
      <c r="DE40" s="95"/>
      <c r="DF40" s="135"/>
    </row>
    <row r="41" spans="1:111" ht="45" customHeight="1">
      <c r="A41" s="135"/>
      <c r="B41" s="164" t="s">
        <v>201</v>
      </c>
      <c r="C41" s="165"/>
      <c r="D41" s="166">
        <f xml:space="preserve"> LEN(E41)</f>
        <v>59</v>
      </c>
      <c r="E41" s="167" t="str">
        <f xml:space="preserve"> _xlfn.CONCAT(D18:BK18)</f>
        <v>bpPmntTlgkKŋjzcshJZCSaiwueOəMNGRFQVIUY@AWHdfqrvxy&amp;LØ1732584</v>
      </c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35"/>
      <c r="AD41" s="135"/>
      <c r="AE41" s="135">
        <f xml:space="preserve"> LEN(AF41)</f>
        <v>49</v>
      </c>
      <c r="AF41" s="167" t="str">
        <f>_xlfn.CONCAT(D18:AZ18)</f>
        <v>bpPmntTlgkKŋjzcshJZCSaiwueOəMNGRFQVIUY@AWHdfqrvxy</v>
      </c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35"/>
      <c r="BD41" s="135">
        <f xml:space="preserve"> LEN(BE41)</f>
        <v>7</v>
      </c>
      <c r="BE41" s="167" t="str">
        <f>_xlfn.CONCAT(BD18:BJ18)</f>
        <v>1732584</v>
      </c>
      <c r="BF41" s="168"/>
      <c r="BG41" s="167"/>
      <c r="BH41" s="168"/>
      <c r="BI41" s="167"/>
      <c r="BJ41" s="168"/>
      <c r="BK41" s="167"/>
      <c r="BL41" s="163"/>
      <c r="BM41" s="135"/>
      <c r="BN41" s="85">
        <f t="shared" si="4"/>
        <v>37</v>
      </c>
      <c r="BO41" s="253" t="str">
        <v>au</v>
      </c>
      <c r="BP41" s="86" t="str">
        <v>U</v>
      </c>
      <c r="BQ41" s="76" t="str">
        <v>l</v>
      </c>
      <c r="BR41" s="77" t="str">
        <v>ㄠ</v>
      </c>
      <c r="BS41" s="87" t="s">
        <v>283</v>
      </c>
      <c r="BT41" s="88">
        <f t="shared" si="18"/>
        <v>2</v>
      </c>
      <c r="BU41" s="135"/>
      <c r="BV41" s="89" t="str">
        <f t="shared" si="16"/>
        <v xml:space="preserve">    "l": { commit: "ㄠ" }  # /au/ ==&gt; U</v>
      </c>
      <c r="BW41" s="90"/>
      <c r="BX41" s="85">
        <f t="shared" si="6"/>
        <v>37</v>
      </c>
      <c r="BY41" s="93"/>
      <c r="BZ41" s="91"/>
      <c r="CA41" s="92"/>
      <c r="CB41" s="77"/>
      <c r="CC41" s="94"/>
      <c r="CD41" s="95"/>
      <c r="CG41" s="85">
        <f t="shared" si="7"/>
        <v>37</v>
      </c>
      <c r="CH41" s="93"/>
      <c r="CI41" s="91"/>
      <c r="CJ41" s="92"/>
      <c r="CK41" s="77"/>
      <c r="CL41" s="94"/>
      <c r="CM41" s="95"/>
      <c r="CP41" s="85">
        <f t="shared" si="8"/>
        <v>37</v>
      </c>
      <c r="CQ41" s="93"/>
      <c r="CR41" s="91"/>
      <c r="CS41" s="92"/>
      <c r="CT41" s="77"/>
      <c r="CU41" s="94"/>
      <c r="CV41" s="95"/>
      <c r="CX41" s="17" t="str">
        <f t="shared" si="17"/>
        <v/>
      </c>
      <c r="CY41" s="85">
        <f t="shared" si="9"/>
        <v>37</v>
      </c>
      <c r="CZ41" s="93"/>
      <c r="DA41" s="91"/>
      <c r="DB41" s="92"/>
      <c r="DC41" s="77"/>
      <c r="DD41" s="94"/>
      <c r="DE41" s="95"/>
    </row>
    <row r="42" spans="1:111" ht="45" customHeight="1">
      <c r="A42" s="135"/>
      <c r="B42" s="169" t="s">
        <v>202</v>
      </c>
      <c r="C42" s="170"/>
      <c r="D42" s="171">
        <f xml:space="preserve"> LEN(E42)</f>
        <v>59</v>
      </c>
      <c r="E42" s="172" t="str">
        <f xml:space="preserve"> _xlfn.CONCAT(D19:BK19)</f>
        <v>!1qas2wxEedNYyhncRrfv8uKj,ikmp/btgz9lM0;Oo*UJ&lt;I(L7-="5346][</v>
      </c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35"/>
      <c r="AD42" s="135"/>
      <c r="AE42" s="135">
        <f xml:space="preserve"> LEN(AF42)</f>
        <v>49</v>
      </c>
      <c r="AF42" s="172" t="str">
        <f>_xlfn.CONCAT(D19:AZ19)</f>
        <v>!1qas2wxEedNYyhncRrfv8uKj,ikmp/btgz9lM0;Oo*UJ&lt;I(L</v>
      </c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  <c r="BB42" s="173"/>
      <c r="BC42" s="135"/>
      <c r="BD42" s="135">
        <f xml:space="preserve"> LEN(BE42)</f>
        <v>7</v>
      </c>
      <c r="BE42" s="172" t="str">
        <f>_xlfn.CONCAT(BD19:BJ19)</f>
        <v>"5346][</v>
      </c>
      <c r="BF42" s="173"/>
      <c r="BG42" s="172"/>
      <c r="BH42" s="173"/>
      <c r="BI42" s="172"/>
      <c r="BJ42" s="173"/>
      <c r="BK42" s="172"/>
      <c r="BL42" s="163"/>
      <c r="BM42" s="135"/>
      <c r="BN42" s="85">
        <f t="shared" si="4"/>
        <v>38</v>
      </c>
      <c r="BO42" s="253" t="str">
        <v>am</v>
      </c>
      <c r="BP42" s="86" t="str">
        <v>Y</v>
      </c>
      <c r="BQ42" s="76" t="str">
        <v>M</v>
      </c>
      <c r="BR42" s="77" t="str">
        <v>ㆰ</v>
      </c>
      <c r="BS42" s="87" t="s">
        <v>283</v>
      </c>
      <c r="BT42" s="88">
        <f t="shared" si="18"/>
        <v>2</v>
      </c>
      <c r="BV42" s="89" t="str">
        <f t="shared" si="16"/>
        <v xml:space="preserve">    "M": { commit: "ㆰ" }  # /am/ ==&gt; Y</v>
      </c>
      <c r="BW42" s="90"/>
      <c r="BX42" s="85">
        <f t="shared" si="6"/>
        <v>38</v>
      </c>
      <c r="BY42" s="93"/>
      <c r="BZ42" s="91"/>
      <c r="CA42" s="92"/>
      <c r="CB42" s="77"/>
      <c r="CC42" s="94"/>
      <c r="CD42" s="95"/>
      <c r="CG42" s="85">
        <f t="shared" si="7"/>
        <v>38</v>
      </c>
      <c r="CH42" s="93"/>
      <c r="CI42" s="91"/>
      <c r="CJ42" s="92"/>
      <c r="CK42" s="77"/>
      <c r="CL42" s="94"/>
      <c r="CM42" s="95"/>
      <c r="CP42" s="85">
        <f t="shared" si="8"/>
        <v>38</v>
      </c>
      <c r="CQ42" s="93"/>
      <c r="CR42" s="91"/>
      <c r="CS42" s="92"/>
      <c r="CT42" s="77"/>
      <c r="CU42" s="94"/>
      <c r="CV42" s="95"/>
      <c r="CX42" s="17" t="str">
        <f t="shared" si="17"/>
        <v/>
      </c>
      <c r="CY42" s="85">
        <f t="shared" si="9"/>
        <v>38</v>
      </c>
      <c r="CZ42" s="93"/>
      <c r="DA42" s="91"/>
      <c r="DB42" s="92"/>
      <c r="DC42" s="77"/>
      <c r="DD42" s="94"/>
      <c r="DE42" s="95"/>
    </row>
    <row r="43" spans="1:111" ht="45" customHeight="1">
      <c r="A43" s="135"/>
      <c r="B43" s="174" t="str">
        <f xml:space="preserve"> "    - xlit|" &amp; E41 &amp; "|" &amp; E42 &amp; "|"</f>
        <v xml:space="preserve">    - xlit|bpPmntTlgkKŋjzcshJZCSaiwueOəMNGRFQVIUY@AWHdfqrvxy&amp;LØ1732584|!1qas2wxEedNYyhncRrfv8uKj,ikmp/btgz9lM0;Oo*UJ&lt;I(L7-="5346][|</v>
      </c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35"/>
      <c r="AD43" s="135"/>
      <c r="AE43" s="151"/>
      <c r="AF43" s="176" t="str">
        <f xml:space="preserve"> "    - xlit|" &amp; AF41 &amp; "|" &amp; AF42 &amp; "|"</f>
        <v xml:space="preserve">    - xlit|bpPmntTlgkKŋjzcshJZCSaiwueOəMNGRFQVIUY@AWHdfqrvxy|!1qas2wxEedNYyhncRrfv8uKj,ikmp/btgz9lM0;Oo*UJ&lt;I(L|</v>
      </c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35"/>
      <c r="BD43" s="135"/>
      <c r="BE43" s="176" t="str">
        <f xml:space="preserve"> "    - xlit|" &amp; BE41 &amp; "|" &amp; BE42 &amp; "|"</f>
        <v xml:space="preserve">    - xlit|1732584|"5346][|</v>
      </c>
      <c r="BF43" s="177"/>
      <c r="BG43" s="177"/>
      <c r="BH43" s="177"/>
      <c r="BI43" s="177"/>
      <c r="BJ43" s="177"/>
      <c r="BK43" s="177"/>
      <c r="BL43" s="163"/>
      <c r="BN43" s="85">
        <f t="shared" si="4"/>
        <v>39</v>
      </c>
      <c r="BO43" s="253" t="str">
        <v>an</v>
      </c>
      <c r="BP43" s="86" t="str">
        <v>@</v>
      </c>
      <c r="BQ43" s="76" t="str">
        <v>0</v>
      </c>
      <c r="BR43" s="77" t="str">
        <v>ㄢ</v>
      </c>
      <c r="BS43" s="87" t="s">
        <v>283</v>
      </c>
      <c r="BT43" s="88">
        <f t="shared" si="18"/>
        <v>2</v>
      </c>
      <c r="BV43" s="89" t="str">
        <f t="shared" si="16"/>
        <v xml:space="preserve">    "0": { commit: "ㄢ" }  # /an/ ==&gt; @</v>
      </c>
      <c r="BW43" s="90"/>
      <c r="BX43" s="85">
        <f t="shared" si="6"/>
        <v>39</v>
      </c>
      <c r="BY43" s="93"/>
      <c r="BZ43" s="91"/>
      <c r="CA43" s="92"/>
      <c r="CB43" s="77"/>
      <c r="CC43" s="94"/>
      <c r="CD43" s="95"/>
      <c r="CG43" s="85">
        <f t="shared" si="7"/>
        <v>39</v>
      </c>
      <c r="CH43" s="93"/>
      <c r="CI43" s="91"/>
      <c r="CJ43" s="92"/>
      <c r="CK43" s="77"/>
      <c r="CL43" s="94"/>
      <c r="CM43" s="95"/>
      <c r="CP43" s="85">
        <f t="shared" si="8"/>
        <v>39</v>
      </c>
      <c r="CQ43" s="93"/>
      <c r="CR43" s="91"/>
      <c r="CS43" s="92"/>
      <c r="CT43" s="77"/>
      <c r="CU43" s="94"/>
      <c r="CV43" s="95"/>
      <c r="CX43" s="17" t="str">
        <f t="shared" si="17"/>
        <v/>
      </c>
      <c r="CY43" s="85">
        <f t="shared" si="9"/>
        <v>39</v>
      </c>
      <c r="CZ43" s="93"/>
      <c r="DA43" s="91"/>
      <c r="DB43" s="92"/>
      <c r="DC43" s="77"/>
      <c r="DD43" s="94"/>
      <c r="DE43" s="95"/>
    </row>
    <row r="44" spans="1:111" ht="45" customHeight="1">
      <c r="A44" s="61"/>
      <c r="BC44" s="151"/>
      <c r="BD44" s="151"/>
      <c r="BE44" s="151"/>
      <c r="BF44" s="151"/>
      <c r="BG44" s="151"/>
      <c r="BH44" s="151"/>
      <c r="BI44" s="151"/>
      <c r="BJ44" s="163"/>
      <c r="BK44" s="163"/>
      <c r="BL44" s="163"/>
      <c r="BN44" s="85">
        <f t="shared" si="4"/>
        <v>40</v>
      </c>
      <c r="BO44" s="253" t="str">
        <v>ang</v>
      </c>
      <c r="BP44" s="86" t="str">
        <v>A</v>
      </c>
      <c r="BQ44" s="76" t="str">
        <v>;</v>
      </c>
      <c r="BR44" s="77" t="str">
        <v>ㄤ</v>
      </c>
      <c r="BS44" s="87" t="s">
        <v>283</v>
      </c>
      <c r="BT44" s="88">
        <f t="shared" si="18"/>
        <v>3</v>
      </c>
      <c r="BV44" s="89" t="str">
        <f t="shared" si="16"/>
        <v xml:space="preserve">    ";": { commit: "ㄤ" }  # /ang/ ==&gt; A</v>
      </c>
      <c r="BW44" s="90"/>
      <c r="BX44" s="85">
        <f t="shared" si="6"/>
        <v>40</v>
      </c>
      <c r="BY44" s="93"/>
      <c r="BZ44" s="91"/>
      <c r="CA44" s="92"/>
      <c r="CB44" s="77"/>
      <c r="CC44" s="94"/>
      <c r="CD44" s="95"/>
      <c r="CG44" s="85">
        <f t="shared" si="7"/>
        <v>40</v>
      </c>
      <c r="CH44" s="93"/>
      <c r="CI44" s="91"/>
      <c r="CJ44" s="92"/>
      <c r="CK44" s="77"/>
      <c r="CL44" s="94"/>
      <c r="CM44" s="95"/>
      <c r="CP44" s="85">
        <f t="shared" si="8"/>
        <v>40</v>
      </c>
      <c r="CQ44" s="93"/>
      <c r="CR44" s="91"/>
      <c r="CS44" s="92"/>
      <c r="CT44" s="77"/>
      <c r="CU44" s="94"/>
      <c r="CV44" s="95"/>
      <c r="CX44" s="17" t="str">
        <f t="shared" si="17"/>
        <v/>
      </c>
      <c r="CY44" s="85">
        <f t="shared" si="9"/>
        <v>40</v>
      </c>
      <c r="CZ44" s="93"/>
      <c r="DA44" s="91"/>
      <c r="DB44" s="92"/>
      <c r="DC44" s="77"/>
      <c r="DD44" s="94"/>
      <c r="DE44" s="95"/>
    </row>
    <row r="45" spans="1:111" ht="45" customHeight="1">
      <c r="BL45" s="163"/>
      <c r="BN45" s="85">
        <f t="shared" si="4"/>
        <v>41</v>
      </c>
      <c r="BO45" s="253" t="str">
        <v>om</v>
      </c>
      <c r="BP45" s="86" t="str">
        <v>W</v>
      </c>
      <c r="BQ45" s="76" t="str">
        <v>O</v>
      </c>
      <c r="BR45" s="77" t="str">
        <v>ㆱ</v>
      </c>
      <c r="BS45" s="87" t="s">
        <v>283</v>
      </c>
      <c r="BT45" s="88">
        <f t="shared" si="18"/>
        <v>2</v>
      </c>
      <c r="BV45" s="89" t="str">
        <f t="shared" si="16"/>
        <v xml:space="preserve">    "O": { commit: "ㆱ" }  # /om/ ==&gt; W</v>
      </c>
      <c r="BW45" s="90"/>
      <c r="BX45" s="85">
        <f t="shared" si="6"/>
        <v>41</v>
      </c>
      <c r="BY45" s="93"/>
      <c r="BZ45" s="91"/>
      <c r="CA45" s="92"/>
      <c r="CB45" s="77"/>
      <c r="CC45" s="94"/>
      <c r="CD45" s="95"/>
      <c r="CG45" s="85">
        <f t="shared" si="7"/>
        <v>41</v>
      </c>
      <c r="CH45" s="93"/>
      <c r="CI45" s="91"/>
      <c r="CJ45" s="92"/>
      <c r="CK45" s="77"/>
      <c r="CL45" s="94"/>
      <c r="CM45" s="95"/>
      <c r="CP45" s="85">
        <f t="shared" si="8"/>
        <v>41</v>
      </c>
      <c r="CQ45" s="93"/>
      <c r="CR45" s="91"/>
      <c r="CS45" s="92"/>
      <c r="CT45" s="77"/>
      <c r="CU45" s="94"/>
      <c r="CV45" s="95"/>
      <c r="CX45" s="17" t="str">
        <f t="shared" si="17"/>
        <v/>
      </c>
      <c r="CY45" s="85">
        <f t="shared" si="9"/>
        <v>41</v>
      </c>
      <c r="CZ45" s="93"/>
      <c r="DA45" s="91"/>
      <c r="DB45" s="92"/>
      <c r="DC45" s="77"/>
      <c r="DD45" s="94"/>
      <c r="DE45" s="95"/>
    </row>
    <row r="46" spans="1:111" ht="45" customHeight="1">
      <c r="B46" s="178">
        <v>1</v>
      </c>
      <c r="C46" s="178">
        <v>2</v>
      </c>
      <c r="D46" s="178">
        <v>3</v>
      </c>
      <c r="E46" s="178">
        <v>4</v>
      </c>
      <c r="F46" s="178">
        <v>5</v>
      </c>
      <c r="G46" s="178">
        <v>6</v>
      </c>
      <c r="H46" s="178">
        <v>7</v>
      </c>
      <c r="I46" s="178">
        <v>8</v>
      </c>
      <c r="J46" s="178">
        <v>9</v>
      </c>
      <c r="K46" s="178">
        <v>10</v>
      </c>
      <c r="L46" s="178">
        <v>11</v>
      </c>
      <c r="M46" s="178">
        <v>12</v>
      </c>
      <c r="N46" s="178">
        <v>13</v>
      </c>
      <c r="O46" s="178">
        <v>14</v>
      </c>
      <c r="P46" s="178">
        <v>15</v>
      </c>
      <c r="Q46" s="178">
        <v>16</v>
      </c>
      <c r="R46" s="178">
        <v>17</v>
      </c>
      <c r="S46" s="179">
        <v>18</v>
      </c>
      <c r="T46" s="178">
        <v>19</v>
      </c>
      <c r="U46" s="178">
        <v>20</v>
      </c>
      <c r="V46" s="178">
        <v>21</v>
      </c>
      <c r="W46" s="178">
        <v>22</v>
      </c>
      <c r="X46" s="178">
        <v>23</v>
      </c>
      <c r="Y46" s="178">
        <v>24</v>
      </c>
      <c r="Z46" s="178">
        <v>25</v>
      </c>
      <c r="AA46" s="178">
        <v>26</v>
      </c>
      <c r="AB46" s="178">
        <v>27</v>
      </c>
      <c r="AC46" s="178">
        <v>28</v>
      </c>
      <c r="AD46" s="178">
        <v>29</v>
      </c>
      <c r="AE46" s="178">
        <v>30</v>
      </c>
      <c r="AF46" s="178">
        <v>31</v>
      </c>
      <c r="AG46" s="178">
        <v>32</v>
      </c>
      <c r="AH46" s="180">
        <v>33</v>
      </c>
      <c r="AI46" s="180">
        <v>34</v>
      </c>
      <c r="AJ46" s="180">
        <v>35</v>
      </c>
      <c r="AK46" s="180">
        <v>36</v>
      </c>
      <c r="AL46" s="181">
        <v>37</v>
      </c>
      <c r="AM46" s="180">
        <v>38</v>
      </c>
      <c r="AN46" s="180">
        <v>39</v>
      </c>
      <c r="AO46" s="180">
        <v>40</v>
      </c>
      <c r="AP46" s="180">
        <v>41</v>
      </c>
      <c r="AQ46" s="180">
        <v>42</v>
      </c>
      <c r="AR46" s="180">
        <v>43</v>
      </c>
      <c r="AS46" s="180">
        <v>44</v>
      </c>
      <c r="AT46" s="180">
        <v>45</v>
      </c>
      <c r="AU46" s="180">
        <v>46</v>
      </c>
      <c r="AV46" s="180">
        <v>47</v>
      </c>
      <c r="AW46" s="180">
        <v>48</v>
      </c>
      <c r="AX46" s="180">
        <v>49</v>
      </c>
      <c r="AY46" s="180">
        <v>50</v>
      </c>
      <c r="AZ46" s="180">
        <v>51</v>
      </c>
      <c r="BA46" s="180">
        <v>52</v>
      </c>
      <c r="BB46" s="180">
        <v>53</v>
      </c>
      <c r="BC46" s="180">
        <v>54</v>
      </c>
      <c r="BD46" s="180">
        <v>55</v>
      </c>
      <c r="BE46" s="180">
        <v>56</v>
      </c>
      <c r="BF46" s="180">
        <v>57</v>
      </c>
      <c r="BG46" s="180">
        <v>58</v>
      </c>
      <c r="BH46" s="180">
        <v>59</v>
      </c>
      <c r="BI46" s="180">
        <v>60</v>
      </c>
      <c r="BJ46" s="163"/>
      <c r="BK46" s="163"/>
      <c r="BL46" s="163"/>
      <c r="BN46" s="85">
        <f t="shared" si="4"/>
        <v>42</v>
      </c>
      <c r="BO46" s="253" t="str">
        <v>ong</v>
      </c>
      <c r="BP46" s="86" t="str">
        <v>H</v>
      </c>
      <c r="BQ46" s="76" t="str">
        <v>o</v>
      </c>
      <c r="BR46" s="77" t="str">
        <v>ㆲ</v>
      </c>
      <c r="BS46" s="87" t="s">
        <v>283</v>
      </c>
      <c r="BT46" s="88">
        <f t="shared" si="18"/>
        <v>3</v>
      </c>
      <c r="BV46" s="89" t="str">
        <f t="shared" si="16"/>
        <v xml:space="preserve">    "o": { commit: "ㆲ" }  # /ong/ ==&gt; H</v>
      </c>
      <c r="BW46" s="90"/>
      <c r="BX46" s="85">
        <f t="shared" si="6"/>
        <v>42</v>
      </c>
      <c r="BY46" s="93"/>
      <c r="BZ46" s="91"/>
      <c r="CA46" s="92"/>
      <c r="CB46" s="77"/>
      <c r="CC46" s="94"/>
      <c r="CD46" s="95"/>
      <c r="CG46" s="85">
        <f t="shared" si="7"/>
        <v>42</v>
      </c>
      <c r="CH46" s="93"/>
      <c r="CI46" s="91"/>
      <c r="CJ46" s="92"/>
      <c r="CK46" s="77"/>
      <c r="CL46" s="94"/>
      <c r="CM46" s="95"/>
      <c r="CP46" s="85">
        <f t="shared" si="8"/>
        <v>42</v>
      </c>
      <c r="CQ46" s="93"/>
      <c r="CR46" s="91"/>
      <c r="CS46" s="92"/>
      <c r="CT46" s="77"/>
      <c r="CU46" s="94"/>
      <c r="CV46" s="95"/>
      <c r="CX46" s="17" t="str">
        <f t="shared" si="17"/>
        <v/>
      </c>
      <c r="CY46" s="85">
        <f t="shared" si="9"/>
        <v>42</v>
      </c>
      <c r="CZ46" s="93"/>
      <c r="DA46" s="91"/>
      <c r="DB46" s="92"/>
      <c r="DC46" s="77"/>
      <c r="DD46" s="94"/>
      <c r="DE46" s="95"/>
    </row>
    <row r="47" spans="1:111" ht="45" customHeight="1">
      <c r="B47" s="182" t="str">
        <f xml:space="preserve"> MID($E$41, B$46, 1)</f>
        <v>b</v>
      </c>
      <c r="C47" s="182" t="str">
        <f t="shared" ref="C47:BI47" si="19" xml:space="preserve"> MID($E$41, C$46, 1)</f>
        <v>p</v>
      </c>
      <c r="D47" s="182" t="str">
        <f t="shared" si="19"/>
        <v>P</v>
      </c>
      <c r="E47" s="182" t="str">
        <f t="shared" si="19"/>
        <v>m</v>
      </c>
      <c r="F47" s="182" t="str">
        <f t="shared" si="19"/>
        <v>n</v>
      </c>
      <c r="G47" s="182" t="str">
        <f t="shared" si="19"/>
        <v>t</v>
      </c>
      <c r="H47" s="182" t="str">
        <f t="shared" si="19"/>
        <v>T</v>
      </c>
      <c r="I47" s="182" t="str">
        <f t="shared" si="19"/>
        <v>l</v>
      </c>
      <c r="J47" s="182" t="str">
        <f t="shared" si="19"/>
        <v>g</v>
      </c>
      <c r="K47" s="182" t="str">
        <f t="shared" si="19"/>
        <v>k</v>
      </c>
      <c r="L47" s="182" t="str">
        <f t="shared" si="19"/>
        <v>K</v>
      </c>
      <c r="M47" s="182" t="str">
        <f t="shared" si="19"/>
        <v>ŋ</v>
      </c>
      <c r="N47" s="182" t="str">
        <f t="shared" si="19"/>
        <v>j</v>
      </c>
      <c r="O47" s="182" t="str">
        <f t="shared" si="19"/>
        <v>z</v>
      </c>
      <c r="P47" s="182" t="str">
        <f t="shared" si="19"/>
        <v>c</v>
      </c>
      <c r="Q47" s="182" t="str">
        <f t="shared" si="19"/>
        <v>s</v>
      </c>
      <c r="R47" s="182" t="str">
        <f t="shared" si="19"/>
        <v>h</v>
      </c>
      <c r="S47" s="182" t="str">
        <f t="shared" si="19"/>
        <v>J</v>
      </c>
      <c r="T47" s="182" t="str">
        <f t="shared" si="19"/>
        <v>Z</v>
      </c>
      <c r="U47" s="182" t="str">
        <f t="shared" si="19"/>
        <v>C</v>
      </c>
      <c r="V47" s="182" t="str">
        <f t="shared" si="19"/>
        <v>S</v>
      </c>
      <c r="W47" s="182" t="str">
        <f t="shared" si="19"/>
        <v>a</v>
      </c>
      <c r="X47" s="182" t="str">
        <f t="shared" si="19"/>
        <v>i</v>
      </c>
      <c r="Y47" s="182" t="str">
        <f t="shared" si="19"/>
        <v>w</v>
      </c>
      <c r="Z47" s="182" t="str">
        <f t="shared" si="19"/>
        <v>u</v>
      </c>
      <c r="AA47" s="182" t="str">
        <f t="shared" si="19"/>
        <v>e</v>
      </c>
      <c r="AB47" s="182" t="str">
        <f t="shared" si="19"/>
        <v>O</v>
      </c>
      <c r="AC47" s="182" t="str">
        <f t="shared" si="19"/>
        <v>ə</v>
      </c>
      <c r="AD47" s="182" t="str">
        <f t="shared" si="19"/>
        <v>M</v>
      </c>
      <c r="AE47" s="182" t="str">
        <f t="shared" si="19"/>
        <v>N</v>
      </c>
      <c r="AF47" s="182" t="str">
        <f t="shared" si="19"/>
        <v>G</v>
      </c>
      <c r="AG47" s="182" t="str">
        <f t="shared" si="19"/>
        <v>R</v>
      </c>
      <c r="AH47" s="182" t="str">
        <f t="shared" si="19"/>
        <v>F</v>
      </c>
      <c r="AI47" s="182" t="str">
        <f t="shared" si="19"/>
        <v>Q</v>
      </c>
      <c r="AJ47" s="182" t="str">
        <f t="shared" si="19"/>
        <v>V</v>
      </c>
      <c r="AK47" s="182" t="str">
        <f t="shared" si="19"/>
        <v>I</v>
      </c>
      <c r="AL47" s="182" t="str">
        <f t="shared" si="19"/>
        <v>U</v>
      </c>
      <c r="AM47" s="182" t="str">
        <f t="shared" si="19"/>
        <v>Y</v>
      </c>
      <c r="AN47" s="182" t="str">
        <f t="shared" si="19"/>
        <v>@</v>
      </c>
      <c r="AO47" s="182" t="str">
        <f t="shared" si="19"/>
        <v>A</v>
      </c>
      <c r="AP47" s="182" t="str">
        <f t="shared" si="19"/>
        <v>W</v>
      </c>
      <c r="AQ47" s="182" t="str">
        <f t="shared" si="19"/>
        <v>H</v>
      </c>
      <c r="AR47" s="182" t="str">
        <f t="shared" si="19"/>
        <v>d</v>
      </c>
      <c r="AS47" s="182" t="str">
        <f t="shared" si="19"/>
        <v>f</v>
      </c>
      <c r="AT47" s="182" t="str">
        <f t="shared" si="19"/>
        <v>q</v>
      </c>
      <c r="AU47" s="182" t="str">
        <f t="shared" si="19"/>
        <v>r</v>
      </c>
      <c r="AV47" s="182" t="str">
        <f t="shared" si="19"/>
        <v>v</v>
      </c>
      <c r="AW47" s="182" t="str">
        <f t="shared" si="19"/>
        <v>x</v>
      </c>
      <c r="AX47" s="182" t="str">
        <f t="shared" si="19"/>
        <v>y</v>
      </c>
      <c r="AY47" s="182" t="str">
        <f t="shared" si="19"/>
        <v>&amp;</v>
      </c>
      <c r="AZ47" s="182" t="str">
        <f t="shared" si="19"/>
        <v>L</v>
      </c>
      <c r="BA47" s="182" t="str">
        <f t="shared" si="19"/>
        <v>Ø</v>
      </c>
      <c r="BB47" s="182" t="str">
        <f t="shared" si="19"/>
        <v>1</v>
      </c>
      <c r="BC47" s="182" t="str">
        <f t="shared" si="19"/>
        <v>7</v>
      </c>
      <c r="BD47" s="182" t="str">
        <f t="shared" si="19"/>
        <v>3</v>
      </c>
      <c r="BE47" s="182" t="str">
        <f t="shared" si="19"/>
        <v>2</v>
      </c>
      <c r="BF47" s="182" t="str">
        <f t="shared" si="19"/>
        <v>5</v>
      </c>
      <c r="BG47" s="182" t="str">
        <f t="shared" si="19"/>
        <v>8</v>
      </c>
      <c r="BH47" s="182" t="str">
        <f t="shared" si="19"/>
        <v>4</v>
      </c>
      <c r="BI47" s="182" t="str">
        <f t="shared" si="19"/>
        <v/>
      </c>
      <c r="BJ47" s="163"/>
      <c r="BK47" s="163"/>
      <c r="BL47" s="163"/>
      <c r="BN47" s="85">
        <f t="shared" si="4"/>
        <v>43</v>
      </c>
      <c r="BO47" s="253" t="str">
        <v>aⁿ</v>
      </c>
      <c r="BP47" s="86" t="str">
        <v>d</v>
      </c>
      <c r="BQ47" s="76" t="str">
        <v>*</v>
      </c>
      <c r="BR47" s="77" t="str">
        <v>ㆩ</v>
      </c>
      <c r="BS47" s="87" t="s">
        <v>283</v>
      </c>
      <c r="BT47" s="88">
        <f t="shared" si="18"/>
        <v>2</v>
      </c>
      <c r="BV47" s="89" t="str">
        <f t="shared" si="16"/>
        <v xml:space="preserve">    "*": { commit: "ㆩ" }  # /aⁿ/ ==&gt; d</v>
      </c>
      <c r="BX47" s="85">
        <f t="shared" si="6"/>
        <v>43</v>
      </c>
      <c r="BY47" s="93"/>
      <c r="BZ47" s="91"/>
      <c r="CA47" s="92"/>
      <c r="CB47" s="77"/>
      <c r="CC47" s="94"/>
      <c r="CD47" s="95"/>
      <c r="CG47" s="85">
        <f t="shared" si="7"/>
        <v>43</v>
      </c>
      <c r="CH47" s="93"/>
      <c r="CI47" s="91"/>
      <c r="CJ47" s="92"/>
      <c r="CK47" s="77"/>
      <c r="CL47" s="94"/>
      <c r="CM47" s="95"/>
      <c r="CP47" s="85">
        <f t="shared" si="8"/>
        <v>43</v>
      </c>
      <c r="CQ47" s="93"/>
      <c r="CR47" s="91"/>
      <c r="CS47" s="92"/>
      <c r="CT47" s="77"/>
      <c r="CU47" s="94"/>
      <c r="CV47" s="95"/>
      <c r="CX47" s="17" t="str">
        <f t="shared" si="17"/>
        <v/>
      </c>
      <c r="CY47" s="85">
        <f t="shared" si="9"/>
        <v>43</v>
      </c>
      <c r="CZ47" s="93"/>
      <c r="DA47" s="91"/>
      <c r="DB47" s="92"/>
      <c r="DC47" s="77"/>
      <c r="DD47" s="94"/>
      <c r="DE47" s="95"/>
    </row>
    <row r="48" spans="1:111" ht="45" customHeight="1">
      <c r="B48" s="183" t="str">
        <f xml:space="preserve"> MID($E$42, B$46, 1)</f>
        <v>!</v>
      </c>
      <c r="C48" s="183" t="str">
        <f t="shared" ref="C48:BI48" si="20" xml:space="preserve"> MID($E$42, C$46, 1)</f>
        <v>1</v>
      </c>
      <c r="D48" s="183" t="str">
        <f t="shared" si="20"/>
        <v>q</v>
      </c>
      <c r="E48" s="183" t="str">
        <f t="shared" si="20"/>
        <v>a</v>
      </c>
      <c r="F48" s="183" t="str">
        <f t="shared" si="20"/>
        <v>s</v>
      </c>
      <c r="G48" s="183" t="str">
        <f t="shared" si="20"/>
        <v>2</v>
      </c>
      <c r="H48" s="183" t="str">
        <f t="shared" si="20"/>
        <v>w</v>
      </c>
      <c r="I48" s="183" t="str">
        <f t="shared" si="20"/>
        <v>x</v>
      </c>
      <c r="J48" s="183" t="str">
        <f t="shared" si="20"/>
        <v>E</v>
      </c>
      <c r="K48" s="183" t="str">
        <f t="shared" si="20"/>
        <v>e</v>
      </c>
      <c r="L48" s="183" t="str">
        <f t="shared" si="20"/>
        <v>d</v>
      </c>
      <c r="M48" s="183" t="str">
        <f t="shared" si="20"/>
        <v>N</v>
      </c>
      <c r="N48" s="183" t="str">
        <f t="shared" si="20"/>
        <v>Y</v>
      </c>
      <c r="O48" s="183" t="str">
        <f t="shared" si="20"/>
        <v>y</v>
      </c>
      <c r="P48" s="183" t="str">
        <f t="shared" si="20"/>
        <v>h</v>
      </c>
      <c r="Q48" s="183" t="str">
        <f t="shared" si="20"/>
        <v>n</v>
      </c>
      <c r="R48" s="183" t="str">
        <f t="shared" si="20"/>
        <v>c</v>
      </c>
      <c r="S48" s="183" t="str">
        <f t="shared" si="20"/>
        <v>R</v>
      </c>
      <c r="T48" s="183" t="str">
        <f t="shared" si="20"/>
        <v>r</v>
      </c>
      <c r="U48" s="183" t="str">
        <f t="shared" si="20"/>
        <v>f</v>
      </c>
      <c r="V48" s="183" t="str">
        <f t="shared" si="20"/>
        <v>v</v>
      </c>
      <c r="W48" s="183" t="str">
        <f t="shared" si="20"/>
        <v>8</v>
      </c>
      <c r="X48" s="183" t="str">
        <f t="shared" si="20"/>
        <v>u</v>
      </c>
      <c r="Y48" s="183" t="str">
        <f t="shared" si="20"/>
        <v>K</v>
      </c>
      <c r="Z48" s="183" t="str">
        <f t="shared" si="20"/>
        <v>j</v>
      </c>
      <c r="AA48" s="183" t="str">
        <f t="shared" si="20"/>
        <v>,</v>
      </c>
      <c r="AB48" s="183" t="str">
        <f t="shared" si="20"/>
        <v>i</v>
      </c>
      <c r="AC48" s="183" t="str">
        <f t="shared" si="20"/>
        <v>k</v>
      </c>
      <c r="AD48" s="183" t="str">
        <f t="shared" si="20"/>
        <v>m</v>
      </c>
      <c r="AE48" s="183" t="str">
        <f t="shared" si="20"/>
        <v>p</v>
      </c>
      <c r="AF48" s="183" t="str">
        <f t="shared" si="20"/>
        <v>/</v>
      </c>
      <c r="AG48" s="183" t="str">
        <f t="shared" si="20"/>
        <v>b</v>
      </c>
      <c r="AH48" s="183" t="str">
        <f t="shared" si="20"/>
        <v>t</v>
      </c>
      <c r="AI48" s="183" t="str">
        <f t="shared" si="20"/>
        <v>g</v>
      </c>
      <c r="AJ48" s="183" t="str">
        <f t="shared" si="20"/>
        <v>z</v>
      </c>
      <c r="AK48" s="183" t="str">
        <f t="shared" si="20"/>
        <v>9</v>
      </c>
      <c r="AL48" s="183" t="str">
        <f t="shared" si="20"/>
        <v>l</v>
      </c>
      <c r="AM48" s="183" t="str">
        <f t="shared" si="20"/>
        <v>M</v>
      </c>
      <c r="AN48" s="183" t="str">
        <f t="shared" si="20"/>
        <v>0</v>
      </c>
      <c r="AO48" s="183" t="str">
        <f t="shared" si="20"/>
        <v>;</v>
      </c>
      <c r="AP48" s="183" t="str">
        <f t="shared" si="20"/>
        <v>O</v>
      </c>
      <c r="AQ48" s="183" t="str">
        <f t="shared" si="20"/>
        <v>o</v>
      </c>
      <c r="AR48" s="183" t="str">
        <f t="shared" si="20"/>
        <v>*</v>
      </c>
      <c r="AS48" s="183" t="str">
        <f t="shared" si="20"/>
        <v>U</v>
      </c>
      <c r="AT48" s="183" t="str">
        <f t="shared" si="20"/>
        <v>J</v>
      </c>
      <c r="AU48" s="183" t="str">
        <f t="shared" si="20"/>
        <v>&lt;</v>
      </c>
      <c r="AV48" s="183" t="str">
        <f t="shared" si="20"/>
        <v>I</v>
      </c>
      <c r="AW48" s="183" t="str">
        <f t="shared" si="20"/>
        <v>(</v>
      </c>
      <c r="AX48" s="183" t="str">
        <f t="shared" si="20"/>
        <v>L</v>
      </c>
      <c r="AY48" s="183" t="str">
        <f t="shared" si="20"/>
        <v>7</v>
      </c>
      <c r="AZ48" s="183" t="str">
        <f t="shared" si="20"/>
        <v>-</v>
      </c>
      <c r="BA48" s="183" t="str">
        <f t="shared" si="20"/>
        <v>=</v>
      </c>
      <c r="BB48" s="183" t="str">
        <f t="shared" si="20"/>
        <v>"</v>
      </c>
      <c r="BC48" s="183" t="str">
        <f t="shared" si="20"/>
        <v>5</v>
      </c>
      <c r="BD48" s="183" t="str">
        <f t="shared" si="20"/>
        <v>3</v>
      </c>
      <c r="BE48" s="183" t="str">
        <f t="shared" si="20"/>
        <v>4</v>
      </c>
      <c r="BF48" s="183" t="str">
        <f t="shared" si="20"/>
        <v>6</v>
      </c>
      <c r="BG48" s="183" t="str">
        <f t="shared" si="20"/>
        <v>]</v>
      </c>
      <c r="BH48" s="183" t="str">
        <f t="shared" si="20"/>
        <v>[</v>
      </c>
      <c r="BI48" s="183" t="str">
        <f t="shared" si="20"/>
        <v/>
      </c>
      <c r="BJ48" s="163"/>
      <c r="BK48" s="163"/>
      <c r="BL48" s="163"/>
      <c r="BN48" s="85">
        <f t="shared" si="4"/>
        <v>44</v>
      </c>
      <c r="BO48" s="253" t="str">
        <v>iⁿ</v>
      </c>
      <c r="BP48" s="86" t="str">
        <v>f</v>
      </c>
      <c r="BQ48" s="76" t="str">
        <v>U</v>
      </c>
      <c r="BR48" s="77" t="str">
        <v>ㆪ</v>
      </c>
      <c r="BS48" s="87" t="s">
        <v>283</v>
      </c>
      <c r="BT48" s="88">
        <f t="shared" si="18"/>
        <v>2</v>
      </c>
      <c r="BV48" s="89" t="str">
        <f t="shared" si="16"/>
        <v xml:space="preserve">    "U": { commit: "ㆪ" }  # /iⁿ/ ==&gt; f</v>
      </c>
      <c r="BX48" s="85">
        <f t="shared" si="6"/>
        <v>44</v>
      </c>
      <c r="BY48" s="93"/>
      <c r="BZ48" s="91"/>
      <c r="CA48" s="92"/>
      <c r="CB48" s="77"/>
      <c r="CC48" s="94"/>
      <c r="CD48" s="95"/>
      <c r="CG48" s="85">
        <f t="shared" si="7"/>
        <v>44</v>
      </c>
      <c r="CH48" s="93"/>
      <c r="CI48" s="91"/>
      <c r="CJ48" s="92"/>
      <c r="CK48" s="77"/>
      <c r="CL48" s="94"/>
      <c r="CM48" s="95"/>
      <c r="CP48" s="85">
        <f t="shared" si="8"/>
        <v>44</v>
      </c>
      <c r="CQ48" s="93"/>
      <c r="CR48" s="91"/>
      <c r="CS48" s="92"/>
      <c r="CT48" s="77"/>
      <c r="CU48" s="94"/>
      <c r="CV48" s="95"/>
      <c r="CX48" s="17" t="str">
        <f t="shared" si="17"/>
        <v/>
      </c>
      <c r="CY48" s="85">
        <f t="shared" si="9"/>
        <v>44</v>
      </c>
      <c r="CZ48" s="93"/>
      <c r="DA48" s="91"/>
      <c r="DB48" s="92"/>
      <c r="DC48" s="77"/>
      <c r="DD48" s="94"/>
      <c r="DE48" s="95"/>
    </row>
    <row r="49" spans="1:109" ht="45" customHeight="1">
      <c r="BC49" s="151"/>
      <c r="BD49" s="151"/>
      <c r="BE49" s="151"/>
      <c r="BF49" s="151"/>
      <c r="BG49" s="151"/>
      <c r="BH49" s="151"/>
      <c r="BI49" s="151"/>
      <c r="BJ49" s="163"/>
      <c r="BK49" s="163"/>
      <c r="BL49" s="163"/>
      <c r="BN49" s="85">
        <f t="shared" si="4"/>
        <v>45</v>
      </c>
      <c r="BO49" s="253" t="str">
        <v>uⁿ</v>
      </c>
      <c r="BP49" s="86" t="str">
        <v>q</v>
      </c>
      <c r="BQ49" s="76" t="str">
        <v>J</v>
      </c>
      <c r="BR49" s="77" t="str">
        <v>ㆫ</v>
      </c>
      <c r="BS49" s="87" t="s">
        <v>283</v>
      </c>
      <c r="BT49" s="88">
        <f t="shared" si="18"/>
        <v>2</v>
      </c>
      <c r="BV49" s="89" t="str">
        <f t="shared" si="16"/>
        <v xml:space="preserve">    "J": { commit: "ㆫ" }  # /uⁿ/ ==&gt; q</v>
      </c>
      <c r="BX49" s="85">
        <f t="shared" si="6"/>
        <v>45</v>
      </c>
      <c r="BY49" s="93"/>
      <c r="BZ49" s="91"/>
      <c r="CA49" s="92"/>
      <c r="CB49" s="77"/>
      <c r="CC49" s="94"/>
      <c r="CD49" s="95"/>
      <c r="CG49" s="85">
        <f t="shared" si="7"/>
        <v>45</v>
      </c>
      <c r="CH49" s="93"/>
      <c r="CI49" s="91"/>
      <c r="CJ49" s="92"/>
      <c r="CK49" s="77"/>
      <c r="CL49" s="94"/>
      <c r="CM49" s="95"/>
      <c r="CP49" s="85">
        <f t="shared" si="8"/>
        <v>45</v>
      </c>
      <c r="CQ49" s="93"/>
      <c r="CR49" s="91"/>
      <c r="CS49" s="92"/>
      <c r="CT49" s="77"/>
      <c r="CU49" s="94"/>
      <c r="CV49" s="95"/>
      <c r="CX49" s="17" t="str">
        <f t="shared" si="17"/>
        <v/>
      </c>
      <c r="CY49" s="85">
        <f t="shared" si="9"/>
        <v>45</v>
      </c>
      <c r="CZ49" s="93"/>
      <c r="DA49" s="91"/>
      <c r="DB49" s="92"/>
      <c r="DC49" s="77"/>
      <c r="DD49" s="94"/>
      <c r="DE49" s="95"/>
    </row>
    <row r="50" spans="1:109" ht="45" customHeight="1"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63"/>
      <c r="BK50" s="163"/>
      <c r="BL50" s="163"/>
      <c r="BN50" s="85">
        <f t="shared" si="4"/>
        <v>46</v>
      </c>
      <c r="BO50" s="253" t="str">
        <v>eⁿ</v>
      </c>
      <c r="BP50" s="86" t="str">
        <v>r</v>
      </c>
      <c r="BQ50" s="76" t="str">
        <v>&lt;</v>
      </c>
      <c r="BR50" s="77" t="str">
        <v>ㆥ</v>
      </c>
      <c r="BS50" s="87" t="s">
        <v>283</v>
      </c>
      <c r="BT50" s="88">
        <f t="shared" si="18"/>
        <v>2</v>
      </c>
      <c r="BV50" s="89" t="str">
        <f t="shared" si="16"/>
        <v xml:space="preserve">    "&lt;": { commit: "ㆥ" }  # /eⁿ/ ==&gt; r</v>
      </c>
      <c r="BX50" s="85">
        <f t="shared" si="6"/>
        <v>46</v>
      </c>
      <c r="BY50" s="93"/>
      <c r="BZ50" s="91"/>
      <c r="CA50" s="92"/>
      <c r="CB50" s="77"/>
      <c r="CC50" s="94"/>
      <c r="CD50" s="95"/>
      <c r="CG50" s="85">
        <f t="shared" si="7"/>
        <v>46</v>
      </c>
      <c r="CH50" s="93"/>
      <c r="CI50" s="91"/>
      <c r="CJ50" s="92"/>
      <c r="CK50" s="77"/>
      <c r="CL50" s="94"/>
      <c r="CM50" s="95"/>
      <c r="CP50" s="85">
        <f t="shared" si="8"/>
        <v>46</v>
      </c>
      <c r="CQ50" s="93"/>
      <c r="CR50" s="91"/>
      <c r="CS50" s="92"/>
      <c r="CT50" s="77"/>
      <c r="CU50" s="94"/>
      <c r="CV50" s="95"/>
      <c r="CX50" s="17" t="str">
        <f t="shared" si="17"/>
        <v/>
      </c>
      <c r="CY50" s="85">
        <f t="shared" si="9"/>
        <v>46</v>
      </c>
      <c r="CZ50" s="93"/>
      <c r="DA50" s="91"/>
      <c r="DB50" s="92"/>
      <c r="DC50" s="77"/>
      <c r="DD50" s="94"/>
      <c r="DE50" s="95"/>
    </row>
    <row r="51" spans="1:109" ht="45" customHeight="1">
      <c r="A51" s="151"/>
      <c r="B51" s="184" t="s">
        <v>203</v>
      </c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51"/>
      <c r="AI51" s="151"/>
      <c r="AJ51" s="151"/>
      <c r="AK51" s="151"/>
      <c r="AL51" s="151"/>
      <c r="AM51" s="151"/>
      <c r="AN51" s="151"/>
      <c r="AO51" s="151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63"/>
      <c r="BK51" s="163"/>
      <c r="BL51" s="163"/>
      <c r="BN51" s="85">
        <f t="shared" si="4"/>
        <v>47</v>
      </c>
      <c r="BO51" s="253" t="str">
        <v>oⁿ</v>
      </c>
      <c r="BP51" s="86" t="str">
        <v>v</v>
      </c>
      <c r="BQ51" s="76" t="str">
        <v>I</v>
      </c>
      <c r="BR51" s="77" t="str">
        <v>ㆧ</v>
      </c>
      <c r="BS51" s="87" t="s">
        <v>283</v>
      </c>
      <c r="BT51" s="88">
        <f t="shared" si="18"/>
        <v>2</v>
      </c>
      <c r="BV51" s="89" t="str">
        <f t="shared" si="16"/>
        <v xml:space="preserve">    "I": { commit: "ㆧ" }  # /oⁿ/ ==&gt; v</v>
      </c>
      <c r="BX51" s="85">
        <f t="shared" si="6"/>
        <v>47</v>
      </c>
      <c r="BY51" s="93"/>
      <c r="BZ51" s="91"/>
      <c r="CA51" s="92"/>
      <c r="CB51" s="77"/>
      <c r="CC51" s="94"/>
      <c r="CD51" s="95"/>
      <c r="CG51" s="85">
        <f t="shared" si="7"/>
        <v>47</v>
      </c>
      <c r="CH51" s="93"/>
      <c r="CI51" s="91"/>
      <c r="CJ51" s="92"/>
      <c r="CK51" s="77"/>
      <c r="CL51" s="94"/>
      <c r="CM51" s="95"/>
      <c r="CP51" s="85">
        <f t="shared" si="8"/>
        <v>47</v>
      </c>
      <c r="CQ51" s="93"/>
      <c r="CR51" s="91"/>
      <c r="CS51" s="92"/>
      <c r="CT51" s="77"/>
      <c r="CU51" s="94"/>
      <c r="CV51" s="95"/>
      <c r="CX51" s="17" t="str">
        <f t="shared" si="17"/>
        <v/>
      </c>
      <c r="CY51" s="85">
        <f t="shared" si="9"/>
        <v>47</v>
      </c>
      <c r="CZ51" s="93"/>
      <c r="DA51" s="91"/>
      <c r="DB51" s="92"/>
      <c r="DC51" s="77"/>
      <c r="DD51" s="94"/>
      <c r="DE51" s="95"/>
    </row>
    <row r="52" spans="1:109" ht="45" customHeight="1">
      <c r="B52" s="149" t="s">
        <v>204</v>
      </c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50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51"/>
      <c r="AI52" s="151"/>
      <c r="AJ52" s="151"/>
      <c r="AK52" s="151"/>
      <c r="AL52" s="151"/>
      <c r="AM52" s="135"/>
      <c r="AN52" s="151"/>
      <c r="AO52" s="151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63"/>
      <c r="BK52" s="163"/>
      <c r="BL52" s="163"/>
      <c r="BN52" s="85">
        <f t="shared" si="4"/>
        <v>48</v>
      </c>
      <c r="BO52" s="253" t="str">
        <v>aiⁿ</v>
      </c>
      <c r="BP52" s="86" t="str">
        <v>x</v>
      </c>
      <c r="BQ52" s="76" t="str">
        <v>(</v>
      </c>
      <c r="BR52" s="77" t="str">
        <v>ㆮ</v>
      </c>
      <c r="BS52" s="87" t="s">
        <v>283</v>
      </c>
      <c r="BT52" s="88">
        <f t="shared" si="18"/>
        <v>3</v>
      </c>
      <c r="BV52" s="89" t="str">
        <f t="shared" si="16"/>
        <v xml:space="preserve">    "(": { commit: "ㆮ" }  # /aiⁿ/ ==&gt; x</v>
      </c>
      <c r="BX52" s="85">
        <f t="shared" si="6"/>
        <v>48</v>
      </c>
      <c r="BY52" s="93"/>
      <c r="BZ52" s="91"/>
      <c r="CA52" s="92"/>
      <c r="CB52" s="77"/>
      <c r="CC52" s="94"/>
      <c r="CD52" s="95"/>
      <c r="CG52" s="85">
        <f t="shared" si="7"/>
        <v>48</v>
      </c>
      <c r="CH52" s="93"/>
      <c r="CI52" s="91"/>
      <c r="CJ52" s="92"/>
      <c r="CK52" s="77"/>
      <c r="CL52" s="94"/>
      <c r="CM52" s="95"/>
      <c r="CP52" s="85">
        <f t="shared" si="8"/>
        <v>48</v>
      </c>
      <c r="CQ52" s="93"/>
      <c r="CR52" s="91"/>
      <c r="CS52" s="92"/>
      <c r="CT52" s="77"/>
      <c r="CU52" s="94"/>
      <c r="CV52" s="95"/>
      <c r="CX52" s="17" t="str">
        <f t="shared" si="17"/>
        <v/>
      </c>
      <c r="CY52" s="85">
        <f t="shared" si="9"/>
        <v>48</v>
      </c>
      <c r="CZ52" s="93"/>
      <c r="DA52" s="91"/>
      <c r="DB52" s="92"/>
      <c r="DC52" s="77"/>
      <c r="DD52" s="94"/>
      <c r="DE52" s="95"/>
    </row>
    <row r="53" spans="1:109" ht="45" customHeight="1">
      <c r="A53" s="185"/>
      <c r="B53" s="186" t="s">
        <v>64</v>
      </c>
      <c r="C53" s="187"/>
      <c r="D53" s="187">
        <f xml:space="preserve"> LEN(E53)</f>
        <v>59</v>
      </c>
      <c r="E53" s="188" t="str">
        <f xml:space="preserve"> _xlfn.CONCAT(D19:BK19)</f>
        <v>!1qas2wxEedNYyhncRrfv8uKj,ikmp/btgz9lM0;Oo*UJ&lt;I(L7-="5346][</v>
      </c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63"/>
      <c r="BK53" s="163"/>
      <c r="BL53" s="163"/>
      <c r="BN53" s="85">
        <f t="shared" si="4"/>
        <v>49</v>
      </c>
      <c r="BO53" s="253" t="str">
        <v>auⁿ</v>
      </c>
      <c r="BP53" s="86" t="str">
        <v>y</v>
      </c>
      <c r="BQ53" s="76" t="str">
        <v>L</v>
      </c>
      <c r="BR53" s="77" t="str">
        <v>ㆯ</v>
      </c>
      <c r="BS53" s="87" t="s">
        <v>283</v>
      </c>
      <c r="BT53" s="88">
        <f t="shared" si="18"/>
        <v>3</v>
      </c>
      <c r="BV53" s="89" t="str">
        <f t="shared" si="16"/>
        <v xml:space="preserve">    "L": { commit: "ㆯ" }  # /auⁿ/ ==&gt; y</v>
      </c>
      <c r="BX53" s="85">
        <f t="shared" si="6"/>
        <v>49</v>
      </c>
      <c r="BY53" s="93"/>
      <c r="BZ53" s="91"/>
      <c r="CA53" s="92"/>
      <c r="CB53" s="77"/>
      <c r="CC53" s="94"/>
      <c r="CD53" s="95"/>
      <c r="CG53" s="85">
        <f t="shared" si="7"/>
        <v>49</v>
      </c>
      <c r="CH53" s="93"/>
      <c r="CI53" s="91"/>
      <c r="CJ53" s="92"/>
      <c r="CK53" s="77"/>
      <c r="CL53" s="94"/>
      <c r="CM53" s="95"/>
      <c r="CP53" s="85">
        <f t="shared" si="8"/>
        <v>49</v>
      </c>
      <c r="CQ53" s="93"/>
      <c r="CR53" s="91"/>
      <c r="CS53" s="92"/>
      <c r="CT53" s="77"/>
      <c r="CU53" s="94"/>
      <c r="CV53" s="95"/>
      <c r="CX53" s="17" t="str">
        <f t="shared" si="17"/>
        <v/>
      </c>
      <c r="CY53" s="85">
        <f t="shared" si="9"/>
        <v>49</v>
      </c>
      <c r="CZ53" s="93"/>
      <c r="DA53" s="91"/>
      <c r="DB53" s="92"/>
      <c r="DC53" s="77"/>
      <c r="DD53" s="94"/>
      <c r="DE53" s="95"/>
    </row>
    <row r="54" spans="1:109" ht="45" customHeight="1">
      <c r="A54" s="185"/>
      <c r="B54" s="189" t="s">
        <v>65</v>
      </c>
      <c r="C54" s="190"/>
      <c r="D54" s="190">
        <f>LEN(E54)</f>
        <v>59</v>
      </c>
      <c r="E54" s="191" t="str">
        <f xml:space="preserve"> _xlfn.CONCAT(D20:BK20)</f>
        <v>ㆠㄅㄆㄇㄋㄉㄊㄌㆣㄍㄎㄫㆡㄗㄘㄙㄏㆢㄐㄑㄒㄚㄧㆨㄨㆤㆦㄜㆬㄣㆭㆴㆵㆻㆷㄞㄠㆰㄢㄤㆱㆲㆩㆪㆫㆥㆧㆮㆯ入ㄥØ一七三二五八四</v>
      </c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63"/>
      <c r="BK54" s="163"/>
      <c r="BL54" s="163"/>
      <c r="BN54" s="85">
        <f t="shared" si="4"/>
        <v>50</v>
      </c>
      <c r="BO54" s="253">
        <v>0</v>
      </c>
      <c r="BP54" s="86" t="str">
        <v>&amp;</v>
      </c>
      <c r="BQ54" s="76">
        <v>7</v>
      </c>
      <c r="BR54" s="77" t="str">
        <v>入</v>
      </c>
      <c r="BS54" s="87" t="s">
        <v>284</v>
      </c>
      <c r="BT54" s="88">
        <f t="shared" si="18"/>
        <v>1</v>
      </c>
      <c r="BV54" s="89" t="str">
        <f t="shared" si="16"/>
        <v xml:space="preserve">    "7": { commit: "入" }  # /0/ ==&gt; &amp;</v>
      </c>
      <c r="BX54" s="85">
        <f t="shared" si="6"/>
        <v>50</v>
      </c>
      <c r="BY54" s="93"/>
      <c r="BZ54" s="91"/>
      <c r="CA54" s="92"/>
      <c r="CB54" s="77"/>
      <c r="CC54" s="94"/>
      <c r="CD54" s="95"/>
      <c r="CG54" s="85">
        <f t="shared" si="7"/>
        <v>50</v>
      </c>
      <c r="CH54" s="93"/>
      <c r="CI54" s="91"/>
      <c r="CJ54" s="92"/>
      <c r="CK54" s="77"/>
      <c r="CL54" s="94"/>
      <c r="CM54" s="95"/>
      <c r="CP54" s="85">
        <f t="shared" si="8"/>
        <v>50</v>
      </c>
      <c r="CQ54" s="93"/>
      <c r="CR54" s="91"/>
      <c r="CS54" s="92"/>
      <c r="CT54" s="77"/>
      <c r="CU54" s="94"/>
      <c r="CV54" s="95"/>
      <c r="CX54" s="17" t="str">
        <f t="shared" si="17"/>
        <v/>
      </c>
      <c r="CY54" s="85">
        <f t="shared" si="9"/>
        <v>50</v>
      </c>
      <c r="CZ54" s="93"/>
      <c r="DA54" s="91"/>
      <c r="DB54" s="92"/>
      <c r="DC54" s="77"/>
      <c r="DD54" s="94"/>
      <c r="DE54" s="95"/>
    </row>
    <row r="55" spans="1:109" ht="45" customHeight="1">
      <c r="B55" s="174" t="str">
        <f xml:space="preserve"> "    - xlit|" &amp; E53 &amp; "|" &amp; E54 &amp; "|"</f>
        <v xml:space="preserve">    - xlit|!1qas2wxEedNYyhncRrfv8uKj,ikmp/btgz9lM0;Oo*UJ&lt;I(L7-="5346][|ㆠㄅㄆㄇㄋㄉㄊㄌㆣㄍㄎㄫㆡㄗㄘㄙㄏㆢㄐㄑㄒㄚㄧㆨㄨㆤㆦㄜㆬㄣㆭㆴㆵㆻㆷㄞㄠㆰㄢㄤㆱㆲㆩㆪㆫㆥㆧㆮㆯ入ㄥØ一七三二五八四|</v>
      </c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75"/>
      <c r="AH55" s="175"/>
      <c r="AI55" s="175"/>
      <c r="AJ55" s="175"/>
      <c r="AK55" s="151"/>
      <c r="AL55" s="151"/>
      <c r="AM55" s="151"/>
      <c r="AN55" s="151"/>
      <c r="AO55" s="151"/>
      <c r="AP55" s="151"/>
      <c r="AQ55" s="151"/>
      <c r="AR55" s="151"/>
      <c r="AS55" s="151"/>
      <c r="AT55" s="151"/>
      <c r="AU55" s="151"/>
      <c r="AV55" s="151"/>
      <c r="AW55" s="151"/>
      <c r="AX55" s="151"/>
      <c r="AY55" s="151"/>
      <c r="AZ55" s="151"/>
      <c r="BA55" s="151"/>
      <c r="BB55" s="151"/>
      <c r="BC55" s="151"/>
      <c r="BD55" s="151"/>
      <c r="BE55" s="151"/>
      <c r="BF55" s="151"/>
      <c r="BG55" s="151"/>
      <c r="BH55" s="151"/>
      <c r="BI55" s="151"/>
      <c r="BJ55" s="163"/>
      <c r="BK55" s="163"/>
      <c r="BL55" s="163"/>
      <c r="BN55" s="85">
        <f t="shared" si="4"/>
        <v>51</v>
      </c>
      <c r="BO55" s="253" t="str">
        <v>ⁿ</v>
      </c>
      <c r="BP55" s="86" t="str">
        <v>L</v>
      </c>
      <c r="BQ55" s="76" t="str">
        <v>-</v>
      </c>
      <c r="BR55" s="77" t="str">
        <v>ㄥ</v>
      </c>
      <c r="BS55" s="87" t="s">
        <v>284</v>
      </c>
      <c r="BT55" s="88">
        <f t="shared" si="18"/>
        <v>1</v>
      </c>
      <c r="BV55" s="89" t="str">
        <f t="shared" si="16"/>
        <v xml:space="preserve">    "-": { commit: "ㄥ" }  # /ⁿ/ ==&gt; L</v>
      </c>
      <c r="BX55" s="85">
        <f t="shared" si="6"/>
        <v>51</v>
      </c>
      <c r="BY55" s="93"/>
      <c r="BZ55" s="91"/>
      <c r="CA55" s="92"/>
      <c r="CB55" s="77"/>
      <c r="CC55" s="94"/>
      <c r="CD55" s="95"/>
      <c r="CG55" s="85">
        <f t="shared" si="7"/>
        <v>51</v>
      </c>
      <c r="CH55" s="93"/>
      <c r="CI55" s="91"/>
      <c r="CJ55" s="92"/>
      <c r="CK55" s="77"/>
      <c r="CL55" s="94"/>
      <c r="CM55" s="95"/>
      <c r="CP55" s="85">
        <f t="shared" si="8"/>
        <v>51</v>
      </c>
      <c r="CQ55" s="93"/>
      <c r="CR55" s="91"/>
      <c r="CS55" s="92"/>
      <c r="CT55" s="77"/>
      <c r="CU55" s="94"/>
      <c r="CV55" s="95"/>
      <c r="CX55" s="17" t="str">
        <f t="shared" si="17"/>
        <v/>
      </c>
      <c r="CY55" s="85">
        <f t="shared" si="9"/>
        <v>51</v>
      </c>
      <c r="CZ55" s="93"/>
      <c r="DA55" s="91"/>
      <c r="DB55" s="92"/>
      <c r="DC55" s="77"/>
      <c r="DD55" s="94"/>
      <c r="DE55" s="95"/>
    </row>
    <row r="56" spans="1:109" ht="45" customHeight="1"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  <c r="AC56" s="151"/>
      <c r="AD56" s="151"/>
      <c r="AE56" s="151"/>
      <c r="AF56" s="151"/>
      <c r="AG56" s="151"/>
      <c r="AH56" s="151"/>
      <c r="AI56" s="151"/>
      <c r="AJ56" s="151"/>
      <c r="AK56" s="151"/>
      <c r="AL56" s="151"/>
      <c r="AM56" s="151"/>
      <c r="AN56" s="151"/>
      <c r="AO56" s="151"/>
      <c r="AP56" s="151"/>
      <c r="AQ56" s="151"/>
      <c r="AR56" s="151"/>
      <c r="AS56" s="151"/>
      <c r="AT56" s="151"/>
      <c r="AU56" s="151"/>
      <c r="AV56" s="151"/>
      <c r="AW56" s="151"/>
      <c r="AX56" s="151"/>
      <c r="AY56" s="193" t="str">
        <f xml:space="preserve"> _xlfn.CONCAT(AY60:BF60)</f>
        <v>入ㄥØ一七三二五</v>
      </c>
      <c r="AZ56" s="151"/>
      <c r="BA56" s="151"/>
      <c r="BB56" s="151"/>
      <c r="BC56" s="151"/>
      <c r="BD56" s="151"/>
      <c r="BE56" s="151"/>
      <c r="BF56" s="151"/>
      <c r="BG56" s="151"/>
      <c r="BH56" s="151"/>
      <c r="BI56" s="151"/>
      <c r="BJ56" s="163"/>
      <c r="BK56" s="163"/>
      <c r="BL56" s="163"/>
      <c r="BN56" s="85">
        <f t="shared" si="4"/>
        <v>52</v>
      </c>
      <c r="BO56" s="253" t="str">
        <v>Ø</v>
      </c>
      <c r="BP56" s="86" t="str">
        <v>Ø</v>
      </c>
      <c r="BQ56" s="76" t="str">
        <v>=</v>
      </c>
      <c r="BR56" s="77" t="str">
        <v>Ø</v>
      </c>
      <c r="BS56" s="87" t="s">
        <v>284</v>
      </c>
      <c r="BT56" s="88">
        <f t="shared" si="18"/>
        <v>1</v>
      </c>
      <c r="BV56" s="89" t="str">
        <f t="shared" si="16"/>
        <v xml:space="preserve">    "=": { commit: "Ø" }  # /Ø/ ==&gt; Ø</v>
      </c>
      <c r="BX56" s="85">
        <f t="shared" si="6"/>
        <v>52</v>
      </c>
      <c r="BY56" s="93"/>
      <c r="BZ56" s="91"/>
      <c r="CA56" s="92"/>
      <c r="CB56" s="77"/>
      <c r="CC56" s="94"/>
      <c r="CD56" s="95"/>
      <c r="CG56" s="85">
        <f t="shared" si="7"/>
        <v>52</v>
      </c>
      <c r="CH56" s="93"/>
      <c r="CI56" s="91"/>
      <c r="CJ56" s="92"/>
      <c r="CK56" s="77"/>
      <c r="CL56" s="94"/>
      <c r="CM56" s="95"/>
      <c r="CP56" s="85">
        <f t="shared" si="8"/>
        <v>52</v>
      </c>
      <c r="CQ56" s="93"/>
      <c r="CR56" s="91"/>
      <c r="CS56" s="92"/>
      <c r="CT56" s="77"/>
      <c r="CU56" s="94"/>
      <c r="CV56" s="95"/>
      <c r="CX56" s="17" t="str">
        <f t="shared" si="17"/>
        <v/>
      </c>
      <c r="CY56" s="85">
        <f t="shared" si="9"/>
        <v>52</v>
      </c>
      <c r="CZ56" s="93"/>
      <c r="DA56" s="91"/>
      <c r="DB56" s="92"/>
      <c r="DC56" s="77"/>
      <c r="DD56" s="94"/>
      <c r="DE56" s="95"/>
    </row>
    <row r="57" spans="1:109" ht="45" customHeight="1">
      <c r="BJ57" s="163"/>
      <c r="BK57" s="163"/>
      <c r="BL57" s="163"/>
      <c r="BN57" s="85">
        <f t="shared" si="4"/>
        <v>53</v>
      </c>
      <c r="BO57" s="253">
        <v>1</v>
      </c>
      <c r="BP57" s="86">
        <v>1</v>
      </c>
      <c r="BQ57" s="76" t="str">
        <v>"</v>
      </c>
      <c r="BR57" s="77" t="str">
        <v>一</v>
      </c>
      <c r="BS57" s="87" t="s">
        <v>284</v>
      </c>
      <c r="BT57" s="88">
        <f t="shared" si="18"/>
        <v>1</v>
      </c>
      <c r="BV57" s="89" t="str">
        <f t="shared" si="16"/>
        <v xml:space="preserve">    """: { commit: "一" }  # /1/ ==&gt; 1</v>
      </c>
      <c r="BX57" s="85">
        <f t="shared" si="6"/>
        <v>53</v>
      </c>
      <c r="BY57" s="93"/>
      <c r="BZ57" s="91"/>
      <c r="CA57" s="92"/>
      <c r="CB57" s="77"/>
      <c r="CC57" s="94"/>
      <c r="CD57" s="95"/>
      <c r="CG57" s="85">
        <f t="shared" si="7"/>
        <v>53</v>
      </c>
      <c r="CH57" s="93"/>
      <c r="CI57" s="91"/>
      <c r="CJ57" s="92"/>
      <c r="CK57" s="77"/>
      <c r="CL57" s="94"/>
      <c r="CM57" s="95"/>
      <c r="CP57" s="85">
        <f t="shared" si="8"/>
        <v>53</v>
      </c>
      <c r="CQ57" s="93"/>
      <c r="CR57" s="91"/>
      <c r="CS57" s="92"/>
      <c r="CT57" s="77"/>
      <c r="CU57" s="94"/>
      <c r="CV57" s="95"/>
      <c r="CY57" s="85">
        <f t="shared" si="9"/>
        <v>53</v>
      </c>
      <c r="CZ57" s="93"/>
      <c r="DA57" s="91"/>
      <c r="DB57" s="92"/>
      <c r="DC57" s="77"/>
      <c r="DD57" s="94"/>
      <c r="DE57" s="95"/>
    </row>
    <row r="58" spans="1:109" ht="46.5" customHeight="1">
      <c r="B58" s="178">
        <v>1</v>
      </c>
      <c r="C58" s="178">
        <v>2</v>
      </c>
      <c r="D58" s="178">
        <v>3</v>
      </c>
      <c r="E58" s="178">
        <v>4</v>
      </c>
      <c r="F58" s="178">
        <v>5</v>
      </c>
      <c r="G58" s="178">
        <v>6</v>
      </c>
      <c r="H58" s="178">
        <v>7</v>
      </c>
      <c r="I58" s="178">
        <v>8</v>
      </c>
      <c r="J58" s="178">
        <v>9</v>
      </c>
      <c r="K58" s="178">
        <v>10</v>
      </c>
      <c r="L58" s="178">
        <v>11</v>
      </c>
      <c r="M58" s="178">
        <v>12</v>
      </c>
      <c r="N58" s="178">
        <v>13</v>
      </c>
      <c r="O58" s="178">
        <v>14</v>
      </c>
      <c r="P58" s="178">
        <v>15</v>
      </c>
      <c r="Q58" s="178">
        <v>16</v>
      </c>
      <c r="R58" s="178">
        <v>17</v>
      </c>
      <c r="S58" s="179">
        <v>18</v>
      </c>
      <c r="T58" s="178">
        <v>19</v>
      </c>
      <c r="U58" s="178">
        <v>20</v>
      </c>
      <c r="V58" s="178">
        <v>21</v>
      </c>
      <c r="W58" s="178">
        <v>22</v>
      </c>
      <c r="X58" s="178">
        <v>23</v>
      </c>
      <c r="Y58" s="178">
        <v>24</v>
      </c>
      <c r="Z58" s="178">
        <v>25</v>
      </c>
      <c r="AA58" s="178">
        <v>26</v>
      </c>
      <c r="AB58" s="178">
        <v>27</v>
      </c>
      <c r="AC58" s="178">
        <v>28</v>
      </c>
      <c r="AD58" s="178">
        <v>29</v>
      </c>
      <c r="AE58" s="178">
        <v>30</v>
      </c>
      <c r="AF58" s="178">
        <v>31</v>
      </c>
      <c r="AG58" s="178">
        <v>32</v>
      </c>
      <c r="AH58" s="180">
        <v>33</v>
      </c>
      <c r="AI58" s="180">
        <v>34</v>
      </c>
      <c r="AJ58" s="180">
        <v>35</v>
      </c>
      <c r="AK58" s="180">
        <v>36</v>
      </c>
      <c r="AL58" s="181">
        <v>37</v>
      </c>
      <c r="AM58" s="180">
        <v>38</v>
      </c>
      <c r="AN58" s="180">
        <v>39</v>
      </c>
      <c r="AO58" s="180">
        <v>40</v>
      </c>
      <c r="AP58" s="180">
        <v>41</v>
      </c>
      <c r="AQ58" s="180">
        <v>42</v>
      </c>
      <c r="AR58" s="180">
        <v>43</v>
      </c>
      <c r="AS58" s="180">
        <v>44</v>
      </c>
      <c r="AT58" s="180">
        <v>45</v>
      </c>
      <c r="AU58" s="180">
        <v>46</v>
      </c>
      <c r="AV58" s="180">
        <v>47</v>
      </c>
      <c r="AW58" s="180">
        <v>48</v>
      </c>
      <c r="AX58" s="180">
        <v>49</v>
      </c>
      <c r="AY58" s="180">
        <v>50</v>
      </c>
      <c r="AZ58" s="180">
        <v>51</v>
      </c>
      <c r="BA58" s="180">
        <v>52</v>
      </c>
      <c r="BB58" s="180">
        <v>53</v>
      </c>
      <c r="BC58" s="180">
        <v>54</v>
      </c>
      <c r="BD58" s="180">
        <v>55</v>
      </c>
      <c r="BE58" s="180">
        <v>56</v>
      </c>
      <c r="BF58" s="180">
        <v>57</v>
      </c>
      <c r="BG58" s="180">
        <v>58</v>
      </c>
      <c r="BH58" s="180">
        <v>59</v>
      </c>
      <c r="BI58" s="180">
        <v>60</v>
      </c>
      <c r="BJ58" s="163"/>
      <c r="BK58" s="163"/>
      <c r="BL58" s="163"/>
      <c r="BN58" s="85">
        <f t="shared" si="4"/>
        <v>54</v>
      </c>
      <c r="BO58" s="253">
        <v>7</v>
      </c>
      <c r="BP58" s="86">
        <v>7</v>
      </c>
      <c r="BQ58" s="76">
        <v>5</v>
      </c>
      <c r="BR58" s="77" t="str">
        <v>七</v>
      </c>
      <c r="BS58" s="87" t="s">
        <v>284</v>
      </c>
      <c r="BT58" s="88">
        <f t="shared" si="18"/>
        <v>1</v>
      </c>
      <c r="BV58" s="89" t="str">
        <f t="shared" si="16"/>
        <v xml:space="preserve">    "5": { commit: "七" }  # /7/ ==&gt; 7</v>
      </c>
      <c r="BX58" s="85">
        <f t="shared" si="6"/>
        <v>54</v>
      </c>
      <c r="BY58" s="93"/>
      <c r="BZ58" s="91"/>
      <c r="CA58" s="92"/>
      <c r="CB58" s="77"/>
      <c r="CC58" s="94"/>
      <c r="CD58" s="95"/>
      <c r="CG58" s="85">
        <f t="shared" si="7"/>
        <v>54</v>
      </c>
      <c r="CH58" s="93"/>
      <c r="CI58" s="91"/>
      <c r="CJ58" s="92"/>
      <c r="CK58" s="77"/>
      <c r="CL58" s="94"/>
      <c r="CM58" s="95"/>
      <c r="CP58" s="85">
        <f t="shared" si="8"/>
        <v>54</v>
      </c>
      <c r="CQ58" s="93"/>
      <c r="CR58" s="91"/>
      <c r="CS58" s="92"/>
      <c r="CT58" s="77"/>
      <c r="CU58" s="94"/>
      <c r="CV58" s="95"/>
      <c r="CY58" s="85">
        <f t="shared" si="9"/>
        <v>54</v>
      </c>
      <c r="CZ58" s="93"/>
      <c r="DA58" s="91"/>
      <c r="DB58" s="92"/>
      <c r="DC58" s="77"/>
      <c r="DD58" s="94"/>
      <c r="DE58" s="95"/>
    </row>
    <row r="59" spans="1:109" ht="54" customHeight="1">
      <c r="B59" s="183" t="str">
        <f xml:space="preserve"> MID($E$53, B$46, 1)</f>
        <v>!</v>
      </c>
      <c r="C59" s="183" t="str">
        <f t="shared" ref="C59:BI59" si="21" xml:space="preserve"> MID($E$53, C$46, 1)</f>
        <v>1</v>
      </c>
      <c r="D59" s="183" t="str">
        <f t="shared" si="21"/>
        <v>q</v>
      </c>
      <c r="E59" s="183" t="str">
        <f t="shared" si="21"/>
        <v>a</v>
      </c>
      <c r="F59" s="183" t="str">
        <f t="shared" si="21"/>
        <v>s</v>
      </c>
      <c r="G59" s="183" t="str">
        <f t="shared" si="21"/>
        <v>2</v>
      </c>
      <c r="H59" s="183" t="str">
        <f t="shared" si="21"/>
        <v>w</v>
      </c>
      <c r="I59" s="183" t="str">
        <f t="shared" si="21"/>
        <v>x</v>
      </c>
      <c r="J59" s="183" t="str">
        <f t="shared" si="21"/>
        <v>E</v>
      </c>
      <c r="K59" s="183" t="str">
        <f t="shared" si="21"/>
        <v>e</v>
      </c>
      <c r="L59" s="183" t="str">
        <f t="shared" si="21"/>
        <v>d</v>
      </c>
      <c r="M59" s="183" t="str">
        <f t="shared" si="21"/>
        <v>N</v>
      </c>
      <c r="N59" s="183" t="str">
        <f t="shared" si="21"/>
        <v>Y</v>
      </c>
      <c r="O59" s="183" t="str">
        <f t="shared" si="21"/>
        <v>y</v>
      </c>
      <c r="P59" s="183" t="str">
        <f t="shared" si="21"/>
        <v>h</v>
      </c>
      <c r="Q59" s="183" t="str">
        <f t="shared" si="21"/>
        <v>n</v>
      </c>
      <c r="R59" s="183" t="str">
        <f t="shared" si="21"/>
        <v>c</v>
      </c>
      <c r="S59" s="183" t="str">
        <f t="shared" si="21"/>
        <v>R</v>
      </c>
      <c r="T59" s="183" t="str">
        <f t="shared" si="21"/>
        <v>r</v>
      </c>
      <c r="U59" s="183" t="str">
        <f t="shared" si="21"/>
        <v>f</v>
      </c>
      <c r="V59" s="183" t="str">
        <f t="shared" si="21"/>
        <v>v</v>
      </c>
      <c r="W59" s="183" t="str">
        <f t="shared" si="21"/>
        <v>8</v>
      </c>
      <c r="X59" s="183" t="str">
        <f t="shared" si="21"/>
        <v>u</v>
      </c>
      <c r="Y59" s="183" t="str">
        <f t="shared" si="21"/>
        <v>K</v>
      </c>
      <c r="Z59" s="183" t="str">
        <f t="shared" si="21"/>
        <v>j</v>
      </c>
      <c r="AA59" s="183" t="str">
        <f t="shared" si="21"/>
        <v>,</v>
      </c>
      <c r="AB59" s="183" t="str">
        <f t="shared" si="21"/>
        <v>i</v>
      </c>
      <c r="AC59" s="183" t="str">
        <f t="shared" si="21"/>
        <v>k</v>
      </c>
      <c r="AD59" s="183" t="str">
        <f t="shared" si="21"/>
        <v>m</v>
      </c>
      <c r="AE59" s="183" t="str">
        <f t="shared" si="21"/>
        <v>p</v>
      </c>
      <c r="AF59" s="183" t="str">
        <f t="shared" si="21"/>
        <v>/</v>
      </c>
      <c r="AG59" s="183" t="str">
        <f t="shared" si="21"/>
        <v>b</v>
      </c>
      <c r="AH59" s="183" t="str">
        <f t="shared" si="21"/>
        <v>t</v>
      </c>
      <c r="AI59" s="183" t="str">
        <f t="shared" si="21"/>
        <v>g</v>
      </c>
      <c r="AJ59" s="183" t="str">
        <f t="shared" si="21"/>
        <v>z</v>
      </c>
      <c r="AK59" s="183" t="str">
        <f t="shared" si="21"/>
        <v>9</v>
      </c>
      <c r="AL59" s="183" t="str">
        <f t="shared" si="21"/>
        <v>l</v>
      </c>
      <c r="AM59" s="183" t="str">
        <f t="shared" si="21"/>
        <v>M</v>
      </c>
      <c r="AN59" s="183" t="str">
        <f t="shared" si="21"/>
        <v>0</v>
      </c>
      <c r="AO59" s="183" t="str">
        <f t="shared" si="21"/>
        <v>;</v>
      </c>
      <c r="AP59" s="183" t="str">
        <f t="shared" si="21"/>
        <v>O</v>
      </c>
      <c r="AQ59" s="183" t="str">
        <f t="shared" si="21"/>
        <v>o</v>
      </c>
      <c r="AR59" s="183" t="str">
        <f t="shared" si="21"/>
        <v>*</v>
      </c>
      <c r="AS59" s="183" t="str">
        <f t="shared" si="21"/>
        <v>U</v>
      </c>
      <c r="AT59" s="183" t="str">
        <f t="shared" si="21"/>
        <v>J</v>
      </c>
      <c r="AU59" s="183" t="str">
        <f t="shared" si="21"/>
        <v>&lt;</v>
      </c>
      <c r="AV59" s="183" t="str">
        <f t="shared" si="21"/>
        <v>I</v>
      </c>
      <c r="AW59" s="183" t="str">
        <f t="shared" si="21"/>
        <v>(</v>
      </c>
      <c r="AX59" s="183" t="str">
        <f t="shared" si="21"/>
        <v>L</v>
      </c>
      <c r="AY59" s="183" t="str">
        <f t="shared" si="21"/>
        <v>7</v>
      </c>
      <c r="AZ59" s="183" t="str">
        <f t="shared" si="21"/>
        <v>-</v>
      </c>
      <c r="BA59" s="183" t="str">
        <f t="shared" si="21"/>
        <v>=</v>
      </c>
      <c r="BB59" s="183" t="str">
        <f t="shared" si="21"/>
        <v>"</v>
      </c>
      <c r="BC59" s="183" t="str">
        <f t="shared" si="21"/>
        <v>5</v>
      </c>
      <c r="BD59" s="183" t="str">
        <f t="shared" si="21"/>
        <v>3</v>
      </c>
      <c r="BE59" s="183" t="str">
        <f t="shared" si="21"/>
        <v>4</v>
      </c>
      <c r="BF59" s="183" t="str">
        <f t="shared" si="21"/>
        <v>6</v>
      </c>
      <c r="BG59" s="183" t="str">
        <f t="shared" si="21"/>
        <v>]</v>
      </c>
      <c r="BH59" s="183" t="str">
        <f t="shared" si="21"/>
        <v>[</v>
      </c>
      <c r="BI59" s="183" t="str">
        <f t="shared" si="21"/>
        <v/>
      </c>
      <c r="BJ59" s="163"/>
      <c r="BK59" s="163"/>
      <c r="BL59" s="163"/>
      <c r="BN59" s="85">
        <f t="shared" si="4"/>
        <v>55</v>
      </c>
      <c r="BO59" s="253">
        <v>3</v>
      </c>
      <c r="BP59" s="86">
        <v>3</v>
      </c>
      <c r="BQ59" s="76">
        <v>3</v>
      </c>
      <c r="BR59" s="77" t="str">
        <v>三</v>
      </c>
      <c r="BS59" s="87" t="s">
        <v>284</v>
      </c>
      <c r="BT59" s="88">
        <f t="shared" si="18"/>
        <v>1</v>
      </c>
      <c r="BV59" s="89" t="str">
        <f t="shared" si="16"/>
        <v xml:space="preserve">    "3": { commit: "三" }  # /3/ ==&gt; 3</v>
      </c>
      <c r="BX59" s="85">
        <f t="shared" si="6"/>
        <v>55</v>
      </c>
      <c r="BY59" s="93"/>
      <c r="BZ59" s="91"/>
      <c r="CA59" s="92"/>
      <c r="CB59" s="77"/>
      <c r="CC59" s="94"/>
      <c r="CD59" s="95"/>
      <c r="CG59" s="85">
        <f t="shared" si="7"/>
        <v>55</v>
      </c>
      <c r="CH59" s="93"/>
      <c r="CI59" s="91"/>
      <c r="CJ59" s="92"/>
      <c r="CK59" s="77"/>
      <c r="CL59" s="94"/>
      <c r="CM59" s="95"/>
      <c r="CP59" s="85">
        <f t="shared" si="8"/>
        <v>55</v>
      </c>
      <c r="CQ59" s="93"/>
      <c r="CR59" s="91"/>
      <c r="CS59" s="92"/>
      <c r="CT59" s="77"/>
      <c r="CU59" s="94"/>
      <c r="CV59" s="95"/>
      <c r="CY59" s="85">
        <f t="shared" si="9"/>
        <v>55</v>
      </c>
      <c r="CZ59" s="93"/>
      <c r="DA59" s="91"/>
      <c r="DB59" s="92"/>
      <c r="DC59" s="77"/>
      <c r="DD59" s="94"/>
      <c r="DE59" s="95"/>
    </row>
    <row r="60" spans="1:109" ht="54" customHeight="1">
      <c r="B60" s="194" t="str">
        <f xml:space="preserve"> MID($E$54, B$46, 1)</f>
        <v>ㆠ</v>
      </c>
      <c r="C60" s="194" t="str">
        <f t="shared" ref="C60:BI60" si="22" xml:space="preserve"> MID($E$54, C$46, 1)</f>
        <v>ㄅ</v>
      </c>
      <c r="D60" s="194" t="str">
        <f t="shared" si="22"/>
        <v>ㄆ</v>
      </c>
      <c r="E60" s="194" t="str">
        <f t="shared" si="22"/>
        <v>ㄇ</v>
      </c>
      <c r="F60" s="194" t="str">
        <f t="shared" si="22"/>
        <v>ㄋ</v>
      </c>
      <c r="G60" s="194" t="str">
        <f t="shared" si="22"/>
        <v>ㄉ</v>
      </c>
      <c r="H60" s="194" t="str">
        <f t="shared" si="22"/>
        <v>ㄊ</v>
      </c>
      <c r="I60" s="194" t="str">
        <f t="shared" si="22"/>
        <v>ㄌ</v>
      </c>
      <c r="J60" s="194" t="str">
        <f t="shared" si="22"/>
        <v>ㆣ</v>
      </c>
      <c r="K60" s="194" t="str">
        <f t="shared" si="22"/>
        <v>ㄍ</v>
      </c>
      <c r="L60" s="194" t="str">
        <f t="shared" si="22"/>
        <v>ㄎ</v>
      </c>
      <c r="M60" s="194" t="str">
        <f t="shared" si="22"/>
        <v>ㄫ</v>
      </c>
      <c r="N60" s="194" t="str">
        <f t="shared" si="22"/>
        <v>ㆡ</v>
      </c>
      <c r="O60" s="194" t="str">
        <f t="shared" si="22"/>
        <v>ㄗ</v>
      </c>
      <c r="P60" s="194" t="str">
        <f t="shared" si="22"/>
        <v>ㄘ</v>
      </c>
      <c r="Q60" s="194" t="str">
        <f t="shared" si="22"/>
        <v>ㄙ</v>
      </c>
      <c r="R60" s="194" t="str">
        <f t="shared" si="22"/>
        <v>ㄏ</v>
      </c>
      <c r="S60" s="194" t="str">
        <f t="shared" si="22"/>
        <v>ㆢ</v>
      </c>
      <c r="T60" s="194" t="str">
        <f t="shared" si="22"/>
        <v>ㄐ</v>
      </c>
      <c r="U60" s="194" t="str">
        <f t="shared" si="22"/>
        <v>ㄑ</v>
      </c>
      <c r="V60" s="194" t="str">
        <f t="shared" si="22"/>
        <v>ㄒ</v>
      </c>
      <c r="W60" s="194" t="str">
        <f t="shared" si="22"/>
        <v>ㄚ</v>
      </c>
      <c r="X60" s="194" t="str">
        <f t="shared" si="22"/>
        <v>ㄧ</v>
      </c>
      <c r="Y60" s="194" t="str">
        <f t="shared" si="22"/>
        <v>ㆨ</v>
      </c>
      <c r="Z60" s="194" t="str">
        <f t="shared" si="22"/>
        <v>ㄨ</v>
      </c>
      <c r="AA60" s="194" t="str">
        <f t="shared" si="22"/>
        <v>ㆤ</v>
      </c>
      <c r="AB60" s="194" t="str">
        <f t="shared" si="22"/>
        <v>ㆦ</v>
      </c>
      <c r="AC60" s="194" t="str">
        <f t="shared" si="22"/>
        <v>ㄜ</v>
      </c>
      <c r="AD60" s="194" t="str">
        <f t="shared" si="22"/>
        <v>ㆬ</v>
      </c>
      <c r="AE60" s="194" t="str">
        <f t="shared" si="22"/>
        <v>ㄣ</v>
      </c>
      <c r="AF60" s="194" t="str">
        <f t="shared" si="22"/>
        <v>ㆭ</v>
      </c>
      <c r="AG60" s="194" t="str">
        <f t="shared" si="22"/>
        <v>ㆴ</v>
      </c>
      <c r="AH60" s="194" t="str">
        <f t="shared" si="22"/>
        <v>ㆵ</v>
      </c>
      <c r="AI60" s="194" t="str">
        <f t="shared" si="22"/>
        <v>ㆻ</v>
      </c>
      <c r="AJ60" s="194" t="str">
        <f t="shared" si="22"/>
        <v>ㆷ</v>
      </c>
      <c r="AK60" s="194" t="str">
        <f t="shared" si="22"/>
        <v>ㄞ</v>
      </c>
      <c r="AL60" s="194" t="str">
        <f t="shared" si="22"/>
        <v>ㄠ</v>
      </c>
      <c r="AM60" s="194" t="str">
        <f t="shared" si="22"/>
        <v>ㆰ</v>
      </c>
      <c r="AN60" s="194" t="str">
        <f t="shared" si="22"/>
        <v>ㄢ</v>
      </c>
      <c r="AO60" s="194" t="str">
        <f t="shared" si="22"/>
        <v>ㄤ</v>
      </c>
      <c r="AP60" s="194" t="str">
        <f t="shared" si="22"/>
        <v>ㆱ</v>
      </c>
      <c r="AQ60" s="194" t="str">
        <f t="shared" si="22"/>
        <v>ㆲ</v>
      </c>
      <c r="AR60" s="194" t="str">
        <f t="shared" si="22"/>
        <v>ㆩ</v>
      </c>
      <c r="AS60" s="194" t="str">
        <f t="shared" si="22"/>
        <v>ㆪ</v>
      </c>
      <c r="AT60" s="194" t="str">
        <f t="shared" si="22"/>
        <v>ㆫ</v>
      </c>
      <c r="AU60" s="194" t="str">
        <f t="shared" si="22"/>
        <v>ㆥ</v>
      </c>
      <c r="AV60" s="194" t="str">
        <f t="shared" si="22"/>
        <v>ㆧ</v>
      </c>
      <c r="AW60" s="194" t="str">
        <f t="shared" si="22"/>
        <v>ㆮ</v>
      </c>
      <c r="AX60" s="194" t="str">
        <f t="shared" si="22"/>
        <v>ㆯ</v>
      </c>
      <c r="AY60" s="194" t="str">
        <f t="shared" si="22"/>
        <v>入</v>
      </c>
      <c r="AZ60" s="194" t="str">
        <f t="shared" si="22"/>
        <v>ㄥ</v>
      </c>
      <c r="BA60" s="194" t="str">
        <f t="shared" si="22"/>
        <v>Ø</v>
      </c>
      <c r="BB60" s="194" t="str">
        <f t="shared" si="22"/>
        <v>一</v>
      </c>
      <c r="BC60" s="194" t="str">
        <f t="shared" si="22"/>
        <v>七</v>
      </c>
      <c r="BD60" s="194" t="str">
        <f t="shared" si="22"/>
        <v>三</v>
      </c>
      <c r="BE60" s="194" t="str">
        <f t="shared" si="22"/>
        <v>二</v>
      </c>
      <c r="BF60" s="194" t="str">
        <f t="shared" si="22"/>
        <v>五</v>
      </c>
      <c r="BG60" s="194" t="str">
        <f t="shared" si="22"/>
        <v>八</v>
      </c>
      <c r="BH60" s="194" t="str">
        <f t="shared" si="22"/>
        <v>四</v>
      </c>
      <c r="BI60" s="194" t="str">
        <f t="shared" si="22"/>
        <v/>
      </c>
      <c r="BJ60" s="163"/>
      <c r="BK60" s="163"/>
      <c r="BL60" s="163"/>
      <c r="BN60" s="85">
        <f t="shared" si="4"/>
        <v>56</v>
      </c>
      <c r="BO60" s="253">
        <v>2</v>
      </c>
      <c r="BP60" s="86">
        <v>2</v>
      </c>
      <c r="BQ60" s="76">
        <v>4</v>
      </c>
      <c r="BR60" s="77" t="str">
        <v>二</v>
      </c>
      <c r="BS60" s="87" t="s">
        <v>284</v>
      </c>
      <c r="BT60" s="88">
        <f t="shared" si="18"/>
        <v>1</v>
      </c>
      <c r="BV60" s="89" t="str">
        <f t="shared" si="16"/>
        <v xml:space="preserve">    "4": { commit: "二" }  # /2/ ==&gt; 2</v>
      </c>
      <c r="BX60" s="85">
        <f t="shared" si="6"/>
        <v>56</v>
      </c>
      <c r="BY60" s="93"/>
      <c r="BZ60" s="91"/>
      <c r="CA60" s="92"/>
      <c r="CB60" s="77"/>
      <c r="CC60" s="94"/>
      <c r="CD60" s="95"/>
      <c r="CG60" s="85">
        <f t="shared" si="7"/>
        <v>56</v>
      </c>
      <c r="CH60" s="93"/>
      <c r="CI60" s="91"/>
      <c r="CJ60" s="92"/>
      <c r="CK60" s="77"/>
      <c r="CL60" s="94"/>
      <c r="CM60" s="95"/>
      <c r="CP60" s="85">
        <f t="shared" si="8"/>
        <v>56</v>
      </c>
      <c r="CQ60" s="93"/>
      <c r="CR60" s="91"/>
      <c r="CS60" s="92"/>
      <c r="CT60" s="77"/>
      <c r="CU60" s="94"/>
      <c r="CV60" s="95"/>
      <c r="CY60" s="85">
        <f t="shared" si="9"/>
        <v>56</v>
      </c>
      <c r="CZ60" s="93"/>
      <c r="DA60" s="91"/>
      <c r="DB60" s="92"/>
      <c r="DC60" s="77"/>
      <c r="DD60" s="94"/>
      <c r="DE60" s="95"/>
    </row>
    <row r="61" spans="1:109" ht="54" customHeight="1"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63"/>
      <c r="BK61" s="163"/>
      <c r="BL61" s="163"/>
      <c r="BN61" s="85">
        <f t="shared" si="4"/>
        <v>57</v>
      </c>
      <c r="BO61" s="253">
        <v>5</v>
      </c>
      <c r="BP61" s="86">
        <v>5</v>
      </c>
      <c r="BQ61" s="76">
        <v>6</v>
      </c>
      <c r="BR61" s="77" t="str">
        <v>五</v>
      </c>
      <c r="BS61" s="87" t="s">
        <v>36</v>
      </c>
      <c r="BT61" s="88">
        <f t="shared" si="18"/>
        <v>1</v>
      </c>
      <c r="BV61" s="89" t="str">
        <f t="shared" si="16"/>
        <v xml:space="preserve">    "6": { commit: "五" }  # /5/ ==&gt; 5</v>
      </c>
      <c r="BX61" s="85">
        <f t="shared" si="6"/>
        <v>57</v>
      </c>
      <c r="BY61" s="93"/>
      <c r="BZ61" s="91"/>
      <c r="CA61" s="92"/>
      <c r="CB61" s="77"/>
      <c r="CC61" s="94"/>
      <c r="CD61" s="95"/>
      <c r="CG61" s="85">
        <f t="shared" si="7"/>
        <v>57</v>
      </c>
      <c r="CH61" s="93"/>
      <c r="CI61" s="91"/>
      <c r="CJ61" s="92"/>
      <c r="CK61" s="77"/>
      <c r="CL61" s="94"/>
      <c r="CM61" s="95"/>
      <c r="CP61" s="85">
        <f t="shared" si="8"/>
        <v>57</v>
      </c>
      <c r="CQ61" s="93"/>
      <c r="CR61" s="91"/>
      <c r="CS61" s="92"/>
      <c r="CT61" s="77"/>
      <c r="CU61" s="94"/>
      <c r="CV61" s="95"/>
      <c r="CY61" s="85">
        <f t="shared" si="9"/>
        <v>57</v>
      </c>
      <c r="CZ61" s="93"/>
      <c r="DA61" s="91"/>
      <c r="DB61" s="92"/>
      <c r="DC61" s="77"/>
      <c r="DD61" s="94"/>
      <c r="DE61" s="95"/>
    </row>
    <row r="62" spans="1:109" ht="45.75"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63"/>
      <c r="BK62" s="163"/>
      <c r="BL62" s="163"/>
      <c r="BN62" s="85">
        <f t="shared" si="4"/>
        <v>58</v>
      </c>
      <c r="BO62" s="253">
        <v>8</v>
      </c>
      <c r="BP62" s="86">
        <v>8</v>
      </c>
      <c r="BQ62" s="76" t="str">
        <v>]</v>
      </c>
      <c r="BR62" s="77" t="str">
        <v>八</v>
      </c>
      <c r="BS62" s="87" t="s">
        <v>36</v>
      </c>
      <c r="BT62" s="88">
        <f t="shared" si="18"/>
        <v>1</v>
      </c>
      <c r="BV62" s="89" t="str">
        <f t="shared" si="16"/>
        <v xml:space="preserve">    "]": { commit: "八" }  # /8/ ==&gt; 8</v>
      </c>
      <c r="BX62" s="85">
        <f t="shared" si="6"/>
        <v>58</v>
      </c>
      <c r="BY62" s="93"/>
      <c r="BZ62" s="91"/>
      <c r="CA62" s="92"/>
      <c r="CB62" s="77"/>
      <c r="CC62" s="94"/>
      <c r="CD62" s="95"/>
      <c r="CG62" s="85">
        <f t="shared" si="7"/>
        <v>58</v>
      </c>
      <c r="CH62" s="93"/>
      <c r="CI62" s="91"/>
      <c r="CJ62" s="92"/>
      <c r="CK62" s="77"/>
      <c r="CL62" s="94"/>
      <c r="CM62" s="95"/>
      <c r="CP62" s="85">
        <f t="shared" si="8"/>
        <v>58</v>
      </c>
      <c r="CQ62" s="93"/>
      <c r="CR62" s="91"/>
      <c r="CS62" s="92"/>
      <c r="CT62" s="77"/>
      <c r="CU62" s="94"/>
      <c r="CV62" s="95"/>
      <c r="CY62" s="85">
        <f t="shared" si="9"/>
        <v>58</v>
      </c>
      <c r="CZ62" s="93"/>
      <c r="DA62" s="91"/>
      <c r="DB62" s="92"/>
      <c r="DC62" s="77"/>
      <c r="DD62" s="94"/>
      <c r="DE62" s="95"/>
    </row>
    <row r="63" spans="1:109" ht="45.75">
      <c r="B63" s="184" t="s">
        <v>205</v>
      </c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51"/>
      <c r="AI63" s="151"/>
      <c r="AJ63" s="151"/>
      <c r="AK63" s="163"/>
      <c r="AL63" s="163"/>
      <c r="AM63" s="151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51"/>
      <c r="BH63" s="151"/>
      <c r="BI63" s="151"/>
      <c r="BJ63" s="163"/>
      <c r="BK63" s="163"/>
      <c r="BL63" s="163"/>
      <c r="BN63" s="85">
        <f t="shared" si="4"/>
        <v>59</v>
      </c>
      <c r="BO63" s="253">
        <v>4</v>
      </c>
      <c r="BP63" s="86">
        <v>4</v>
      </c>
      <c r="BQ63" s="76" t="str">
        <v>[</v>
      </c>
      <c r="BR63" s="77" t="str">
        <v>四</v>
      </c>
      <c r="BS63" s="87"/>
      <c r="BT63" s="88">
        <f t="shared" si="18"/>
        <v>1</v>
      </c>
      <c r="BX63" s="85">
        <f t="shared" si="6"/>
        <v>59</v>
      </c>
      <c r="BY63" s="93"/>
      <c r="BZ63" s="91"/>
      <c r="CA63" s="92"/>
      <c r="CB63" s="77"/>
      <c r="CC63" s="94"/>
      <c r="CD63" s="95"/>
      <c r="CG63" s="85">
        <f t="shared" si="7"/>
        <v>59</v>
      </c>
      <c r="CH63" s="93"/>
      <c r="CI63" s="91"/>
      <c r="CJ63" s="92"/>
      <c r="CK63" s="77"/>
      <c r="CL63" s="94"/>
      <c r="CM63" s="95"/>
      <c r="CP63" s="85">
        <f t="shared" si="8"/>
        <v>59</v>
      </c>
      <c r="CQ63" s="93"/>
      <c r="CR63" s="91"/>
      <c r="CS63" s="92"/>
      <c r="CT63" s="77"/>
      <c r="CU63" s="94"/>
      <c r="CV63" s="95"/>
      <c r="CY63" s="85">
        <f t="shared" si="9"/>
        <v>59</v>
      </c>
      <c r="CZ63" s="93"/>
      <c r="DA63" s="91"/>
      <c r="DB63" s="92"/>
      <c r="DC63" s="77"/>
      <c r="DD63" s="94"/>
      <c r="DE63" s="95"/>
    </row>
    <row r="64" spans="1:109" ht="45.75">
      <c r="B64" s="149" t="s">
        <v>206</v>
      </c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50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51"/>
      <c r="AI64" s="151"/>
      <c r="AJ64" s="151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N64" s="85">
        <f t="shared" si="4"/>
        <v>60</v>
      </c>
      <c r="BO64" s="253"/>
      <c r="BP64" s="86"/>
      <c r="BQ64" s="76"/>
      <c r="BR64" s="77"/>
      <c r="BS64" s="87"/>
      <c r="BT64" s="88">
        <f t="shared" si="18"/>
        <v>0</v>
      </c>
      <c r="BX64" s="85">
        <f t="shared" si="6"/>
        <v>60</v>
      </c>
      <c r="BY64" s="93"/>
      <c r="BZ64" s="91"/>
      <c r="CA64" s="92"/>
      <c r="CB64" s="77"/>
      <c r="CC64" s="94"/>
      <c r="CD64" s="95"/>
      <c r="CG64" s="85">
        <f t="shared" si="7"/>
        <v>60</v>
      </c>
      <c r="CH64" s="93"/>
      <c r="CI64" s="91"/>
      <c r="CJ64" s="92"/>
      <c r="CK64" s="77"/>
      <c r="CL64" s="94"/>
      <c r="CM64" s="95"/>
      <c r="CP64" s="85">
        <f t="shared" si="8"/>
        <v>60</v>
      </c>
      <c r="CQ64" s="93"/>
      <c r="CR64" s="91"/>
      <c r="CS64" s="92"/>
      <c r="CT64" s="77"/>
      <c r="CU64" s="94"/>
      <c r="CV64" s="95"/>
      <c r="CY64" s="85">
        <f t="shared" si="9"/>
        <v>60</v>
      </c>
      <c r="CZ64" s="93"/>
      <c r="DA64" s="91"/>
      <c r="DB64" s="92"/>
      <c r="DC64" s="77"/>
      <c r="DD64" s="94"/>
      <c r="DE64" s="95"/>
    </row>
    <row r="65" spans="1:109" ht="45.75">
      <c r="A65" s="185" t="e">
        <f xml:space="preserve"> LEN(B83)</f>
        <v>#REF!</v>
      </c>
      <c r="B65" s="186" t="s">
        <v>207</v>
      </c>
      <c r="C65" s="187"/>
      <c r="D65" s="187">
        <f xml:space="preserve"> LEN(E65)</f>
        <v>57</v>
      </c>
      <c r="E65" s="188" t="str">
        <f xml:space="preserve"> _xlfn.CONCAT(D18:BH18)</f>
        <v>bpPmntTlgkKŋjzcshJZCSaiwueOəMNGRFQVIUY@AWHdfqrvxy&amp;LØ17325</v>
      </c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J65" s="163"/>
      <c r="BK65" s="163"/>
      <c r="BL65" s="163"/>
      <c r="BR65" s="11"/>
      <c r="BS65" s="11"/>
      <c r="BY65" s="93"/>
      <c r="BZ65" s="195"/>
      <c r="CA65" s="92"/>
      <c r="CB65" s="77"/>
      <c r="CC65" s="94"/>
      <c r="CD65" s="95"/>
      <c r="CH65" s="93"/>
      <c r="CI65" s="195"/>
      <c r="CJ65" s="92"/>
      <c r="CK65" s="77"/>
      <c r="CL65" s="94"/>
      <c r="CM65" s="95"/>
      <c r="CQ65" s="93"/>
      <c r="CR65" s="195"/>
      <c r="CS65" s="92"/>
      <c r="CT65" s="77"/>
      <c r="CU65" s="94"/>
      <c r="CV65" s="95"/>
      <c r="CZ65" s="93"/>
      <c r="DA65" s="195"/>
      <c r="DB65" s="92"/>
      <c r="DC65" s="77"/>
      <c r="DD65" s="94"/>
      <c r="DE65" s="95"/>
    </row>
    <row r="66" spans="1:109">
      <c r="A66" s="185" t="e">
        <f xml:space="preserve"> LEN(B84)</f>
        <v>#REF!</v>
      </c>
      <c r="B66" s="191" t="s">
        <v>208</v>
      </c>
      <c r="C66" s="190"/>
      <c r="D66" s="190">
        <f>LEN(E66)</f>
        <v>57</v>
      </c>
      <c r="E66" s="191" t="str">
        <f xml:space="preserve"> _xlfn.CONCAT(D20:BH20)</f>
        <v>ㆠㄅㄆㄇㄋㄉㄊㄌㆣㄍㄎㄫㆡㄗㄘㄙㄏㆢㄐㄑㄒㄚㄧㆨㄨㆤㆦㄜㆬㄣㆭㆴㆵㆻㆷㄞㄠㆰㄢㄤㆱㆲㆩㆪㆫㆥㆧㆮㆯ入ㄥØ一七三二五</v>
      </c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BJ66" s="163"/>
      <c r="BK66" s="163"/>
      <c r="BL66" s="163"/>
    </row>
    <row r="67" spans="1:109">
      <c r="B67" s="174" t="str">
        <f xml:space="preserve"> "- xlit|" &amp; E65 &amp; "|" &amp; E66 &amp; "|"</f>
        <v>- xlit|bpPmntTlgkKŋjzcshJZCSaiwueOəMNGRFQVIUY@AWHdfqrvxy&amp;LØ17325|ㆠㄅㄆㄇㄋㄉㄊㄌㆣㄍㄎㄫㆡㄗㄘㄙㄏㆢㄐㄑㄒㄚㄧㆨㄨㆤㆦㄜㆬㄣㆭㆴㆵㆻㆷㄞㄠㆰㄢㄤㆱㆲㆩㆪㆫㆥㆧㆮㆯ入ㄥØ一七三二五|</v>
      </c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75"/>
      <c r="AH67" s="175"/>
      <c r="AI67" s="175"/>
      <c r="AJ67" s="175"/>
      <c r="BJ67" s="163"/>
      <c r="BK67" s="163"/>
      <c r="BL67" s="163"/>
    </row>
    <row r="68" spans="1:109">
      <c r="B68" s="163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BJ68" s="163"/>
      <c r="BK68" s="163"/>
      <c r="BL68" s="163"/>
    </row>
    <row r="69" spans="1:109">
      <c r="A69" s="185" t="e">
        <f xml:space="preserve"> LEN(B88)</f>
        <v>#REF!</v>
      </c>
      <c r="B69" s="196" t="s">
        <v>209</v>
      </c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96" cm="1">
        <f t="array" aca="1" ref="Y69" ca="1" xml:space="preserve"> INDIRECT( ADDRESS( ROW()-1, COLUMN()-1) )</f>
        <v>0</v>
      </c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BJ69" s="163"/>
      <c r="BK69" s="163"/>
      <c r="BL69" s="163"/>
    </row>
    <row r="70" spans="1:109">
      <c r="A70" s="185" t="e">
        <f xml:space="preserve"> LEN(B89)</f>
        <v>#REF!</v>
      </c>
      <c r="B70" s="196" t="s">
        <v>210</v>
      </c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96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BJ70" s="163"/>
      <c r="BK70" s="163"/>
      <c r="BL70" s="163"/>
    </row>
    <row r="71" spans="1:109">
      <c r="B71" s="163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BJ71" s="163"/>
      <c r="BK71" s="163"/>
      <c r="BL71" s="163"/>
    </row>
    <row r="72" spans="1:109">
      <c r="B72" s="163"/>
      <c r="C72" s="163"/>
      <c r="D72" s="163"/>
      <c r="BC72" s="163"/>
      <c r="BD72" s="163"/>
      <c r="BE72" s="163"/>
      <c r="BF72" s="163"/>
      <c r="BG72" s="163"/>
      <c r="BH72" s="163"/>
      <c r="BI72" s="163"/>
      <c r="BJ72" s="163"/>
      <c r="BK72" s="163"/>
      <c r="BL72" s="163"/>
    </row>
    <row r="73" spans="1:109" ht="45" customHeight="1">
      <c r="B73" s="178">
        <v>1</v>
      </c>
      <c r="C73" s="178">
        <v>2</v>
      </c>
      <c r="D73" s="178">
        <v>3</v>
      </c>
      <c r="E73" s="178">
        <v>4</v>
      </c>
      <c r="F73" s="178">
        <v>5</v>
      </c>
      <c r="G73" s="178">
        <v>6</v>
      </c>
      <c r="H73" s="178">
        <v>7</v>
      </c>
      <c r="I73" s="178">
        <v>8</v>
      </c>
      <c r="J73" s="178">
        <v>9</v>
      </c>
      <c r="K73" s="178">
        <v>10</v>
      </c>
      <c r="L73" s="178">
        <v>11</v>
      </c>
      <c r="M73" s="178">
        <v>12</v>
      </c>
      <c r="N73" s="178">
        <v>13</v>
      </c>
      <c r="O73" s="178">
        <v>14</v>
      </c>
      <c r="P73" s="178">
        <v>15</v>
      </c>
      <c r="Q73" s="178">
        <v>16</v>
      </c>
      <c r="R73" s="178">
        <v>17</v>
      </c>
      <c r="S73" s="179">
        <v>18</v>
      </c>
      <c r="T73" s="178">
        <v>19</v>
      </c>
      <c r="U73" s="178">
        <v>20</v>
      </c>
      <c r="V73" s="178">
        <v>21</v>
      </c>
      <c r="W73" s="178">
        <v>22</v>
      </c>
      <c r="X73" s="178">
        <v>23</v>
      </c>
      <c r="Y73" s="178">
        <v>24</v>
      </c>
      <c r="Z73" s="178">
        <v>25</v>
      </c>
      <c r="AA73" s="178">
        <v>26</v>
      </c>
      <c r="AB73" s="178">
        <v>27</v>
      </c>
      <c r="AC73" s="178">
        <v>28</v>
      </c>
      <c r="AD73" s="178">
        <v>29</v>
      </c>
      <c r="AE73" s="178">
        <v>30</v>
      </c>
      <c r="AF73" s="178">
        <v>31</v>
      </c>
      <c r="AG73" s="178">
        <v>32</v>
      </c>
      <c r="AH73" s="180">
        <v>33</v>
      </c>
      <c r="AI73" s="180">
        <v>34</v>
      </c>
      <c r="AJ73" s="180">
        <v>35</v>
      </c>
      <c r="AK73" s="180">
        <v>36</v>
      </c>
      <c r="AL73" s="181">
        <v>37</v>
      </c>
      <c r="AM73" s="180">
        <v>38</v>
      </c>
      <c r="AN73" s="180">
        <v>39</v>
      </c>
      <c r="AO73" s="180">
        <v>40</v>
      </c>
      <c r="AP73" s="180">
        <v>41</v>
      </c>
      <c r="AQ73" s="180">
        <v>42</v>
      </c>
      <c r="AR73" s="180">
        <v>43</v>
      </c>
      <c r="AS73" s="180">
        <v>44</v>
      </c>
      <c r="AT73" s="180">
        <v>45</v>
      </c>
      <c r="AU73" s="180">
        <v>46</v>
      </c>
      <c r="AV73" s="180">
        <v>47</v>
      </c>
      <c r="AW73" s="180">
        <v>48</v>
      </c>
      <c r="AX73" s="180">
        <v>49</v>
      </c>
      <c r="AY73" s="180">
        <v>50</v>
      </c>
      <c r="AZ73" s="180">
        <v>51</v>
      </c>
      <c r="BA73" s="180">
        <v>52</v>
      </c>
      <c r="BB73" s="180">
        <v>53</v>
      </c>
      <c r="BC73" s="180">
        <v>54</v>
      </c>
      <c r="BD73" s="180">
        <v>55</v>
      </c>
      <c r="BE73" s="180">
        <v>56</v>
      </c>
      <c r="BF73" s="180">
        <v>57</v>
      </c>
      <c r="BG73" s="180">
        <v>58</v>
      </c>
      <c r="BH73" s="180">
        <v>59</v>
      </c>
      <c r="BI73" s="180">
        <v>60</v>
      </c>
      <c r="BJ73" s="163"/>
      <c r="BK73" s="163"/>
      <c r="BL73" s="163"/>
    </row>
    <row r="74" spans="1:109" ht="45" customHeight="1">
      <c r="A74" s="185" t="e">
        <f xml:space="preserve"> LEN(B93)</f>
        <v>#REF!</v>
      </c>
      <c r="B74" s="182" t="e">
        <v>#REF!</v>
      </c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97"/>
      <c r="AI74" s="197"/>
      <c r="AJ74" s="197"/>
      <c r="AK74" s="197"/>
      <c r="AL74" s="198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197"/>
      <c r="AY74" s="197"/>
      <c r="AZ74" s="197"/>
      <c r="BA74" s="197"/>
      <c r="BB74" s="197"/>
      <c r="BC74" s="197"/>
      <c r="BD74" s="197"/>
      <c r="BE74" s="197"/>
      <c r="BF74" s="197"/>
      <c r="BG74" s="197"/>
      <c r="BH74" s="197"/>
      <c r="BI74" s="197"/>
      <c r="BJ74" s="163"/>
      <c r="BK74" s="163"/>
    </row>
    <row r="75" spans="1:109" ht="45" customHeight="1">
      <c r="A75" s="185" t="e">
        <f xml:space="preserve"> LEN(B94)</f>
        <v>#REF!</v>
      </c>
      <c r="B75" s="183" t="e">
        <v>#REF!</v>
      </c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99"/>
      <c r="AI75" s="199"/>
      <c r="AJ75" s="199"/>
      <c r="AK75" s="199"/>
      <c r="AL75" s="200"/>
      <c r="AM75" s="199"/>
      <c r="AN75" s="199"/>
      <c r="AO75" s="199"/>
      <c r="AP75" s="199"/>
      <c r="AQ75" s="199"/>
      <c r="AR75" s="199"/>
      <c r="AS75" s="199"/>
      <c r="AT75" s="199"/>
      <c r="AU75" s="199"/>
      <c r="AV75" s="199"/>
      <c r="AW75" s="199"/>
      <c r="AX75" s="199"/>
      <c r="AY75" s="199"/>
      <c r="AZ75" s="199"/>
      <c r="BA75" s="199"/>
      <c r="BB75" s="199"/>
      <c r="BC75" s="199"/>
      <c r="BD75" s="199"/>
      <c r="BE75" s="199"/>
      <c r="BF75" s="199"/>
      <c r="BG75" s="199"/>
      <c r="BH75" s="199"/>
      <c r="BI75" s="199"/>
      <c r="BJ75" s="163"/>
      <c r="BK75" s="163"/>
    </row>
    <row r="76" spans="1:109" ht="45" customHeight="1">
      <c r="B76" s="201" t="e">
        <v>#REF!</v>
      </c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2"/>
      <c r="AI76" s="202"/>
      <c r="AJ76" s="202"/>
      <c r="AK76" s="202"/>
      <c r="AL76" s="203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202"/>
      <c r="BJ76" s="163"/>
      <c r="BK76" s="163"/>
    </row>
    <row r="77" spans="1:109">
      <c r="B77" s="163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163"/>
      <c r="BB77" s="163"/>
      <c r="BC77" s="163"/>
      <c r="BD77" s="163"/>
      <c r="BE77" s="163"/>
      <c r="BF77" s="163"/>
      <c r="BG77" s="163"/>
      <c r="BH77" s="163"/>
      <c r="BI77" s="163"/>
      <c r="BJ77" s="163"/>
      <c r="BK77" s="163"/>
    </row>
    <row r="78" spans="1:109" ht="39">
      <c r="B78" s="204" t="e">
        <f>_xlfn.CONCAT("  alphabet: """,B75:AX75,BF75:BH75,AY75:BE75,"""")</f>
        <v>#REF!</v>
      </c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  <c r="BI78" s="204"/>
      <c r="BJ78" s="163"/>
      <c r="BK78" s="163"/>
    </row>
    <row r="79" spans="1:109" ht="39">
      <c r="B79" s="204" t="e">
        <f>_xlfn.CONCAT("  initials: """,B75:AX75,BF75:BH75,"""")</f>
        <v>#REF!</v>
      </c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  <c r="BB79" s="204"/>
      <c r="BC79" s="204"/>
      <c r="BD79" s="204"/>
      <c r="BE79" s="204"/>
      <c r="BF79" s="204"/>
      <c r="BG79" s="204"/>
      <c r="BH79" s="204"/>
      <c r="BI79" s="204"/>
      <c r="BJ79" s="163"/>
      <c r="BK79" s="163"/>
    </row>
    <row r="80" spans="1:109" ht="39">
      <c r="A80" s="185">
        <f xml:space="preserve"> LEN(B99)</f>
        <v>49</v>
      </c>
      <c r="B80" s="204" t="str">
        <f>_xlfn.CONCAT("  finals: """,AY75:BE75,"""")</f>
        <v xml:space="preserve">  finals: ""</v>
      </c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  <c r="BB80" s="204"/>
      <c r="BC80" s="204"/>
      <c r="BD80" s="204"/>
      <c r="BE80" s="204"/>
      <c r="BF80" s="204"/>
      <c r="BG80" s="204"/>
      <c r="BH80" s="204"/>
      <c r="BI80" s="204"/>
      <c r="BJ80" s="163"/>
      <c r="BK80" s="163"/>
    </row>
    <row r="81" spans="1:63">
      <c r="A81" s="185">
        <f xml:space="preserve"> LEN(B100)</f>
        <v>49</v>
      </c>
      <c r="B81" s="163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  <c r="AV81" s="163"/>
      <c r="AW81" s="163"/>
      <c r="AX81" s="163"/>
      <c r="AY81" s="163"/>
      <c r="AZ81" s="163"/>
      <c r="BA81" s="163"/>
      <c r="BB81" s="163"/>
      <c r="BC81" s="163"/>
      <c r="BD81" s="163"/>
      <c r="BE81" s="163"/>
      <c r="BF81" s="163"/>
      <c r="BG81" s="163"/>
      <c r="BH81" s="163"/>
      <c r="BI81" s="163"/>
      <c r="BJ81" s="163"/>
      <c r="BK81" s="163"/>
    </row>
    <row r="82" spans="1:63">
      <c r="B82" s="163"/>
      <c r="C82" s="163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  <c r="AY82" s="163"/>
      <c r="AZ82" s="163"/>
      <c r="BA82" s="163"/>
      <c r="BB82" s="163"/>
      <c r="BC82" s="163"/>
      <c r="BD82" s="163"/>
      <c r="BE82" s="163"/>
      <c r="BF82" s="163"/>
      <c r="BG82" s="163"/>
      <c r="BH82" s="163"/>
      <c r="BI82" s="163"/>
      <c r="BJ82" s="163"/>
      <c r="BK82" s="163"/>
    </row>
    <row r="83" spans="1:63" ht="39">
      <c r="B83" s="205" t="e">
        <f>_xlfn.CONCAT(_xlfn.ANCHORARRAY(B74))</f>
        <v>#REF!</v>
      </c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  <c r="AV83" s="163"/>
      <c r="AW83" s="163"/>
      <c r="AX83" s="163"/>
      <c r="AY83" s="163"/>
      <c r="AZ83" s="163"/>
      <c r="BA83" s="163"/>
      <c r="BB83" s="163"/>
      <c r="BC83" s="163"/>
      <c r="BD83" s="163"/>
      <c r="BE83" s="163"/>
      <c r="BF83" s="163"/>
      <c r="BG83" s="163"/>
      <c r="BH83" s="163"/>
      <c r="BI83" s="163"/>
      <c r="BJ83" s="163"/>
      <c r="BK83" s="163"/>
    </row>
    <row r="84" spans="1:63" ht="39">
      <c r="B84" s="205" t="e">
        <f>_xlfn.CONCAT(_xlfn.ANCHORARRAY(B75))</f>
        <v>#REF!</v>
      </c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163"/>
      <c r="BB84" s="163"/>
      <c r="BC84" s="163"/>
      <c r="BD84" s="163"/>
      <c r="BE84" s="163"/>
      <c r="BF84" s="163"/>
      <c r="BG84" s="163"/>
      <c r="BH84" s="163"/>
      <c r="BI84" s="163"/>
      <c r="BJ84" s="163"/>
      <c r="BK84" s="163"/>
    </row>
    <row r="85" spans="1:63" ht="39">
      <c r="B85" s="205" t="e">
        <f xml:space="preserve"> _xlfn.CONCAT("    - xlit|", B83, "|", B84,"|")</f>
        <v>#REF!</v>
      </c>
      <c r="C85" s="163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  <c r="AY85" s="163"/>
      <c r="AZ85" s="163"/>
      <c r="BA85" s="163"/>
      <c r="BB85" s="163"/>
      <c r="BC85" s="163"/>
      <c r="BD85" s="163"/>
      <c r="BE85" s="163"/>
      <c r="BF85" s="163"/>
      <c r="BG85" s="163"/>
      <c r="BH85" s="163"/>
      <c r="BI85" s="163"/>
      <c r="BJ85" s="163"/>
      <c r="BK85" s="163"/>
    </row>
    <row r="86" spans="1:63">
      <c r="A86" s="185"/>
      <c r="B86" s="163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  <c r="AY86" s="163"/>
      <c r="AZ86" s="163"/>
      <c r="BA86" s="163"/>
      <c r="BB86" s="163"/>
      <c r="BC86" s="163"/>
      <c r="BD86" s="163"/>
      <c r="BE86" s="163"/>
      <c r="BF86" s="163"/>
      <c r="BG86" s="163"/>
      <c r="BH86" s="163"/>
      <c r="BI86" s="163"/>
      <c r="BJ86" s="163"/>
      <c r="BK86" s="163"/>
    </row>
    <row r="87" spans="1:63">
      <c r="A87" s="185"/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  <c r="AV87" s="163"/>
      <c r="AW87" s="163"/>
      <c r="AX87" s="163"/>
      <c r="AY87" s="163"/>
      <c r="AZ87" s="163"/>
      <c r="BA87" s="163"/>
      <c r="BB87" s="163"/>
      <c r="BC87" s="163"/>
      <c r="BD87" s="163"/>
      <c r="BE87" s="163"/>
      <c r="BF87" s="163"/>
      <c r="BG87" s="163"/>
      <c r="BH87" s="163"/>
      <c r="BI87" s="163"/>
      <c r="BJ87" s="163"/>
      <c r="BK87" s="163"/>
    </row>
    <row r="88" spans="1:63" ht="39">
      <c r="B88" s="205" t="e">
        <f>_xlfn.CONCAT(B75:AX75)</f>
        <v>#REF!</v>
      </c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</row>
    <row r="89" spans="1:63" ht="39">
      <c r="B89" s="205" t="e">
        <f>_xlfn.CONCAT(B76:AX76)</f>
        <v>#REF!</v>
      </c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  <c r="BE89" s="163"/>
      <c r="BF89" s="163"/>
      <c r="BG89" s="163"/>
      <c r="BH89" s="163"/>
      <c r="BI89" s="163"/>
    </row>
    <row r="90" spans="1:63" ht="39">
      <c r="B90" s="205" t="e">
        <f xml:space="preserve"> _xlfn.CONCAT("    - xlit|", B88, "|", B89,"|")</f>
        <v>#REF!</v>
      </c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  <c r="AV90" s="163"/>
      <c r="AW90" s="163"/>
      <c r="AX90" s="163"/>
      <c r="AY90" s="163"/>
      <c r="AZ90" s="163"/>
      <c r="BA90" s="163"/>
      <c r="BB90" s="163"/>
      <c r="BC90" s="163"/>
      <c r="BD90" s="163"/>
      <c r="BE90" s="163"/>
      <c r="BF90" s="163"/>
      <c r="BG90" s="163"/>
      <c r="BH90" s="163"/>
      <c r="BI90" s="163"/>
    </row>
    <row r="91" spans="1:63" ht="39">
      <c r="B91" s="204"/>
      <c r="C91" s="163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/>
      <c r="AX91" s="163"/>
      <c r="AY91" s="163"/>
      <c r="AZ91" s="163"/>
      <c r="BA91" s="163"/>
      <c r="BB91" s="163"/>
      <c r="BC91" s="163"/>
      <c r="BD91" s="163"/>
      <c r="BE91" s="163"/>
      <c r="BF91" s="163"/>
      <c r="BG91" s="163"/>
      <c r="BH91" s="163"/>
      <c r="BI91" s="163"/>
    </row>
    <row r="92" spans="1:63" ht="39">
      <c r="A92" s="185">
        <f ca="1" xml:space="preserve"> LEN(B110)</f>
        <v>49</v>
      </c>
      <c r="B92" s="204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163"/>
      <c r="AY92" s="163"/>
      <c r="AZ92" s="163"/>
      <c r="BA92" s="163"/>
      <c r="BB92" s="163"/>
      <c r="BC92" s="163"/>
      <c r="BD92" s="163"/>
      <c r="BE92" s="163"/>
      <c r="BF92" s="163"/>
      <c r="BG92" s="163"/>
      <c r="BH92" s="163"/>
      <c r="BI92" s="163"/>
    </row>
    <row r="93" spans="1:63" ht="39">
      <c r="A93" s="185">
        <f ca="1" xml:space="preserve"> LEN(B111)</f>
        <v>49</v>
      </c>
      <c r="B93" s="205" t="e">
        <f>_xlfn.CONCAT(_xlfn.ANCHORARRAY(B75))</f>
        <v>#REF!</v>
      </c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163"/>
      <c r="BB93" s="163"/>
      <c r="BC93" s="163"/>
      <c r="BD93" s="163"/>
      <c r="BE93" s="163"/>
      <c r="BF93" s="163"/>
      <c r="BG93" s="163"/>
      <c r="BH93" s="163"/>
      <c r="BI93" s="163"/>
    </row>
    <row r="94" spans="1:63" ht="39">
      <c r="B94" s="205" t="e">
        <f>_xlfn.CONCAT(_xlfn.ANCHORARRAY(B76))</f>
        <v>#REF!</v>
      </c>
      <c r="C94" s="163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  <c r="W94" s="163"/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63"/>
      <c r="AI94" s="163"/>
      <c r="AJ94" s="163"/>
      <c r="AK94" s="163"/>
      <c r="AL94" s="163"/>
      <c r="AM94" s="163"/>
      <c r="AN94" s="163"/>
      <c r="AO94" s="163"/>
      <c r="AP94" s="163"/>
      <c r="AQ94" s="163"/>
      <c r="AR94" s="163"/>
      <c r="AS94" s="163"/>
      <c r="AT94" s="163"/>
      <c r="AU94" s="163"/>
      <c r="AV94" s="163"/>
      <c r="AW94" s="163"/>
      <c r="AX94" s="163"/>
      <c r="AY94" s="163"/>
      <c r="AZ94" s="163"/>
      <c r="BA94" s="163"/>
      <c r="BB94" s="163"/>
      <c r="BC94" s="163"/>
      <c r="BD94" s="163"/>
      <c r="BE94" s="163"/>
      <c r="BF94" s="163"/>
      <c r="BG94" s="163"/>
      <c r="BH94" s="163"/>
      <c r="BI94" s="163"/>
    </row>
    <row r="95" spans="1:63" ht="39">
      <c r="B95" s="205" t="e">
        <f xml:space="preserve"> _xlfn.CONCAT("    - xlit|", B93, "|", B94,"|")</f>
        <v>#REF!</v>
      </c>
      <c r="C95" s="163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  <c r="W95" s="163"/>
      <c r="X95" s="163"/>
      <c r="Y95" s="163"/>
      <c r="Z95" s="163"/>
      <c r="AA95" s="163"/>
      <c r="AB95" s="163"/>
      <c r="AC95" s="163"/>
      <c r="AD95" s="163"/>
      <c r="AE95" s="163"/>
      <c r="AF95" s="163"/>
      <c r="AG95" s="163"/>
      <c r="AH95" s="163"/>
      <c r="AI95" s="163"/>
      <c r="AJ95" s="163"/>
      <c r="AK95" s="163"/>
      <c r="AL95" s="163"/>
      <c r="AM95" s="163"/>
      <c r="AN95" s="163"/>
      <c r="AO95" s="163"/>
      <c r="AP95" s="163"/>
      <c r="AQ95" s="163"/>
      <c r="AR95" s="163"/>
      <c r="AS95" s="163"/>
      <c r="AT95" s="163"/>
      <c r="AU95" s="163"/>
      <c r="AV95" s="163"/>
      <c r="AW95" s="163"/>
      <c r="AX95" s="163"/>
      <c r="AY95" s="163"/>
      <c r="AZ95" s="163"/>
      <c r="BA95" s="163"/>
      <c r="BB95" s="163"/>
      <c r="BC95" s="163"/>
      <c r="BD95" s="163"/>
      <c r="BE95" s="163"/>
      <c r="BF95" s="163"/>
      <c r="BG95" s="163"/>
      <c r="BH95" s="163"/>
      <c r="BI95" s="163"/>
    </row>
    <row r="96" spans="1:63" ht="39">
      <c r="B96" s="204"/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3"/>
      <c r="AH96" s="163"/>
      <c r="AI96" s="163"/>
      <c r="AJ96" s="163"/>
      <c r="AK96" s="163"/>
      <c r="AL96" s="163"/>
      <c r="AM96" s="163"/>
      <c r="AN96" s="163"/>
      <c r="AO96" s="163"/>
      <c r="AP96" s="163"/>
      <c r="AQ96" s="163"/>
      <c r="AR96" s="163"/>
      <c r="AS96" s="163"/>
      <c r="AT96" s="163"/>
      <c r="AU96" s="163"/>
      <c r="AV96" s="163"/>
      <c r="AW96" s="163"/>
      <c r="AX96" s="163"/>
      <c r="AY96" s="163"/>
      <c r="AZ96" s="163"/>
      <c r="BA96" s="163"/>
      <c r="BB96" s="163"/>
      <c r="BC96" s="163"/>
      <c r="BD96" s="163"/>
      <c r="BE96" s="163"/>
      <c r="BF96" s="163"/>
      <c r="BG96" s="163"/>
      <c r="BH96" s="163"/>
      <c r="BI96" s="163"/>
    </row>
    <row r="97" spans="2:61" ht="39">
      <c r="B97" s="204"/>
      <c r="C97" s="163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  <c r="AY97" s="163"/>
      <c r="AZ97" s="163"/>
      <c r="BA97" s="163"/>
      <c r="BB97" s="163"/>
      <c r="BC97" s="163"/>
      <c r="BD97" s="163"/>
      <c r="BE97" s="163"/>
      <c r="BF97" s="163"/>
      <c r="BG97" s="163"/>
      <c r="BH97" s="163"/>
      <c r="BI97" s="163"/>
    </row>
    <row r="98" spans="2:61">
      <c r="B98" s="163"/>
      <c r="C98" s="163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63"/>
      <c r="AY98" s="163"/>
      <c r="AZ98" s="163"/>
      <c r="BA98" s="163"/>
      <c r="BB98" s="163"/>
      <c r="BC98" s="163"/>
      <c r="BD98" s="163"/>
      <c r="BE98" s="163"/>
      <c r="BF98" s="163"/>
      <c r="BG98" s="163"/>
      <c r="BH98" s="163"/>
      <c r="BI98" s="163"/>
    </row>
    <row r="99" spans="2:61">
      <c r="B99" s="196" t="s">
        <v>211</v>
      </c>
      <c r="C99" s="163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  <c r="W99" s="163"/>
      <c r="X99" s="163"/>
      <c r="Y99" s="163"/>
      <c r="Z99" s="163"/>
      <c r="AA99" s="163"/>
      <c r="AB99" s="163"/>
      <c r="AC99" s="163"/>
      <c r="AD99" s="163"/>
      <c r="AE99" s="163"/>
      <c r="AF99" s="163"/>
      <c r="AG99" s="163"/>
      <c r="AH99" s="163"/>
      <c r="AI99" s="163"/>
      <c r="AJ99" s="163"/>
      <c r="AK99" s="163"/>
      <c r="AL99" s="163"/>
      <c r="AM99" s="163"/>
      <c r="AN99" s="163"/>
      <c r="AO99" s="163"/>
      <c r="AP99" s="163"/>
      <c r="AQ99" s="163"/>
      <c r="AR99" s="163"/>
      <c r="AS99" s="163"/>
      <c r="AT99" s="163"/>
      <c r="AU99" s="163"/>
      <c r="AV99" s="163"/>
      <c r="AW99" s="163"/>
      <c r="AX99" s="163"/>
      <c r="AY99" s="163"/>
      <c r="AZ99" s="163"/>
      <c r="BA99" s="163"/>
      <c r="BB99" s="163"/>
      <c r="BC99" s="163"/>
      <c r="BD99" s="163"/>
      <c r="BE99" s="163"/>
      <c r="BF99" s="163"/>
      <c r="BG99" s="163"/>
      <c r="BH99" s="163"/>
      <c r="BI99" s="163"/>
    </row>
    <row r="100" spans="2:61">
      <c r="B100" s="196" t="s">
        <v>212</v>
      </c>
      <c r="C100" s="163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3"/>
      <c r="AX100" s="163"/>
      <c r="AY100" s="163"/>
      <c r="AZ100" s="163"/>
      <c r="BA100" s="163"/>
      <c r="BB100" s="163"/>
      <c r="BC100" s="163"/>
      <c r="BD100" s="163"/>
      <c r="BE100" s="163"/>
      <c r="BF100" s="163"/>
      <c r="BG100" s="163"/>
      <c r="BH100" s="163"/>
      <c r="BI100" s="163"/>
    </row>
    <row r="101" spans="2:61">
      <c r="B101" s="163"/>
      <c r="C101" s="163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 t="s">
        <v>38</v>
      </c>
      <c r="AV101" s="163" t="s">
        <v>193</v>
      </c>
      <c r="AW101" s="163" t="s">
        <v>97</v>
      </c>
      <c r="AX101" s="163" t="s">
        <v>102</v>
      </c>
      <c r="AY101" s="163"/>
      <c r="AZ101" s="163"/>
      <c r="BA101" s="163"/>
      <c r="BB101" s="163"/>
      <c r="BC101" s="163"/>
      <c r="BD101" s="163"/>
      <c r="BE101" s="163"/>
      <c r="BF101" s="163"/>
      <c r="BG101" s="163"/>
      <c r="BH101" s="163"/>
      <c r="BI101" s="163"/>
    </row>
    <row r="102" spans="2:61">
      <c r="B102" s="163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  <c r="AY102" s="163"/>
      <c r="AZ102" s="163"/>
      <c r="BA102" s="163"/>
      <c r="BB102" s="163"/>
      <c r="BG102" s="163"/>
      <c r="BH102" s="163"/>
      <c r="BI102" s="163"/>
    </row>
    <row r="103" spans="2:61">
      <c r="B103" s="178">
        <v>1</v>
      </c>
      <c r="C103" s="178">
        <v>2</v>
      </c>
      <c r="D103" s="178">
        <v>3</v>
      </c>
      <c r="E103" s="178">
        <v>4</v>
      </c>
      <c r="F103" s="178">
        <v>5</v>
      </c>
      <c r="G103" s="178">
        <v>6</v>
      </c>
      <c r="H103" s="178">
        <v>7</v>
      </c>
      <c r="I103" s="178">
        <v>8</v>
      </c>
      <c r="J103" s="178">
        <v>9</v>
      </c>
      <c r="K103" s="178">
        <v>10</v>
      </c>
      <c r="L103" s="178">
        <v>11</v>
      </c>
      <c r="M103" s="178">
        <v>12</v>
      </c>
      <c r="N103" s="178">
        <v>13</v>
      </c>
      <c r="O103" s="178">
        <v>14</v>
      </c>
      <c r="P103" s="178">
        <v>15</v>
      </c>
      <c r="Q103" s="178">
        <v>16</v>
      </c>
      <c r="R103" s="178">
        <v>17</v>
      </c>
      <c r="S103" s="179">
        <v>18</v>
      </c>
      <c r="T103" s="178">
        <v>19</v>
      </c>
      <c r="U103" s="178">
        <v>20</v>
      </c>
      <c r="V103" s="178">
        <v>21</v>
      </c>
      <c r="W103" s="178">
        <v>22</v>
      </c>
      <c r="X103" s="178">
        <v>23</v>
      </c>
      <c r="Y103" s="178">
        <v>24</v>
      </c>
      <c r="Z103" s="178">
        <v>25</v>
      </c>
      <c r="AA103" s="178">
        <v>26</v>
      </c>
      <c r="AB103" s="178">
        <v>27</v>
      </c>
      <c r="AC103" s="178">
        <v>28</v>
      </c>
      <c r="AD103" s="178">
        <v>29</v>
      </c>
      <c r="AE103" s="178">
        <v>30</v>
      </c>
      <c r="AF103" s="178">
        <v>31</v>
      </c>
      <c r="AG103" s="178">
        <v>32</v>
      </c>
      <c r="AH103" s="180">
        <v>33</v>
      </c>
      <c r="AI103" s="180">
        <v>34</v>
      </c>
      <c r="AJ103" s="180">
        <v>35</v>
      </c>
      <c r="AK103" s="180">
        <v>36</v>
      </c>
      <c r="AL103" s="181">
        <v>37</v>
      </c>
      <c r="AM103" s="180">
        <v>38</v>
      </c>
      <c r="AN103" s="180">
        <v>39</v>
      </c>
      <c r="AO103" s="180">
        <v>40</v>
      </c>
      <c r="AP103" s="180">
        <v>41</v>
      </c>
      <c r="AQ103" s="180">
        <v>42</v>
      </c>
      <c r="AR103" s="180">
        <v>43</v>
      </c>
      <c r="AS103" s="180">
        <v>44</v>
      </c>
      <c r="AT103" s="180">
        <v>45</v>
      </c>
      <c r="AU103" s="180">
        <v>46</v>
      </c>
      <c r="AV103" s="180">
        <v>47</v>
      </c>
      <c r="AW103" s="180">
        <v>48</v>
      </c>
      <c r="AX103" s="180">
        <v>49</v>
      </c>
      <c r="AY103" s="180">
        <v>50</v>
      </c>
      <c r="AZ103" s="180">
        <v>51</v>
      </c>
      <c r="BA103" s="180">
        <v>52</v>
      </c>
      <c r="BB103" s="180">
        <v>53</v>
      </c>
      <c r="BC103" s="180">
        <v>54</v>
      </c>
      <c r="BD103" s="180">
        <v>55</v>
      </c>
      <c r="BE103" s="180">
        <v>56</v>
      </c>
      <c r="BF103" s="180">
        <v>57</v>
      </c>
      <c r="BG103" s="180">
        <v>58</v>
      </c>
      <c r="BH103" s="180">
        <v>59</v>
      </c>
      <c r="BI103" s="180">
        <v>60</v>
      </c>
    </row>
    <row r="104" spans="2:61">
      <c r="B104" s="206" t="str" cm="1">
        <f t="array" aca="1" ref="B104" ca="1" xml:space="preserve"> MID($B$99, INDIRECT( ADDRESS(ROW()-1, COLUMN()) ),1)</f>
        <v>1</v>
      </c>
      <c r="C104" s="206" t="str" cm="1">
        <f t="array" aca="1" ref="C104" ca="1" xml:space="preserve"> MID($B$99, INDIRECT( ADDRESS(ROW()-1, COLUMN()) ),1)</f>
        <v>!</v>
      </c>
      <c r="D104" s="206" t="str" cm="1">
        <f t="array" aca="1" ref="D104" ca="1" xml:space="preserve"> MID($B$99, INDIRECT( ADDRESS(ROW()-1, COLUMN()) ),1)</f>
        <v>q</v>
      </c>
      <c r="E104" s="206" t="str" cm="1">
        <f t="array" aca="1" ref="E104" ca="1" xml:space="preserve"> MID($B$99, INDIRECT( ADDRESS(ROW()-1, COLUMN()) ),1)</f>
        <v>a</v>
      </c>
      <c r="F104" s="206" t="str" cm="1">
        <f t="array" aca="1" ref="F104" ca="1" xml:space="preserve"> MID($B$99, INDIRECT( ADDRESS(ROW()-1, COLUMN()) ),1)</f>
        <v>2</v>
      </c>
      <c r="G104" s="206" t="str" cm="1">
        <f t="array" aca="1" ref="G104" ca="1" xml:space="preserve"> MID($B$99, INDIRECT( ADDRESS(ROW()-1, COLUMN()) ),1)</f>
        <v>w</v>
      </c>
      <c r="H104" s="206" t="str" cm="1">
        <f t="array" aca="1" ref="H104" ca="1" xml:space="preserve"> MID($B$99, INDIRECT( ADDRESS(ROW()-1, COLUMN()) ),1)</f>
        <v>s</v>
      </c>
      <c r="I104" s="206" t="str" cm="1">
        <f t="array" aca="1" ref="I104" ca="1" xml:space="preserve"> MID($B$99, INDIRECT( ADDRESS(ROW()-1, COLUMN()) ),1)</f>
        <v>x</v>
      </c>
      <c r="J104" s="206" t="str" cm="1">
        <f t="array" aca="1" ref="J104" ca="1" xml:space="preserve"> MID($B$99, INDIRECT( ADDRESS(ROW()-1, COLUMN()) ),1)</f>
        <v>e</v>
      </c>
      <c r="K104" s="206" t="str" cm="1">
        <f t="array" aca="1" ref="K104" ca="1" xml:space="preserve"> MID($B$99, INDIRECT( ADDRESS(ROW()-1, COLUMN()) ),1)</f>
        <v>E</v>
      </c>
      <c r="L104" s="206" t="str" cm="1">
        <f t="array" aca="1" ref="L104" ca="1" xml:space="preserve"> MID($B$99, INDIRECT( ADDRESS(ROW()-1, COLUMN()) ),1)</f>
        <v>d</v>
      </c>
      <c r="M104" s="206" t="s">
        <v>213</v>
      </c>
      <c r="N104" s="206" t="str" cm="1">
        <f t="array" aca="1" ref="N104" ca="1" xml:space="preserve"> MID($B$99, INDIRECT( ADDRESS(ROW()-1, COLUMN()) ),1)</f>
        <v>c</v>
      </c>
      <c r="O104" s="206" t="str" cm="1">
        <f t="array" aca="1" ref="O104" ca="1" xml:space="preserve"> MID($B$99, INDIRECT( ADDRESS(ROW()-1, COLUMN()) ),1)</f>
        <v>r</v>
      </c>
      <c r="P104" s="206" t="str" cm="1">
        <f t="array" aca="1" ref="P104" ca="1" xml:space="preserve"> MID($B$99, INDIRECT( ADDRESS(ROW()-1, COLUMN()) ),1)</f>
        <v>R</v>
      </c>
      <c r="Q104" s="206" t="str" cm="1">
        <f t="array" aca="1" ref="Q104" ca="1" xml:space="preserve"> MID($B$99, INDIRECT( ADDRESS(ROW()-1, COLUMN()) ),1)</f>
        <v>f</v>
      </c>
      <c r="R104" s="206" t="str" cm="1">
        <f t="array" aca="1" ref="R104" ca="1" xml:space="preserve"> MID($B$99, INDIRECT( ADDRESS(ROW()-1, COLUMN()) ),1)</f>
        <v>v</v>
      </c>
      <c r="S104" s="206" t="str" cm="1">
        <f t="array" aca="1" ref="S104" ca="1" xml:space="preserve"> MID($B$99, INDIRECT( ADDRESS(ROW()-1, COLUMN()) ),1)</f>
        <v>y</v>
      </c>
      <c r="T104" s="206" t="str" cm="1">
        <f t="array" aca="1" ref="T104" ca="1" xml:space="preserve"> MID($B$99, INDIRECT( ADDRESS(ROW()-1, COLUMN()) ),1)</f>
        <v>Y</v>
      </c>
      <c r="U104" s="206" t="str" cm="1">
        <f t="array" aca="1" ref="U104" ca="1" xml:space="preserve"> MID($B$99, INDIRECT( ADDRESS(ROW()-1, COLUMN()) ),1)</f>
        <v>h</v>
      </c>
      <c r="V104" s="206" t="str" cm="1">
        <f t="array" aca="1" ref="V104" ca="1" xml:space="preserve"> MID($B$99, INDIRECT( ADDRESS(ROW()-1, COLUMN()) ),1)</f>
        <v>n</v>
      </c>
      <c r="W104" s="206" t="str" cm="1">
        <f t="array" aca="1" ref="W104" ca="1" xml:space="preserve"> MID($B$99, INDIRECT( ADDRESS(ROW()-1, COLUMN()) ),1)</f>
        <v>u</v>
      </c>
      <c r="X104" s="206" t="str" cm="1">
        <f t="array" aca="1" ref="X104" ca="1" xml:space="preserve"> MID($B$99, INDIRECT( ADDRESS(ROW()-1, COLUMN()) ),1)</f>
        <v>U</v>
      </c>
      <c r="Y104" s="206" t="str" cm="1">
        <f t="array" aca="1" ref="Y104" ca="1" xml:space="preserve"> MID($B$99, INDIRECT( ADDRESS(ROW()-1, COLUMN()) ),1)</f>
        <v>j</v>
      </c>
      <c r="Z104" s="206" t="str" cm="1">
        <f t="array" aca="1" ref="Z104" ca="1" xml:space="preserve"> MID($B$99, INDIRECT( ADDRESS(ROW()-1, COLUMN()) ),1)</f>
        <v>J</v>
      </c>
      <c r="AA104" s="206" t="str" cm="1">
        <f t="array" aca="1" ref="AA104" ca="1" xml:space="preserve"> MID($B$99, INDIRECT( ADDRESS(ROW()-1, COLUMN()) ),1)</f>
        <v>8</v>
      </c>
      <c r="AB104" s="206" t="str" cm="1">
        <f t="array" aca="1" ref="AB104" ca="1" xml:space="preserve"> MID($B$99, INDIRECT( ADDRESS(ROW()-1, COLUMN()) ),1)</f>
        <v>*</v>
      </c>
      <c r="AC104" s="206" t="str" cm="1">
        <f t="array" aca="1" ref="AC104" ca="1" xml:space="preserve"> MID($B$99, INDIRECT( ADDRESS(ROW()-1, COLUMN()) ),1)</f>
        <v>i</v>
      </c>
      <c r="AD104" s="206" t="str" cm="1">
        <f t="array" aca="1" ref="AD104" ca="1" xml:space="preserve"> MID($B$99, INDIRECT( ADDRESS(ROW()-1, COLUMN()) ),1)</f>
        <v>I</v>
      </c>
      <c r="AE104" s="206" t="str" cm="1">
        <f t="array" aca="1" ref="AE104" ca="1" xml:space="preserve"> MID($B$99, INDIRECT( ADDRESS(ROW()-1, COLUMN()) ),1)</f>
        <v>k</v>
      </c>
      <c r="AF104" s="206" t="str" cm="1">
        <f t="array" aca="1" ref="AF104" ca="1" xml:space="preserve"> MID($B$99, INDIRECT( ADDRESS(ROW()-1, COLUMN()) ),1)</f>
        <v>,</v>
      </c>
      <c r="AG104" s="206" t="str" cm="1">
        <f t="array" aca="1" ref="AG104" ca="1" xml:space="preserve"> MID($B$99, INDIRECT( ADDRESS(ROW()-1, COLUMN()) ),1)</f>
        <v>&lt;</v>
      </c>
      <c r="AH104" s="206" t="str" cm="1">
        <f t="array" aca="1" ref="AH104" ca="1" xml:space="preserve"> MID($B$99, INDIRECT( ADDRESS(ROW()-1, COLUMN()) ),1)</f>
        <v>9</v>
      </c>
      <c r="AI104" s="206" t="str" cm="1">
        <f t="array" aca="1" ref="AI104" ca="1" xml:space="preserve"> MID($B$99, INDIRECT( ADDRESS(ROW()-1, COLUMN()) ),1)</f>
        <v>(</v>
      </c>
      <c r="AJ104" s="206" t="str" cm="1">
        <f t="array" aca="1" ref="AJ104" ca="1" xml:space="preserve"> MID($B$99, INDIRECT( ADDRESS(ROW()-1, COLUMN()) ),1)</f>
        <v>l</v>
      </c>
      <c r="AK104" s="206" t="str" cm="1">
        <f t="array" aca="1" ref="AK104" ca="1" xml:space="preserve"> MID($B$99, INDIRECT( ADDRESS(ROW()-1, COLUMN()) ),1)</f>
        <v>L</v>
      </c>
      <c r="AL104" s="206" t="str" cm="1">
        <f t="array" aca="1" ref="AL104" ca="1" xml:space="preserve"> MID($B$99, INDIRECT( ADDRESS(ROW()-1, COLUMN()) ),1)</f>
        <v>;</v>
      </c>
      <c r="AM104" s="206" t="str" cm="1">
        <f t="array" aca="1" ref="AM104" ca="1" xml:space="preserve"> MID($B$99, INDIRECT( ADDRESS(ROW()-1, COLUMN()) ),1)</f>
        <v>o</v>
      </c>
      <c r="AN104" s="206" t="str" cm="1">
        <f t="array" aca="1" ref="AN104" ca="1" xml:space="preserve"> MID($B$99, INDIRECT( ADDRESS(ROW()-1, COLUMN()) ),1)</f>
        <v>M</v>
      </c>
      <c r="AO104" s="206" t="str" cm="1">
        <f t="array" aca="1" ref="AO104" ca="1" xml:space="preserve"> MID($B$99, INDIRECT( ADDRESS(ROW()-1, COLUMN()) ),1)</f>
        <v>O</v>
      </c>
      <c r="AP104" s="206" t="str" cm="1">
        <f t="array" aca="1" ref="AP104" ca="1" xml:space="preserve"> MID($B$99, INDIRECT( ADDRESS(ROW()-1, COLUMN()) ),1)</f>
        <v>0</v>
      </c>
      <c r="AQ104" s="206" t="str" cm="1">
        <f t="array" aca="1" ref="AQ104" ca="1" xml:space="preserve"> MID($B$99, INDIRECT( ADDRESS(ROW()-1, COLUMN()) ),1)</f>
        <v>m</v>
      </c>
      <c r="AR104" s="206" t="str" cm="1">
        <f t="array" aca="1" ref="AR104" ca="1" xml:space="preserve"> MID($B$99, INDIRECT( ADDRESS(ROW()-1, COLUMN()) ),1)</f>
        <v>p</v>
      </c>
      <c r="AS104" s="206" t="str" cm="1">
        <f t="array" aca="1" ref="AS104" ca="1" xml:space="preserve"> MID($B$99, INDIRECT( ADDRESS(ROW()-1, COLUMN()) ),1)</f>
        <v>/</v>
      </c>
      <c r="AT104" s="206" t="str" cm="1">
        <f t="array" aca="1" ref="AT104" ca="1" xml:space="preserve"> MID($B$99, INDIRECT( ADDRESS(ROW()-1, COLUMN()) ),1)</f>
        <v>K</v>
      </c>
      <c r="AU104" s="206" t="s">
        <v>214</v>
      </c>
      <c r="AV104" s="206" t="s">
        <v>215</v>
      </c>
      <c r="AW104" s="206" t="s">
        <v>11</v>
      </c>
      <c r="AX104" s="206" t="s">
        <v>216</v>
      </c>
      <c r="AY104" s="206" t="str" cm="1">
        <f t="array" aca="1" ref="AY104" ca="1" xml:space="preserve"> MID($B$99, INDIRECT( ADDRESS(ROW()-1, COLUMN()) ),1)</f>
        <v/>
      </c>
      <c r="AZ104" s="206" t="str" cm="1">
        <f t="array" aca="1" ref="AZ104" ca="1" xml:space="preserve"> MID($B$99, INDIRECT( ADDRESS(ROW()-1, COLUMN()) ),1)</f>
        <v/>
      </c>
      <c r="BA104" s="206" t="str" cm="1">
        <f t="array" aca="1" ref="BA104" ca="1" xml:space="preserve"> MID($B$99, INDIRECT( ADDRESS(ROW()-1, COLUMN()) ),1)</f>
        <v/>
      </c>
      <c r="BB104" s="206" t="str" cm="1">
        <f t="array" aca="1" ref="BB104" ca="1" xml:space="preserve"> MID($B$99, INDIRECT( ADDRESS(ROW()-1, COLUMN()) ),1)</f>
        <v/>
      </c>
      <c r="BC104" s="206" t="str" cm="1">
        <f t="array" aca="1" ref="BC104" ca="1" xml:space="preserve"> MID($B$99, INDIRECT( ADDRESS(ROW()-1, COLUMN()) ),1)</f>
        <v/>
      </c>
      <c r="BD104" s="206" t="str" cm="1">
        <f t="array" aca="1" ref="BD104" ca="1" xml:space="preserve"> MID($B$99, INDIRECT( ADDRESS(ROW()-1, COLUMN()) ),1)</f>
        <v/>
      </c>
      <c r="BE104" s="206" t="str" cm="1">
        <f t="array" aca="1" ref="BE104" ca="1" xml:space="preserve"> MID($B$99, INDIRECT( ADDRESS(ROW()-1, COLUMN()) ),1)</f>
        <v/>
      </c>
      <c r="BF104" s="206" t="str" cm="1">
        <f t="array" aca="1" ref="BF104" ca="1" xml:space="preserve"> MID($B$99, INDIRECT( ADDRESS(ROW()-1, COLUMN()) ),1)</f>
        <v/>
      </c>
      <c r="BG104" s="206" t="str" cm="1">
        <f t="array" aca="1" ref="BG104" ca="1" xml:space="preserve"> MID($B$99, INDIRECT( ADDRESS(ROW()-1, COLUMN()) ),1)</f>
        <v/>
      </c>
      <c r="BH104" s="206" t="str" cm="1">
        <f t="array" aca="1" ref="BH104" ca="1" xml:space="preserve"> MID($B$99, INDIRECT( ADDRESS(ROW()-1, COLUMN()) ),1)</f>
        <v/>
      </c>
      <c r="BI104" s="206" t="str" cm="1">
        <f t="array" aca="1" ref="BI104" ca="1" xml:space="preserve"> MID($B$99, INDIRECT( ADDRESS(ROW()-1, COLUMN()) ),1)</f>
        <v/>
      </c>
    </row>
    <row r="105" spans="2:61">
      <c r="B105" s="206" t="str" cm="1">
        <f t="array" aca="1" ref="B105" ca="1" xml:space="preserve"> MID($B$100, INDIRECT( ADDRESS(ROW()-2, COLUMN()) ),1)</f>
        <v>ㄅ</v>
      </c>
      <c r="C105" s="206" t="str" cm="1">
        <f t="array" aca="1" ref="C105" ca="1" xml:space="preserve"> MID($B$100, INDIRECT( ADDRESS(ROW()-2, COLUMN()) ),1)</f>
        <v>ㆠ</v>
      </c>
      <c r="D105" s="206" t="str" cm="1">
        <f t="array" aca="1" ref="D105" ca="1" xml:space="preserve"> MID($B$100, INDIRECT( ADDRESS(ROW()-2, COLUMN()) ),1)</f>
        <v>ㄆ</v>
      </c>
      <c r="E105" s="206" t="str" cm="1">
        <f t="array" aca="1" ref="E105" ca="1" xml:space="preserve"> MID($B$100, INDIRECT( ADDRESS(ROW()-2, COLUMN()) ),1)</f>
        <v>ㄇ</v>
      </c>
      <c r="F105" s="206" t="str" cm="1">
        <f t="array" aca="1" ref="F105" ca="1" xml:space="preserve"> MID($B$100, INDIRECT( ADDRESS(ROW()-2, COLUMN()) ),1)</f>
        <v>ㄉ</v>
      </c>
      <c r="G105" s="206" t="str" cm="1">
        <f t="array" aca="1" ref="G105" ca="1" xml:space="preserve"> MID($B$100, INDIRECT( ADDRESS(ROW()-2, COLUMN()) ),1)</f>
        <v>ㄊ</v>
      </c>
      <c r="H105" s="206" t="str" cm="1">
        <f t="array" aca="1" ref="H105" ca="1" xml:space="preserve"> MID($B$100, INDIRECT( ADDRESS(ROW()-2, COLUMN()) ),1)</f>
        <v>ㄋ</v>
      </c>
      <c r="I105" s="206" t="str" cm="1">
        <f t="array" aca="1" ref="I105" ca="1" xml:space="preserve"> MID($B$100, INDIRECT( ADDRESS(ROW()-2, COLUMN()) ),1)</f>
        <v>ㄌ</v>
      </c>
      <c r="J105" s="206" t="str" cm="1">
        <f t="array" aca="1" ref="J105" ca="1" xml:space="preserve"> MID($B$100, INDIRECT( ADDRESS(ROW()-2, COLUMN()) ),1)</f>
        <v>ㄍ</v>
      </c>
      <c r="K105" s="206" t="str" cm="1">
        <f t="array" aca="1" ref="K105" ca="1" xml:space="preserve"> MID($B$100, INDIRECT( ADDRESS(ROW()-2, COLUMN()) ),1)</f>
        <v>ㆣ</v>
      </c>
      <c r="L105" s="206" t="str" cm="1">
        <f t="array" aca="1" ref="L105" ca="1" xml:space="preserve"> MID($B$100, INDIRECT( ADDRESS(ROW()-2, COLUMN()) ),1)</f>
        <v>ㄎ</v>
      </c>
      <c r="M105" s="206" t="str" cm="1">
        <f t="array" aca="1" ref="M105" ca="1" xml:space="preserve"> MID($B$100, INDIRECT( ADDRESS(ROW()-2, COLUMN()) ),1)</f>
        <v>ㄫ</v>
      </c>
      <c r="N105" s="206" t="str" cm="1">
        <f t="array" aca="1" ref="N105" ca="1" xml:space="preserve"> MID($B$100, INDIRECT( ADDRESS(ROW()-2, COLUMN()) ),1)</f>
        <v>ㄏ</v>
      </c>
      <c r="O105" s="206" t="str" cm="1">
        <f t="array" aca="1" ref="O105" ca="1" xml:space="preserve"> MID($B$100, INDIRECT( ADDRESS(ROW()-2, COLUMN()) ),1)</f>
        <v>ㄐ</v>
      </c>
      <c r="P105" s="206" t="str" cm="1">
        <f t="array" aca="1" ref="P105" ca="1" xml:space="preserve"> MID($B$100, INDIRECT( ADDRESS(ROW()-2, COLUMN()) ),1)</f>
        <v>ㆢ</v>
      </c>
      <c r="Q105" s="206" t="str" cm="1">
        <f t="array" aca="1" ref="Q105" ca="1" xml:space="preserve"> MID($B$100, INDIRECT( ADDRESS(ROW()-2, COLUMN()) ),1)</f>
        <v>ㄑ</v>
      </c>
      <c r="R105" s="206" t="str" cm="1">
        <f t="array" aca="1" ref="R105" ca="1" xml:space="preserve"> MID($B$100, INDIRECT( ADDRESS(ROW()-2, COLUMN()) ),1)</f>
        <v>ㄒ</v>
      </c>
      <c r="S105" s="206" t="str" cm="1">
        <f t="array" aca="1" ref="S105" ca="1" xml:space="preserve"> MID($B$100, INDIRECT( ADDRESS(ROW()-2, COLUMN()) ),1)</f>
        <v>ㄗ</v>
      </c>
      <c r="T105" s="206" t="str" cm="1">
        <f t="array" aca="1" ref="T105" ca="1" xml:space="preserve"> MID($B$100, INDIRECT( ADDRESS(ROW()-2, COLUMN()) ),1)</f>
        <v>ㆡ</v>
      </c>
      <c r="U105" s="206" t="str" cm="1">
        <f t="array" aca="1" ref="U105" ca="1" xml:space="preserve"> MID($B$100, INDIRECT( ADDRESS(ROW()-2, COLUMN()) ),1)</f>
        <v>ㄘ</v>
      </c>
      <c r="V105" s="206" t="str" cm="1">
        <f t="array" aca="1" ref="V105" ca="1" xml:space="preserve"> MID($B$100, INDIRECT( ADDRESS(ROW()-2, COLUMN()) ),1)</f>
        <v>ㄙ</v>
      </c>
      <c r="W105" s="206" t="str" cm="1">
        <f t="array" aca="1" ref="W105" ca="1" xml:space="preserve"> MID($B$100, INDIRECT( ADDRESS(ROW()-2, COLUMN()) ),1)</f>
        <v>ㄧ</v>
      </c>
      <c r="X105" s="206" t="str" cm="1">
        <f t="array" aca="1" ref="X105" ca="1" xml:space="preserve"> MID($B$100, INDIRECT( ADDRESS(ROW()-2, COLUMN()) ),1)</f>
        <v>ㆪ</v>
      </c>
      <c r="Y105" s="206" t="str" cm="1">
        <f t="array" aca="1" ref="Y105" ca="1" xml:space="preserve"> MID($B$100, INDIRECT( ADDRESS(ROW()-2, COLUMN()) ),1)</f>
        <v>ㄨ</v>
      </c>
      <c r="Z105" s="206" t="str" cm="1">
        <f t="array" aca="1" ref="Z105" ca="1" xml:space="preserve"> MID($B$100, INDIRECT( ADDRESS(ROW()-2, COLUMN()) ),1)</f>
        <v>ㆫ</v>
      </c>
      <c r="AA105" s="206" t="str" cm="1">
        <f t="array" aca="1" ref="AA105" ca="1" xml:space="preserve"> MID($B$100, INDIRECT( ADDRESS(ROW()-2, COLUMN()) ),1)</f>
        <v>ㄚ</v>
      </c>
      <c r="AB105" s="206" t="str" cm="1">
        <f t="array" aca="1" ref="AB105" ca="1" xml:space="preserve"> MID($B$100, INDIRECT( ADDRESS(ROW()-2, COLUMN()) ),1)</f>
        <v>ㆩ</v>
      </c>
      <c r="AC105" s="206" t="str" cm="1">
        <f t="array" aca="1" ref="AC105" ca="1" xml:space="preserve"> MID($B$100, INDIRECT( ADDRESS(ROW()-2, COLUMN()) ),1)</f>
        <v>ㆦ</v>
      </c>
      <c r="AD105" s="206" t="str" cm="1">
        <f t="array" aca="1" ref="AD105" ca="1" xml:space="preserve"> MID($B$100, INDIRECT( ADDRESS(ROW()-2, COLUMN()) ),1)</f>
        <v>ㆧ</v>
      </c>
      <c r="AE105" s="206" t="str" cm="1">
        <f t="array" aca="1" ref="AE105" ca="1" xml:space="preserve"> MID($B$100, INDIRECT( ADDRESS(ROW()-2, COLUMN()) ),1)</f>
        <v>ㄜ</v>
      </c>
      <c r="AF105" s="206" t="str" cm="1">
        <f t="array" aca="1" ref="AF105" ca="1" xml:space="preserve"> MID($B$100, INDIRECT( ADDRESS(ROW()-2, COLUMN()) ),1)</f>
        <v>ㆤ</v>
      </c>
      <c r="AG105" s="206" t="str" cm="1">
        <f t="array" aca="1" ref="AG105" ca="1" xml:space="preserve"> MID($B$100, INDIRECT( ADDRESS(ROW()-2, COLUMN()) ),1)</f>
        <v>ㆥ</v>
      </c>
      <c r="AH105" s="206" t="str" cm="1">
        <f t="array" aca="1" ref="AH105" ca="1" xml:space="preserve"> MID($B$100, INDIRECT( ADDRESS(ROW()-2, COLUMN()) ),1)</f>
        <v>ㄞ</v>
      </c>
      <c r="AI105" s="206" t="str" cm="1">
        <f t="array" aca="1" ref="AI105" ca="1" xml:space="preserve"> MID($B$100, INDIRECT( ADDRESS(ROW()-2, COLUMN()) ),1)</f>
        <v>ㆮ</v>
      </c>
      <c r="AJ105" s="206" t="str" cm="1">
        <f t="array" aca="1" ref="AJ105" ca="1" xml:space="preserve"> MID($B$100, INDIRECT( ADDRESS(ROW()-2, COLUMN()) ),1)</f>
        <v>ㄠ</v>
      </c>
      <c r="AK105" s="206" t="str" cm="1">
        <f t="array" aca="1" ref="AK105" ca="1" xml:space="preserve"> MID($B$100, INDIRECT( ADDRESS(ROW()-2, COLUMN()) ),1)</f>
        <v>ㆯ</v>
      </c>
      <c r="AL105" s="206" t="str" cm="1">
        <f t="array" aca="1" ref="AL105" ca="1" xml:space="preserve"> MID($B$100, INDIRECT( ADDRESS(ROW()-2, COLUMN()) ),1)</f>
        <v>ㄤ</v>
      </c>
      <c r="AM105" s="206" t="str" cm="1">
        <f t="array" aca="1" ref="AM105" ca="1" xml:space="preserve"> MID($B$100, INDIRECT( ADDRESS(ROW()-2, COLUMN()) ),1)</f>
        <v>ㆲ</v>
      </c>
      <c r="AN105" s="206" t="str" cm="1">
        <f t="array" aca="1" ref="AN105" ca="1" xml:space="preserve"> MID($B$100, INDIRECT( ADDRESS(ROW()-2, COLUMN()) ),1)</f>
        <v>ㆰ</v>
      </c>
      <c r="AO105" s="206" t="str" cm="1">
        <f t="array" aca="1" ref="AO105" ca="1" xml:space="preserve"> MID($B$100, INDIRECT( ADDRESS(ROW()-2, COLUMN()) ),1)</f>
        <v>ㆱ</v>
      </c>
      <c r="AP105" s="206" t="str" cm="1">
        <f t="array" aca="1" ref="AP105" ca="1" xml:space="preserve"> MID($B$100, INDIRECT( ADDRESS(ROW()-2, COLUMN()) ),1)</f>
        <v>ㄢ</v>
      </c>
      <c r="AQ105" s="206" t="str" cm="1">
        <f t="array" aca="1" ref="AQ105" ca="1" xml:space="preserve"> MID($B$100, INDIRECT( ADDRESS(ROW()-2, COLUMN()) ),1)</f>
        <v>ㆬ</v>
      </c>
      <c r="AR105" s="206" t="str" cm="1">
        <f t="array" aca="1" ref="AR105" ca="1" xml:space="preserve"> MID($B$100, INDIRECT( ADDRESS(ROW()-2, COLUMN()) ),1)</f>
        <v>ㄣ</v>
      </c>
      <c r="AS105" s="206" t="str" cm="1">
        <f t="array" aca="1" ref="AS105" ca="1" xml:space="preserve"> MID($B$100, INDIRECT( ADDRESS(ROW()-2, COLUMN()) ),1)</f>
        <v>ㆭ</v>
      </c>
      <c r="AT105" s="206" t="str" cm="1">
        <f t="array" aca="1" ref="AT105" ca="1" xml:space="preserve"> MID($B$100, INDIRECT( ADDRESS(ROW()-2, COLUMN()) ),1)</f>
        <v>ㆨ</v>
      </c>
      <c r="AU105" s="206" t="str" cm="1">
        <f t="array" aca="1" ref="AU105" ca="1" xml:space="preserve"> MID($B$100, INDIRECT( ADDRESS(ROW()-2, COLUMN()) ),1)</f>
        <v>ㆴ</v>
      </c>
      <c r="AV105" s="206" t="str" cm="1">
        <f t="array" aca="1" ref="AV105" ca="1" xml:space="preserve"> MID($B$100, INDIRECT( ADDRESS(ROW()-2, COLUMN()) ),1)</f>
        <v>ㆵ</v>
      </c>
      <c r="AW105" s="206" t="str" cm="1">
        <f t="array" aca="1" ref="AW105" ca="1" xml:space="preserve"> MID($B$100, INDIRECT( ADDRESS(ROW()-2, COLUMN()) ),1)</f>
        <v>ㆻ</v>
      </c>
      <c r="AX105" s="206" t="str" cm="1">
        <f t="array" aca="1" ref="AX105" ca="1" xml:space="preserve"> MID($B$100, INDIRECT( ADDRESS(ROW()-2, COLUMN()) ),1)</f>
        <v>ㆷ</v>
      </c>
      <c r="AY105" s="206" t="str" cm="1">
        <f t="array" aca="1" ref="AY105" ca="1" xml:space="preserve"> MID($B$100, INDIRECT( ADDRESS(ROW()-2, COLUMN()) ),1)</f>
        <v/>
      </c>
      <c r="AZ105" s="206" t="str" cm="1">
        <f t="array" aca="1" ref="AZ105" ca="1" xml:space="preserve"> MID($B$100, INDIRECT( ADDRESS(ROW()-2, COLUMN()) ),1)</f>
        <v/>
      </c>
      <c r="BA105" s="206" t="str" cm="1">
        <f t="array" aca="1" ref="BA105" ca="1" xml:space="preserve"> MID($B$100, INDIRECT( ADDRESS(ROW()-2, COLUMN()) ),1)</f>
        <v/>
      </c>
      <c r="BB105" s="206" t="str" cm="1">
        <f t="array" aca="1" ref="BB105" ca="1" xml:space="preserve"> MID($B$100, INDIRECT( ADDRESS(ROW()-2, COLUMN()) ),1)</f>
        <v/>
      </c>
      <c r="BC105" s="206" t="str" cm="1">
        <f t="array" aca="1" ref="BC105" ca="1" xml:space="preserve"> MID($B$100, INDIRECT( ADDRESS(ROW()-2, COLUMN()) ),1)</f>
        <v/>
      </c>
      <c r="BD105" s="206" t="str" cm="1">
        <f t="array" aca="1" ref="BD105" ca="1" xml:space="preserve"> MID($B$100, INDIRECT( ADDRESS(ROW()-2, COLUMN()) ),1)</f>
        <v/>
      </c>
      <c r="BE105" s="206" t="str" cm="1">
        <f t="array" aca="1" ref="BE105" ca="1" xml:space="preserve"> MID($B$100, INDIRECT( ADDRESS(ROW()-2, COLUMN()) ),1)</f>
        <v/>
      </c>
      <c r="BF105" s="206" t="str" cm="1">
        <f t="array" aca="1" ref="BF105" ca="1" xml:space="preserve"> MID($B$100, INDIRECT( ADDRESS(ROW()-2, COLUMN()) ),1)</f>
        <v/>
      </c>
      <c r="BG105" s="206" t="str" cm="1">
        <f t="array" aca="1" ref="BG105" ca="1" xml:space="preserve"> MID($B$100, INDIRECT( ADDRESS(ROW()-2, COLUMN()) ),1)</f>
        <v/>
      </c>
      <c r="BH105" s="206" t="str" cm="1">
        <f t="array" aca="1" ref="BH105" ca="1" xml:space="preserve"> MID($B$100, INDIRECT( ADDRESS(ROW()-2, COLUMN()) ),1)</f>
        <v/>
      </c>
      <c r="BI105" s="206" t="str" cm="1">
        <f t="array" aca="1" ref="BI105" ca="1" xml:space="preserve"> MID($B$100, INDIRECT( ADDRESS(ROW()-2, COLUMN()) ),1)</f>
        <v/>
      </c>
    </row>
    <row r="106" spans="2:61">
      <c r="B106" s="201" t="s">
        <v>222</v>
      </c>
      <c r="C106" s="201" t="s">
        <v>222</v>
      </c>
      <c r="D106" s="201" t="s">
        <v>222</v>
      </c>
      <c r="E106" s="201" t="s">
        <v>222</v>
      </c>
      <c r="F106" s="201" t="s">
        <v>222</v>
      </c>
      <c r="G106" s="201" t="s">
        <v>222</v>
      </c>
      <c r="H106" s="201" t="s">
        <v>222</v>
      </c>
      <c r="I106" s="201" t="s">
        <v>222</v>
      </c>
      <c r="J106" s="201" t="s">
        <v>222</v>
      </c>
      <c r="K106" s="201" t="s">
        <v>222</v>
      </c>
      <c r="L106" s="201" t="s">
        <v>222</v>
      </c>
      <c r="M106" s="201" t="s">
        <v>222</v>
      </c>
      <c r="N106" s="201" t="s">
        <v>222</v>
      </c>
      <c r="O106" s="201" t="s">
        <v>222</v>
      </c>
      <c r="P106" s="201" t="s">
        <v>222</v>
      </c>
      <c r="Q106" s="201" t="s">
        <v>222</v>
      </c>
      <c r="R106" s="201" t="s">
        <v>222</v>
      </c>
      <c r="S106" s="201" t="s">
        <v>222</v>
      </c>
      <c r="T106" s="201" t="s">
        <v>222</v>
      </c>
      <c r="U106" s="201" t="s">
        <v>222</v>
      </c>
      <c r="V106" s="201" t="s">
        <v>222</v>
      </c>
      <c r="W106" s="201" t="s">
        <v>222</v>
      </c>
      <c r="X106" s="201" t="s">
        <v>222</v>
      </c>
      <c r="Y106" s="201" t="s">
        <v>222</v>
      </c>
      <c r="Z106" s="201" t="s">
        <v>222</v>
      </c>
      <c r="AA106" s="201" t="s">
        <v>222</v>
      </c>
      <c r="AB106" s="201" t="s">
        <v>222</v>
      </c>
      <c r="AC106" s="201" t="s">
        <v>222</v>
      </c>
      <c r="AD106" s="201" t="s">
        <v>222</v>
      </c>
      <c r="AE106" s="201" t="s">
        <v>222</v>
      </c>
      <c r="AF106" s="201" t="s">
        <v>222</v>
      </c>
      <c r="AG106" s="201" t="s">
        <v>222</v>
      </c>
      <c r="AH106" s="202" t="s">
        <v>222</v>
      </c>
      <c r="AI106" s="202" t="s">
        <v>222</v>
      </c>
      <c r="AJ106" s="202" t="s">
        <v>222</v>
      </c>
      <c r="AK106" s="202" t="s">
        <v>222</v>
      </c>
      <c r="AL106" s="203" t="s">
        <v>222</v>
      </c>
      <c r="AM106" s="202" t="s">
        <v>222</v>
      </c>
      <c r="AN106" s="202" t="s">
        <v>222</v>
      </c>
      <c r="AO106" s="202" t="s">
        <v>222</v>
      </c>
      <c r="AP106" s="202" t="s">
        <v>222</v>
      </c>
      <c r="AQ106" s="202" t="s">
        <v>222</v>
      </c>
      <c r="AR106" s="202" t="s">
        <v>222</v>
      </c>
      <c r="AS106" s="202" t="s">
        <v>222</v>
      </c>
      <c r="AT106" s="202" t="s">
        <v>222</v>
      </c>
      <c r="AU106" s="202" t="s">
        <v>222</v>
      </c>
      <c r="AV106" s="202" t="s">
        <v>222</v>
      </c>
      <c r="AW106" s="202" t="s">
        <v>222</v>
      </c>
      <c r="AX106" s="202" t="s">
        <v>222</v>
      </c>
      <c r="AY106" s="202" t="s">
        <v>222</v>
      </c>
      <c r="AZ106" s="202" t="s">
        <v>222</v>
      </c>
      <c r="BA106" s="202" t="s">
        <v>222</v>
      </c>
      <c r="BB106" s="202" t="s">
        <v>222</v>
      </c>
      <c r="BC106" s="202" t="s">
        <v>222</v>
      </c>
      <c r="BD106" s="202" t="s">
        <v>222</v>
      </c>
      <c r="BE106" s="202" t="s">
        <v>222</v>
      </c>
      <c r="BF106" s="202" t="s">
        <v>222</v>
      </c>
      <c r="BG106" s="202" t="s">
        <v>222</v>
      </c>
      <c r="BH106" s="202" t="s">
        <v>222</v>
      </c>
      <c r="BI106" s="202" t="s">
        <v>222</v>
      </c>
    </row>
    <row r="107" spans="2:61">
      <c r="B107" s="163"/>
    </row>
    <row r="108" spans="2:61" ht="39">
      <c r="B108" s="207" t="str" cm="1">
        <f t="array" aca="1" ref="B108" ca="1" xml:space="preserve"> INDIRECT( ADDRESS(ROW()-4, COLUMN()) )</f>
        <v>1</v>
      </c>
      <c r="C108" s="207" t="str" cm="1">
        <f t="array" aca="1" ref="C108" ca="1" xml:space="preserve"> INDIRECT( ADDRESS(ROW()-4, COLUMN()) )</f>
        <v>!</v>
      </c>
      <c r="D108" s="207" t="str" cm="1">
        <f t="array" aca="1" ref="D108" ca="1" xml:space="preserve"> INDIRECT( ADDRESS(ROW()-4, COLUMN()) )</f>
        <v>q</v>
      </c>
      <c r="E108" s="207" t="str" cm="1">
        <f t="array" aca="1" ref="E108" ca="1" xml:space="preserve"> INDIRECT( ADDRESS(ROW()-4, COLUMN()) )</f>
        <v>a</v>
      </c>
      <c r="F108" s="207" t="str" cm="1">
        <f t="array" aca="1" ref="F108" ca="1" xml:space="preserve"> INDIRECT( ADDRESS(ROW()-4, COLUMN()) )</f>
        <v>2</v>
      </c>
      <c r="G108" s="207" t="str" cm="1">
        <f t="array" aca="1" ref="G108" ca="1" xml:space="preserve"> INDIRECT( ADDRESS(ROW()-4, COLUMN()) )</f>
        <v>w</v>
      </c>
      <c r="H108" s="207" t="str" cm="1">
        <f t="array" aca="1" ref="H108" ca="1" xml:space="preserve"> INDIRECT( ADDRESS(ROW()-4, COLUMN()) )</f>
        <v>s</v>
      </c>
      <c r="I108" s="207" t="str" cm="1">
        <f t="array" aca="1" ref="I108" ca="1" xml:space="preserve"> INDIRECT( ADDRESS(ROW()-4, COLUMN()) )</f>
        <v>x</v>
      </c>
      <c r="J108" s="207" t="str" cm="1">
        <f t="array" aca="1" ref="J108" ca="1" xml:space="preserve"> INDIRECT( ADDRESS(ROW()-4, COLUMN()) )</f>
        <v>e</v>
      </c>
      <c r="K108" s="207" t="str" cm="1">
        <f t="array" aca="1" ref="K108" ca="1" xml:space="preserve"> INDIRECT( ADDRESS(ROW()-4, COLUMN()) )</f>
        <v>E</v>
      </c>
      <c r="L108" s="207" t="str" cm="1">
        <f t="array" aca="1" ref="L108" ca="1" xml:space="preserve"> INDIRECT( ADDRESS(ROW()-4, COLUMN()) )</f>
        <v>d</v>
      </c>
      <c r="M108" s="207" t="str" cm="1">
        <f t="array" aca="1" ref="M108" ca="1" xml:space="preserve"> INDIRECT( ADDRESS(ROW()-4, COLUMN()) )</f>
        <v>G</v>
      </c>
      <c r="N108" s="207" t="str" cm="1">
        <f t="array" aca="1" ref="N108" ca="1" xml:space="preserve"> INDIRECT( ADDRESS(ROW()-4, COLUMN()) )</f>
        <v>c</v>
      </c>
      <c r="O108" s="207" t="str" cm="1">
        <f t="array" aca="1" ref="O108" ca="1" xml:space="preserve"> INDIRECT( ADDRESS(ROW()-4, COLUMN()) )</f>
        <v>r</v>
      </c>
      <c r="P108" s="207" t="str" cm="1">
        <f t="array" aca="1" ref="P108" ca="1" xml:space="preserve"> INDIRECT( ADDRESS(ROW()-4, COLUMN()) )</f>
        <v>R</v>
      </c>
      <c r="Q108" s="207" t="str" cm="1">
        <f t="array" aca="1" ref="Q108" ca="1" xml:space="preserve"> INDIRECT( ADDRESS(ROW()-4, COLUMN()) )</f>
        <v>f</v>
      </c>
      <c r="R108" s="207" t="str" cm="1">
        <f t="array" aca="1" ref="R108" ca="1" xml:space="preserve"> INDIRECT( ADDRESS(ROW()-4, COLUMN()) )</f>
        <v>v</v>
      </c>
      <c r="S108" s="207" t="str" cm="1">
        <f t="array" aca="1" ref="S108" ca="1" xml:space="preserve"> INDIRECT( ADDRESS(ROW()-4, COLUMN()) )</f>
        <v>y</v>
      </c>
      <c r="T108" s="207" t="str" cm="1">
        <f t="array" aca="1" ref="T108" ca="1" xml:space="preserve"> INDIRECT( ADDRESS(ROW()-4, COLUMN()) )</f>
        <v>Y</v>
      </c>
      <c r="U108" s="207" t="str" cm="1">
        <f t="array" aca="1" ref="U108" ca="1" xml:space="preserve"> INDIRECT( ADDRESS(ROW()-4, COLUMN()) )</f>
        <v>h</v>
      </c>
      <c r="V108" s="207" t="str" cm="1">
        <f t="array" aca="1" ref="V108" ca="1" xml:space="preserve"> INDIRECT( ADDRESS(ROW()-4, COLUMN()) )</f>
        <v>n</v>
      </c>
      <c r="W108" s="207" t="str" cm="1">
        <f t="array" aca="1" ref="W108" ca="1" xml:space="preserve"> INDIRECT( ADDRESS(ROW()-4, COLUMN()) )</f>
        <v>u</v>
      </c>
      <c r="X108" s="207" t="str" cm="1">
        <f t="array" aca="1" ref="X108" ca="1" xml:space="preserve"> INDIRECT( ADDRESS(ROW()-4, COLUMN()) )</f>
        <v>U</v>
      </c>
      <c r="Y108" s="207" t="str" cm="1">
        <f t="array" aca="1" ref="Y108" ca="1" xml:space="preserve"> INDIRECT( ADDRESS(ROW()-4, COLUMN()) )</f>
        <v>j</v>
      </c>
      <c r="Z108" s="207" t="str" cm="1">
        <f t="array" aca="1" ref="Z108" ca="1" xml:space="preserve"> INDIRECT( ADDRESS(ROW()-4, COLUMN()) )</f>
        <v>J</v>
      </c>
      <c r="AA108" s="207" t="str" cm="1">
        <f t="array" aca="1" ref="AA108" ca="1" xml:space="preserve"> INDIRECT( ADDRESS(ROW()-4, COLUMN()) )</f>
        <v>8</v>
      </c>
      <c r="AB108" s="207" t="str" cm="1">
        <f t="array" aca="1" ref="AB108" ca="1" xml:space="preserve"> INDIRECT( ADDRESS(ROW()-4, COLUMN()) )</f>
        <v>*</v>
      </c>
      <c r="AC108" s="207" t="str" cm="1">
        <f t="array" aca="1" ref="AC108" ca="1" xml:space="preserve"> INDIRECT( ADDRESS(ROW()-4, COLUMN()) )</f>
        <v>i</v>
      </c>
      <c r="AD108" s="207" t="str" cm="1">
        <f t="array" aca="1" ref="AD108" ca="1" xml:space="preserve"> INDIRECT( ADDRESS(ROW()-4, COLUMN()) )</f>
        <v>I</v>
      </c>
      <c r="AE108" s="207" t="str" cm="1">
        <f t="array" aca="1" ref="AE108" ca="1" xml:space="preserve"> INDIRECT( ADDRESS(ROW()-4, COLUMN()) )</f>
        <v>k</v>
      </c>
      <c r="AF108" s="207" t="str" cm="1">
        <f t="array" aca="1" ref="AF108" ca="1" xml:space="preserve"> INDIRECT( ADDRESS(ROW()-4, COLUMN()) )</f>
        <v>,</v>
      </c>
      <c r="AG108" s="207" t="str" cm="1">
        <f t="array" aca="1" ref="AG108" ca="1" xml:space="preserve"> INDIRECT( ADDRESS(ROW()-4, COLUMN()) )</f>
        <v>&lt;</v>
      </c>
      <c r="AH108" s="207" t="str" cm="1">
        <f t="array" aca="1" ref="AH108" ca="1" xml:space="preserve"> INDIRECT( ADDRESS(ROW()-4, COLUMN()) )</f>
        <v>9</v>
      </c>
      <c r="AI108" s="207" t="str" cm="1">
        <f t="array" aca="1" ref="AI108" ca="1" xml:space="preserve"> INDIRECT( ADDRESS(ROW()-4, COLUMN()) )</f>
        <v>(</v>
      </c>
      <c r="AJ108" s="207" t="str" cm="1">
        <f t="array" aca="1" ref="AJ108" ca="1" xml:space="preserve"> INDIRECT( ADDRESS(ROW()-4, COLUMN()) )</f>
        <v>l</v>
      </c>
      <c r="AK108" s="207" t="str" cm="1">
        <f t="array" aca="1" ref="AK108" ca="1" xml:space="preserve"> INDIRECT( ADDRESS(ROW()-4, COLUMN()) )</f>
        <v>L</v>
      </c>
      <c r="AL108" s="207" t="str" cm="1">
        <f t="array" aca="1" ref="AL108" ca="1" xml:space="preserve"> INDIRECT( ADDRESS(ROW()-4, COLUMN()) )</f>
        <v>;</v>
      </c>
      <c r="AM108" s="207" t="str" cm="1">
        <f t="array" aca="1" ref="AM108" ca="1" xml:space="preserve"> INDIRECT( ADDRESS(ROW()-4, COLUMN()) )</f>
        <v>o</v>
      </c>
      <c r="AN108" s="207" t="str" cm="1">
        <f t="array" aca="1" ref="AN108" ca="1" xml:space="preserve"> INDIRECT( ADDRESS(ROW()-4, COLUMN()) )</f>
        <v>M</v>
      </c>
      <c r="AO108" s="207" t="str" cm="1">
        <f t="array" aca="1" ref="AO108" ca="1" xml:space="preserve"> INDIRECT( ADDRESS(ROW()-4, COLUMN()) )</f>
        <v>O</v>
      </c>
      <c r="AP108" s="207" t="str" cm="1">
        <f t="array" aca="1" ref="AP108" ca="1" xml:space="preserve"> INDIRECT( ADDRESS(ROW()-4, COLUMN()) )</f>
        <v>0</v>
      </c>
      <c r="AQ108" s="207" t="str" cm="1">
        <f t="array" aca="1" ref="AQ108" ca="1" xml:space="preserve"> INDIRECT( ADDRESS(ROW()-4, COLUMN()) )</f>
        <v>m</v>
      </c>
      <c r="AR108" s="207" t="str" cm="1">
        <f t="array" aca="1" ref="AR108" ca="1" xml:space="preserve"> INDIRECT( ADDRESS(ROW()-4, COLUMN()) )</f>
        <v>p</v>
      </c>
      <c r="AS108" s="207" t="str" cm="1">
        <f t="array" aca="1" ref="AS108" ca="1" xml:space="preserve"> INDIRECT( ADDRESS(ROW()-4, COLUMN()) )</f>
        <v>/</v>
      </c>
      <c r="AT108" s="207" t="str" cm="1">
        <f t="array" aca="1" ref="AT108" ca="1" xml:space="preserve"> INDIRECT( ADDRESS(ROW()-4, COLUMN()) )</f>
        <v>K</v>
      </c>
      <c r="AU108" s="207" t="str" cm="1">
        <f t="array" aca="1" ref="AU108" ca="1" xml:space="preserve"> INDIRECT( ADDRESS(ROW()-4, COLUMN()) )</f>
        <v>R</v>
      </c>
      <c r="AV108" s="207" t="str" cm="1">
        <f t="array" aca="1" ref="AV108" ca="1" xml:space="preserve"> INDIRECT( ADDRESS(ROW()-4, COLUMN()) )</f>
        <v>F</v>
      </c>
      <c r="AW108" s="207" t="str" cm="1">
        <f t="array" aca="1" ref="AW108" ca="1" xml:space="preserve"> INDIRECT( ADDRESS(ROW()-4, COLUMN()) )</f>
        <v>Q</v>
      </c>
      <c r="AX108" s="207" t="str" cm="1">
        <f t="array" aca="1" ref="AX108" ca="1" xml:space="preserve"> INDIRECT( ADDRESS(ROW()-4, COLUMN()) )</f>
        <v>V</v>
      </c>
      <c r="AY108" s="207" t="str" cm="1">
        <f t="array" aca="1" ref="AY108" ca="1" xml:space="preserve"> INDIRECT( ADDRESS(ROW()-4, COLUMN()) )</f>
        <v/>
      </c>
      <c r="AZ108" s="207" t="str" cm="1">
        <f t="array" aca="1" ref="AZ108" ca="1" xml:space="preserve"> INDIRECT( ADDRESS(ROW()-4, COLUMN()) )</f>
        <v/>
      </c>
      <c r="BA108" s="207" t="str" cm="1">
        <f t="array" aca="1" ref="BA108" ca="1" xml:space="preserve"> INDIRECT( ADDRESS(ROW()-4, COLUMN()) )</f>
        <v/>
      </c>
      <c r="BB108" s="207" t="str" cm="1">
        <f t="array" aca="1" ref="BB108" ca="1" xml:space="preserve"> INDIRECT( ADDRESS(ROW()-4, COLUMN()) )</f>
        <v/>
      </c>
      <c r="BC108" s="207" t="str" cm="1">
        <f t="array" aca="1" ref="BC108" ca="1" xml:space="preserve"> INDIRECT( ADDRESS(ROW()-4, COLUMN()) )</f>
        <v/>
      </c>
      <c r="BD108" s="207" t="str" cm="1">
        <f t="array" aca="1" ref="BD108" ca="1" xml:space="preserve"> INDIRECT( ADDRESS(ROW()-4, COLUMN()) )</f>
        <v/>
      </c>
      <c r="BE108" s="207" t="str" cm="1">
        <f t="array" aca="1" ref="BE108" ca="1" xml:space="preserve"> INDIRECT( ADDRESS(ROW()-4, COLUMN()) )</f>
        <v/>
      </c>
      <c r="BF108" s="207" t="str" cm="1">
        <f t="array" aca="1" ref="BF108" ca="1" xml:space="preserve"> INDIRECT( ADDRESS(ROW()-4, COLUMN()) )</f>
        <v/>
      </c>
      <c r="BG108" s="207" t="str" cm="1">
        <f t="array" aca="1" ref="BG108" ca="1" xml:space="preserve"> INDIRECT( ADDRESS(ROW()-4, COLUMN()) )</f>
        <v/>
      </c>
      <c r="BH108" s="207" t="str" cm="1">
        <f t="array" aca="1" ref="BH108" ca="1" xml:space="preserve"> INDIRECT( ADDRESS(ROW()-4, COLUMN()) )</f>
        <v/>
      </c>
      <c r="BI108" s="207" t="str" cm="1">
        <f t="array" aca="1" ref="BI108" ca="1" xml:space="preserve"> INDIRECT( ADDRESS(ROW()-4, COLUMN()) )</f>
        <v/>
      </c>
    </row>
    <row r="110" spans="2:61" ht="39">
      <c r="B110" s="205" t="str">
        <f ca="1">_xlfn.CONCAT(B104:AX104)</f>
        <v>1!qa2wsxeEdGcrRfvyYhnuUjJ8*iIk,&lt;9(lL;oMO0mp/KRFQV</v>
      </c>
    </row>
    <row r="111" spans="2:61" ht="39">
      <c r="B111" s="205" t="str">
        <f ca="1">_xlfn.CONCAT(B105:AX105)</f>
        <v>ㄅㆠㄆㄇㄉㄊㄋㄌㄍㆣㄎㄫㄏㄐㆢㄑㄒㄗㆡㄘㄙㄧㆪㄨㆫㄚㆩㆦㆧㄜㆤㆥㄞㆮㄠㆯㄤㆲㆰㆱㄢㆬㄣㆭㆨㆴㆵㆻㆷ</v>
      </c>
    </row>
    <row r="114" spans="2:2" ht="39">
      <c r="B114" s="208" t="str">
        <f ca="1" xml:space="preserve"> _xlfn.CONCAT("    - xlit|", B108:AX108, "|", B105:AX105,"|")</f>
        <v xml:space="preserve">    - xlit|1!qa2wsxeEdGcrRfvyYhnuUjJ8*iIk,&lt;9(lL;oMO0mp/KRFQV|ㄅㆠㄆㄇㄉㄊㄋㄌㄍㆣㄎㄫㄏㄐㆢㄑㄒㄗㆡㄘㄙㄧㆪㄨㆫㄚㆩㆦㆧㄜㆤㆥㄞㆮㄠㆯㄤㆲㆰㆱㄢㆬㄣㆭㆨㆴㆵㆻㆷ|</v>
      </c>
    </row>
  </sheetData>
  <phoneticPr fontId="4" type="noConversion"/>
  <conditionalFormatting sqref="B22:AA22">
    <cfRule type="expression" dxfId="3" priority="2">
      <formula xml:space="preserve"> NOT( ISNUMBER(B23))</formula>
    </cfRule>
  </conditionalFormatting>
  <conditionalFormatting sqref="B23:AA23">
    <cfRule type="expression" dxfId="2" priority="4">
      <formula>NOT(ISNUMBER(B23))</formula>
    </cfRule>
  </conditionalFormatting>
  <conditionalFormatting sqref="AL22:BK22">
    <cfRule type="expression" dxfId="1" priority="1">
      <formula xml:space="preserve"> NOT( ISNUMBER(AL23))</formula>
    </cfRule>
  </conditionalFormatting>
  <conditionalFormatting sqref="AL23:BK23">
    <cfRule type="expression" dxfId="0" priority="3">
      <formula>NOT(ISNUMBER(AL23))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CFCB-5854-4835-8802-8D34ADF19BD0}">
  <dimension ref="B1:Y28"/>
  <sheetViews>
    <sheetView workbookViewId="0">
      <selection activeCell="S3" sqref="S3:S19"/>
    </sheetView>
  </sheetViews>
  <sheetFormatPr defaultRowHeight="21"/>
  <cols>
    <col min="15" max="16" width="8.796875" style="228"/>
    <col min="17" max="18" width="15" style="228" customWidth="1"/>
    <col min="19" max="19" width="47.296875" style="228" customWidth="1"/>
    <col min="20" max="25" width="8.796875" style="228"/>
  </cols>
  <sheetData>
    <row r="1" spans="2:19" ht="21.75" thickBot="1"/>
    <row r="2" spans="2:19" ht="24" thickBot="1">
      <c r="B2" s="279" t="s">
        <v>328</v>
      </c>
      <c r="C2" s="281" t="s">
        <v>329</v>
      </c>
      <c r="D2" s="282"/>
      <c r="E2" s="285" t="s">
        <v>330</v>
      </c>
      <c r="F2" s="286"/>
      <c r="G2" s="287"/>
      <c r="H2" s="285" t="s">
        <v>331</v>
      </c>
      <c r="I2" s="286"/>
      <c r="J2" s="286"/>
      <c r="K2" s="286"/>
      <c r="L2" s="287"/>
      <c r="O2" s="228" t="s">
        <v>480</v>
      </c>
      <c r="P2" s="228" t="s">
        <v>481</v>
      </c>
      <c r="Q2" s="231">
        <v>0</v>
      </c>
      <c r="R2" s="231" t="s">
        <v>482</v>
      </c>
    </row>
    <row r="3" spans="2:19" ht="24" thickBot="1">
      <c r="B3" s="280"/>
      <c r="C3" s="283"/>
      <c r="D3" s="284"/>
      <c r="E3" s="226" t="s">
        <v>332</v>
      </c>
      <c r="F3" s="226" t="s">
        <v>333</v>
      </c>
      <c r="G3" s="226" t="s">
        <v>334</v>
      </c>
      <c r="H3" s="226" t="s">
        <v>335</v>
      </c>
      <c r="I3" s="226" t="s">
        <v>336</v>
      </c>
      <c r="J3" s="226" t="s">
        <v>337</v>
      </c>
      <c r="K3" s="285" t="s">
        <v>338</v>
      </c>
      <c r="L3" s="287"/>
      <c r="O3" s="228" t="s">
        <v>274</v>
      </c>
      <c r="P3" s="228" t="s">
        <v>450</v>
      </c>
      <c r="Q3" s="228" t="str">
        <f t="shared" ref="Q3:Q19" si="0">_xlfn.CONCAT(O3,$Q$2)</f>
        <v>ang0</v>
      </c>
      <c r="R3" s="228" t="str">
        <f t="shared" ref="R3:R19" si="1" xml:space="preserve"> _xlfn.CONCAT(P3,$R$2)</f>
        <v>ak[48]</v>
      </c>
      <c r="S3" s="228" t="str">
        <f xml:space="preserve"> _xlfn.CONCAT("    - derive/", Q3, "/", R3, "/    # " &amp; R3, "入 = ", P3, "[48]")</f>
        <v xml:space="preserve">    - derive/ang0/ak[48]/    # ak[48]入 = ak[48]</v>
      </c>
    </row>
    <row r="4" spans="2:19" ht="24" thickBot="1">
      <c r="B4" s="226" t="s">
        <v>339</v>
      </c>
      <c r="C4" s="227" t="s">
        <v>57</v>
      </c>
      <c r="D4" s="227" t="s">
        <v>40</v>
      </c>
      <c r="E4" s="227" t="s">
        <v>161</v>
      </c>
      <c r="F4" s="227" t="s">
        <v>61</v>
      </c>
      <c r="G4" s="227" t="s">
        <v>147</v>
      </c>
      <c r="H4" s="227" t="s">
        <v>340</v>
      </c>
      <c r="I4" s="227" t="s">
        <v>341</v>
      </c>
      <c r="J4" s="227" t="s">
        <v>342</v>
      </c>
      <c r="K4" s="227" t="s">
        <v>343</v>
      </c>
      <c r="L4" s="227" t="s">
        <v>344</v>
      </c>
      <c r="O4" s="228" t="s">
        <v>273</v>
      </c>
      <c r="P4" s="228" t="s">
        <v>451</v>
      </c>
      <c r="Q4" s="228" t="str">
        <f t="shared" si="0"/>
        <v>an0</v>
      </c>
      <c r="R4" s="228" t="str">
        <f t="shared" si="1"/>
        <v>at[48]</v>
      </c>
      <c r="S4" s="228" t="str">
        <f t="shared" ref="S4:S19" si="2" xml:space="preserve"> _xlfn.CONCAT("    - derive/", Q4, "/", R4, "/    # " &amp; R4, "入 = ", P4, "[48]")</f>
        <v xml:space="preserve">    - derive/an0/at[48]/    # at[48]入 = at[48]</v>
      </c>
    </row>
    <row r="5" spans="2:19" ht="24" thickBot="1">
      <c r="B5" s="226" t="s">
        <v>345</v>
      </c>
      <c r="C5" s="227" t="s">
        <v>59</v>
      </c>
      <c r="D5" s="227" t="s">
        <v>42</v>
      </c>
      <c r="E5" s="227"/>
      <c r="F5" s="227"/>
      <c r="G5" s="227"/>
      <c r="H5" s="227"/>
      <c r="I5" s="227"/>
      <c r="J5" s="227"/>
      <c r="K5" s="227" t="s">
        <v>346</v>
      </c>
      <c r="L5" s="227" t="s">
        <v>347</v>
      </c>
      <c r="O5" s="228" t="s">
        <v>272</v>
      </c>
      <c r="P5" s="228" t="s">
        <v>449</v>
      </c>
      <c r="Q5" s="228" t="str">
        <f t="shared" si="0"/>
        <v>am0</v>
      </c>
      <c r="R5" s="228" t="str">
        <f t="shared" si="1"/>
        <v>ap[48]</v>
      </c>
      <c r="S5" s="228" t="str">
        <f t="shared" si="2"/>
        <v xml:space="preserve">    - derive/am0/ap[48]/    # ap[48]入 = ap[48]</v>
      </c>
    </row>
    <row r="6" spans="2:19" ht="24" thickBot="1">
      <c r="B6" s="226" t="s">
        <v>348</v>
      </c>
      <c r="C6" s="227" t="s">
        <v>145</v>
      </c>
      <c r="D6" s="227"/>
      <c r="E6" s="227"/>
      <c r="F6" s="227"/>
      <c r="G6" s="227"/>
      <c r="H6" s="227"/>
      <c r="I6" s="227"/>
      <c r="J6" s="227"/>
      <c r="K6" s="227" t="s">
        <v>349</v>
      </c>
      <c r="L6" s="227" t="s">
        <v>350</v>
      </c>
      <c r="O6" s="228" t="s">
        <v>457</v>
      </c>
      <c r="P6" s="228" t="s">
        <v>454</v>
      </c>
      <c r="Q6" s="228" t="str">
        <f t="shared" si="0"/>
        <v>ing0</v>
      </c>
      <c r="R6" s="228" t="str">
        <f t="shared" si="1"/>
        <v>ik[48]</v>
      </c>
      <c r="S6" s="228" t="str">
        <f t="shared" si="2"/>
        <v xml:space="preserve">    - derive/ing0/ik[48]/    # ik[48]入 = ik[48]</v>
      </c>
    </row>
    <row r="7" spans="2:19" ht="24" thickBot="1">
      <c r="B7" s="226" t="s">
        <v>351</v>
      </c>
      <c r="C7" s="227" t="s">
        <v>352</v>
      </c>
      <c r="D7" s="227"/>
      <c r="E7" s="227"/>
      <c r="F7" s="227"/>
      <c r="G7" s="227" t="s">
        <v>353</v>
      </c>
      <c r="H7" s="227"/>
      <c r="I7" s="227"/>
      <c r="J7" s="227" t="s">
        <v>354</v>
      </c>
      <c r="K7" s="227" t="s">
        <v>355</v>
      </c>
      <c r="L7" s="227"/>
      <c r="O7" s="228" t="s">
        <v>457</v>
      </c>
      <c r="P7" s="228" t="s">
        <v>455</v>
      </c>
      <c r="Q7" s="228" t="str">
        <f t="shared" si="0"/>
        <v>ing0</v>
      </c>
      <c r="R7" s="228" t="str">
        <f t="shared" si="1"/>
        <v>it[48]</v>
      </c>
      <c r="S7" s="228" t="str">
        <f t="shared" si="2"/>
        <v xml:space="preserve">    - derive/ing0/it[48]/    # it[48]入 = it[48]</v>
      </c>
    </row>
    <row r="8" spans="2:19" ht="24" thickBot="1">
      <c r="B8" s="226" t="s">
        <v>356</v>
      </c>
      <c r="C8" s="227" t="s">
        <v>180</v>
      </c>
      <c r="D8" s="227" t="s">
        <v>163</v>
      </c>
      <c r="E8" s="227"/>
      <c r="F8" s="227"/>
      <c r="G8" s="227"/>
      <c r="H8" s="227"/>
      <c r="I8" s="227"/>
      <c r="J8" s="227"/>
      <c r="K8" s="227" t="s">
        <v>357</v>
      </c>
      <c r="L8" s="227" t="s">
        <v>358</v>
      </c>
      <c r="O8" s="228" t="s">
        <v>458</v>
      </c>
      <c r="P8" s="228" t="s">
        <v>456</v>
      </c>
      <c r="Q8" s="228" t="str">
        <f t="shared" si="0"/>
        <v>im0</v>
      </c>
      <c r="R8" s="228" t="str">
        <f t="shared" si="1"/>
        <v>ip[48]</v>
      </c>
      <c r="S8" s="228" t="str">
        <f t="shared" si="2"/>
        <v xml:space="preserve">    - derive/im0/ip[48]/    # ip[48]入 = ip[48]</v>
      </c>
    </row>
    <row r="9" spans="2:19" ht="24" thickBot="1">
      <c r="B9" s="226" t="s">
        <v>359</v>
      </c>
      <c r="C9" s="227" t="s">
        <v>104</v>
      </c>
      <c r="D9" s="227" t="s">
        <v>87</v>
      </c>
      <c r="E9" s="227" t="s">
        <v>360</v>
      </c>
      <c r="F9" s="227" t="s">
        <v>361</v>
      </c>
      <c r="G9" s="227" t="s">
        <v>362</v>
      </c>
      <c r="H9" s="227" t="s">
        <v>363</v>
      </c>
      <c r="I9" s="227" t="s">
        <v>364</v>
      </c>
      <c r="J9" s="227" t="s">
        <v>365</v>
      </c>
      <c r="K9" s="227" t="s">
        <v>366</v>
      </c>
      <c r="L9" s="227" t="s">
        <v>367</v>
      </c>
      <c r="O9" s="228" t="s">
        <v>460</v>
      </c>
      <c r="P9" s="228" t="s">
        <v>459</v>
      </c>
      <c r="Q9" s="228" t="str">
        <f t="shared" si="0"/>
        <v>iang0</v>
      </c>
      <c r="R9" s="228" t="str">
        <f t="shared" si="1"/>
        <v>iak[48]</v>
      </c>
      <c r="S9" s="228" t="str">
        <f t="shared" si="2"/>
        <v xml:space="preserve">    - derive/iang0/iak[48]/    # iak[48]入 = iak[48]</v>
      </c>
    </row>
    <row r="10" spans="2:19" ht="24" thickBot="1">
      <c r="B10" s="226" t="s">
        <v>368</v>
      </c>
      <c r="C10" s="227" t="s">
        <v>369</v>
      </c>
      <c r="D10" s="227" t="s">
        <v>370</v>
      </c>
      <c r="E10" s="227" t="s">
        <v>371</v>
      </c>
      <c r="F10" s="227" t="s">
        <v>372</v>
      </c>
      <c r="G10" s="227" t="s">
        <v>373</v>
      </c>
      <c r="H10" s="227" t="s">
        <v>374</v>
      </c>
      <c r="I10" s="227" t="s">
        <v>375</v>
      </c>
      <c r="J10" s="227" t="s">
        <v>376</v>
      </c>
      <c r="K10" s="227" t="s">
        <v>377</v>
      </c>
      <c r="L10" s="227" t="s">
        <v>378</v>
      </c>
      <c r="O10" s="228" t="s">
        <v>463</v>
      </c>
      <c r="P10" s="228" t="s">
        <v>461</v>
      </c>
      <c r="Q10" s="228" t="str">
        <f t="shared" si="0"/>
        <v>ian0</v>
      </c>
      <c r="R10" s="228" t="str">
        <f t="shared" si="1"/>
        <v>iat[48]</v>
      </c>
      <c r="S10" s="228" t="str">
        <f t="shared" si="2"/>
        <v xml:space="preserve">    - derive/ian0/iat[48]/    # iat[48]入 = iat[48]</v>
      </c>
    </row>
    <row r="11" spans="2:19" ht="24" thickBot="1">
      <c r="B11" s="226" t="s">
        <v>379</v>
      </c>
      <c r="C11" s="227" t="s">
        <v>380</v>
      </c>
      <c r="D11" s="227" t="s">
        <v>381</v>
      </c>
      <c r="E11" s="227"/>
      <c r="F11" s="227"/>
      <c r="G11" s="227"/>
      <c r="H11" s="227"/>
      <c r="I11" s="227"/>
      <c r="J11" s="227"/>
      <c r="K11" s="227" t="s">
        <v>382</v>
      </c>
      <c r="L11" s="227"/>
      <c r="O11" s="228" t="s">
        <v>464</v>
      </c>
      <c r="P11" s="228" t="s">
        <v>462</v>
      </c>
      <c r="Q11" s="228" t="str">
        <f t="shared" si="0"/>
        <v>iam0</v>
      </c>
      <c r="R11" s="228" t="str">
        <f t="shared" si="1"/>
        <v>iap[48]</v>
      </c>
      <c r="S11" s="228" t="str">
        <f t="shared" si="2"/>
        <v xml:space="preserve">    - derive/iam0/iap[48]/    # iap[48]入 = iap[48]</v>
      </c>
    </row>
    <row r="12" spans="2:19" ht="24" thickBot="1">
      <c r="B12" s="226" t="s">
        <v>383</v>
      </c>
      <c r="C12" s="227" t="s">
        <v>384</v>
      </c>
      <c r="D12" s="227"/>
      <c r="E12" s="227"/>
      <c r="F12" s="227"/>
      <c r="G12" s="227"/>
      <c r="H12" s="227"/>
      <c r="I12" s="227"/>
      <c r="J12" s="227"/>
      <c r="K12" s="227" t="s">
        <v>385</v>
      </c>
      <c r="L12" s="227"/>
      <c r="O12" s="228" t="s">
        <v>466</v>
      </c>
      <c r="P12" s="228" t="s">
        <v>465</v>
      </c>
      <c r="Q12" s="228" t="str">
        <f t="shared" si="0"/>
        <v>iong0</v>
      </c>
      <c r="R12" s="228" t="str">
        <f t="shared" si="1"/>
        <v>iok[48]</v>
      </c>
      <c r="S12" s="228" t="str">
        <f t="shared" si="2"/>
        <v xml:space="preserve">    - derive/iong0/iok[48]/    # iok[48]入 = iok[48]</v>
      </c>
    </row>
    <row r="13" spans="2:19" ht="24" thickBot="1">
      <c r="B13" s="226" t="s">
        <v>386</v>
      </c>
      <c r="C13" s="227" t="s">
        <v>387</v>
      </c>
      <c r="D13" s="227" t="s">
        <v>388</v>
      </c>
      <c r="E13" s="227"/>
      <c r="F13" s="227"/>
      <c r="G13" s="227" t="s">
        <v>389</v>
      </c>
      <c r="H13" s="227"/>
      <c r="I13" s="227"/>
      <c r="J13" s="227" t="s">
        <v>390</v>
      </c>
      <c r="K13" s="227" t="s">
        <v>391</v>
      </c>
      <c r="L13" s="227"/>
      <c r="O13" s="228" t="s">
        <v>276</v>
      </c>
      <c r="P13" s="228" t="s">
        <v>467</v>
      </c>
      <c r="Q13" s="228" t="str">
        <f t="shared" si="0"/>
        <v>ong0</v>
      </c>
      <c r="R13" s="228" t="str">
        <f t="shared" si="1"/>
        <v>ok[48]</v>
      </c>
      <c r="S13" s="228" t="str">
        <f t="shared" si="2"/>
        <v xml:space="preserve">    - derive/ong0/ok[48]/    # ok[48]入 = ok[48]</v>
      </c>
    </row>
    <row r="14" spans="2:19" ht="24" thickBot="1">
      <c r="B14" s="226" t="s">
        <v>392</v>
      </c>
      <c r="C14" s="227" t="s">
        <v>393</v>
      </c>
      <c r="D14" s="227" t="s">
        <v>394</v>
      </c>
      <c r="E14" s="227"/>
      <c r="F14" s="227"/>
      <c r="G14" s="227"/>
      <c r="H14" s="227"/>
      <c r="I14" s="227"/>
      <c r="J14" s="227"/>
      <c r="K14" s="227" t="s">
        <v>395</v>
      </c>
      <c r="L14" s="227" t="s">
        <v>396</v>
      </c>
      <c r="O14" s="228" t="s">
        <v>275</v>
      </c>
      <c r="P14" s="228" t="s">
        <v>468</v>
      </c>
      <c r="Q14" s="228" t="str">
        <f t="shared" si="0"/>
        <v>om0</v>
      </c>
      <c r="R14" s="228" t="str">
        <f t="shared" si="1"/>
        <v>op[48]</v>
      </c>
      <c r="S14" s="228" t="str">
        <f t="shared" si="2"/>
        <v xml:space="preserve">    - derive/om0/op[48]/    # op[48]入 = op[48]</v>
      </c>
    </row>
    <row r="15" spans="2:19" ht="24" thickBot="1">
      <c r="B15" s="226" t="s">
        <v>397</v>
      </c>
      <c r="C15" s="227" t="s">
        <v>398</v>
      </c>
      <c r="D15" s="227"/>
      <c r="E15" s="227"/>
      <c r="F15" s="227"/>
      <c r="G15" s="227"/>
      <c r="H15" s="227"/>
      <c r="I15" s="227"/>
      <c r="J15" s="227"/>
      <c r="K15" s="227" t="s">
        <v>399</v>
      </c>
      <c r="L15" s="227"/>
      <c r="O15" s="228" t="s">
        <v>472</v>
      </c>
      <c r="P15" s="228" t="s">
        <v>469</v>
      </c>
      <c r="Q15" s="228" t="str">
        <f t="shared" si="0"/>
        <v>irng0</v>
      </c>
      <c r="R15" s="228" t="str">
        <f t="shared" si="1"/>
        <v>irk[48]</v>
      </c>
      <c r="S15" s="228" t="str">
        <f t="shared" si="2"/>
        <v xml:space="preserve">    - derive/irng0/irk[48]/    # irk[48]入 = irk[48]</v>
      </c>
    </row>
    <row r="16" spans="2:19" ht="24" thickBot="1">
      <c r="B16" s="226" t="s">
        <v>400</v>
      </c>
      <c r="C16" s="227" t="s">
        <v>190</v>
      </c>
      <c r="D16" s="227"/>
      <c r="E16" s="227"/>
      <c r="F16" s="227"/>
      <c r="G16" s="227"/>
      <c r="H16" s="227"/>
      <c r="I16" s="227"/>
      <c r="J16" s="227"/>
      <c r="K16" s="227" t="s">
        <v>401</v>
      </c>
      <c r="L16" s="227"/>
      <c r="O16" s="228" t="s">
        <v>472</v>
      </c>
      <c r="P16" s="228" t="s">
        <v>470</v>
      </c>
      <c r="Q16" s="228" t="str">
        <f t="shared" si="0"/>
        <v>irng0</v>
      </c>
      <c r="R16" s="228" t="str">
        <f t="shared" si="1"/>
        <v>irt[48]</v>
      </c>
      <c r="S16" s="228" t="str">
        <f t="shared" si="2"/>
        <v xml:space="preserve">    - derive/irng0/irt[48]/    # irt[48]入 = irt[48]</v>
      </c>
    </row>
    <row r="17" spans="2:20" ht="24" thickBot="1">
      <c r="B17" s="226" t="s">
        <v>402</v>
      </c>
      <c r="C17" s="227" t="s">
        <v>106</v>
      </c>
      <c r="D17" s="227" t="s">
        <v>403</v>
      </c>
      <c r="E17" s="227" t="s">
        <v>91</v>
      </c>
      <c r="F17" s="227"/>
      <c r="G17" s="227" t="s">
        <v>108</v>
      </c>
      <c r="H17" s="227" t="s">
        <v>404</v>
      </c>
      <c r="I17" s="227"/>
      <c r="J17" s="227" t="s">
        <v>405</v>
      </c>
      <c r="K17" s="227" t="s">
        <v>406</v>
      </c>
      <c r="L17" s="227" t="s">
        <v>407</v>
      </c>
      <c r="O17" s="228" t="s">
        <v>473</v>
      </c>
      <c r="P17" s="228" t="s">
        <v>471</v>
      </c>
      <c r="Q17" s="228" t="str">
        <f t="shared" si="0"/>
        <v>irm0</v>
      </c>
      <c r="R17" s="228" t="str">
        <f t="shared" si="1"/>
        <v>irp[48]</v>
      </c>
      <c r="S17" s="228" t="str">
        <f t="shared" si="2"/>
        <v xml:space="preserve">    - derive/irm0/irp[48]/    # irp[48]入 = irp[48]</v>
      </c>
    </row>
    <row r="18" spans="2:20" ht="24" thickBot="1">
      <c r="B18" s="226" t="s">
        <v>408</v>
      </c>
      <c r="C18" s="227" t="s">
        <v>125</v>
      </c>
      <c r="D18" s="227"/>
      <c r="E18" s="227" t="s">
        <v>409</v>
      </c>
      <c r="F18" s="227" t="s">
        <v>410</v>
      </c>
      <c r="G18" s="227" t="s">
        <v>411</v>
      </c>
      <c r="H18" s="227" t="s">
        <v>412</v>
      </c>
      <c r="I18" s="227" t="s">
        <v>413</v>
      </c>
      <c r="J18" s="227" t="s">
        <v>414</v>
      </c>
      <c r="K18" s="227" t="s">
        <v>415</v>
      </c>
      <c r="L18" s="227"/>
      <c r="O18" s="228" t="s">
        <v>475</v>
      </c>
      <c r="P18" s="228" t="s">
        <v>474</v>
      </c>
      <c r="Q18" s="228" t="str">
        <f t="shared" si="0"/>
        <v>un0</v>
      </c>
      <c r="R18" s="228" t="str">
        <f t="shared" si="1"/>
        <v>ut[48]</v>
      </c>
      <c r="S18" s="228" t="str">
        <f t="shared" si="2"/>
        <v xml:space="preserve">    - derive/un0/ut[48]/    # ut[48]入 = ut[48]</v>
      </c>
    </row>
    <row r="19" spans="2:20" ht="24" thickBot="1">
      <c r="B19" s="226" t="s">
        <v>416</v>
      </c>
      <c r="C19" s="227" t="s">
        <v>141</v>
      </c>
      <c r="D19" s="227"/>
      <c r="E19" s="227"/>
      <c r="F19" s="227" t="s">
        <v>417</v>
      </c>
      <c r="G19" s="227"/>
      <c r="H19" s="227"/>
      <c r="I19" s="227" t="s">
        <v>418</v>
      </c>
      <c r="J19" s="227"/>
      <c r="K19" s="227" t="s">
        <v>419</v>
      </c>
      <c r="L19" s="227"/>
      <c r="O19" s="228" t="s">
        <v>477</v>
      </c>
      <c r="P19" s="228" t="s">
        <v>476</v>
      </c>
      <c r="Q19" s="228" t="str">
        <f t="shared" si="0"/>
        <v>uan0</v>
      </c>
      <c r="R19" s="228" t="str">
        <f t="shared" si="1"/>
        <v>uat[48]</v>
      </c>
      <c r="S19" s="228" t="str">
        <f t="shared" si="2"/>
        <v xml:space="preserve">    - derive/uan0/uat[48]/    # uat[48]入 = uat[48]</v>
      </c>
    </row>
    <row r="20" spans="2:20" ht="24" thickBot="1">
      <c r="B20" s="226" t="s">
        <v>420</v>
      </c>
      <c r="C20" s="227" t="s">
        <v>421</v>
      </c>
      <c r="D20" s="227" t="s">
        <v>422</v>
      </c>
      <c r="E20" s="227"/>
      <c r="F20" s="227" t="s">
        <v>423</v>
      </c>
      <c r="G20" s="227" t="s">
        <v>424</v>
      </c>
      <c r="H20" s="227"/>
      <c r="I20" s="227" t="s">
        <v>425</v>
      </c>
      <c r="J20" s="227"/>
      <c r="K20" s="227" t="s">
        <v>426</v>
      </c>
      <c r="L20" s="227"/>
    </row>
    <row r="21" spans="2:20" ht="24" thickBot="1">
      <c r="B21" s="226" t="s">
        <v>427</v>
      </c>
      <c r="C21" s="227" t="s">
        <v>428</v>
      </c>
      <c r="D21" s="227" t="s">
        <v>429</v>
      </c>
      <c r="E21" s="227"/>
      <c r="F21" s="227"/>
      <c r="G21" s="227"/>
      <c r="H21" s="227"/>
      <c r="I21" s="227"/>
      <c r="J21" s="227"/>
      <c r="K21" s="227"/>
      <c r="L21" s="227"/>
    </row>
    <row r="22" spans="2:20" ht="24" thickBot="1">
      <c r="B22" s="226" t="s">
        <v>430</v>
      </c>
      <c r="C22" s="227" t="s">
        <v>431</v>
      </c>
      <c r="D22" s="227"/>
      <c r="E22" s="227"/>
      <c r="F22" s="227"/>
      <c r="G22" s="227"/>
      <c r="H22" s="227"/>
      <c r="I22" s="227"/>
      <c r="J22" s="227"/>
      <c r="K22" s="227" t="s">
        <v>432</v>
      </c>
      <c r="L22" s="227"/>
      <c r="O22" s="229" t="s">
        <v>453</v>
      </c>
      <c r="P22" s="229" t="s">
        <v>452</v>
      </c>
      <c r="Q22" s="229" t="str">
        <f>_xlfn.CONCAT(O22,$Q$2)</f>
        <v>eng0</v>
      </c>
      <c r="R22" s="229" t="str">
        <f xml:space="preserve"> _xlfn.CONCAT(P22,$R$2)</f>
        <v>ek[48]</v>
      </c>
      <c r="S22" s="229" t="str">
        <f xml:space="preserve"> _xlfn.CONCAT("    - xform/", R22, "/", Q22, "/    # " &amp; O22, "入 = ", P22, "[48]")</f>
        <v xml:space="preserve">    - xform/ek[48]/eng0/    # eng入 = ek[48]</v>
      </c>
    </row>
    <row r="23" spans="2:20" ht="24" thickBot="1">
      <c r="B23" s="226" t="s">
        <v>433</v>
      </c>
      <c r="C23" s="227" t="s">
        <v>434</v>
      </c>
      <c r="D23" s="227"/>
      <c r="E23" s="227"/>
      <c r="F23" s="227"/>
      <c r="G23" s="227"/>
      <c r="H23" s="227"/>
      <c r="I23" s="227"/>
      <c r="J23" s="227"/>
      <c r="K23" s="227" t="s">
        <v>435</v>
      </c>
      <c r="L23" s="227"/>
      <c r="O23" s="228" t="s">
        <v>478</v>
      </c>
      <c r="P23" s="230" t="s">
        <v>479</v>
      </c>
      <c r="Q23" s="228" t="str">
        <f>_xlfn.CONCAT(O23,$Q$2)</f>
        <v>uang0</v>
      </c>
      <c r="R23" s="228" t="str">
        <f xml:space="preserve"> _xlfn.CONCAT(P23,$R$2)</f>
        <v>uak[48]</v>
      </c>
      <c r="S23" s="228" t="str">
        <f xml:space="preserve"> _xlfn.CONCAT("    - xform/", R23, "/", Q23, "/    # " &amp; O23, "入 = ", P23, "[48]")</f>
        <v xml:space="preserve">    - xform/uak[48]/uang0/    # uang入 = uak[48]</v>
      </c>
      <c r="T23" s="229"/>
    </row>
    <row r="24" spans="2:20" ht="24" thickBot="1">
      <c r="B24" s="226" t="s">
        <v>436</v>
      </c>
      <c r="C24" s="227" t="s">
        <v>437</v>
      </c>
      <c r="D24" s="227"/>
      <c r="E24" s="227"/>
      <c r="F24" s="227"/>
      <c r="G24" s="227"/>
      <c r="H24" s="227"/>
      <c r="I24" s="227"/>
      <c r="J24" s="227"/>
      <c r="K24" s="227"/>
      <c r="L24" s="227"/>
    </row>
    <row r="25" spans="2:20" ht="24" thickBot="1">
      <c r="B25" s="226" t="s">
        <v>438</v>
      </c>
      <c r="C25" s="227"/>
      <c r="D25" s="227" t="s">
        <v>439</v>
      </c>
      <c r="E25" s="227"/>
      <c r="F25" s="227"/>
      <c r="G25" s="227"/>
      <c r="H25" s="227"/>
      <c r="I25" s="227"/>
      <c r="J25" s="227"/>
      <c r="K25" s="227"/>
      <c r="L25" s="227"/>
    </row>
    <row r="26" spans="2:20" ht="24" thickBot="1">
      <c r="B26" s="226" t="s">
        <v>440</v>
      </c>
      <c r="C26" s="227" t="s">
        <v>441</v>
      </c>
      <c r="D26" s="227"/>
      <c r="E26" s="227"/>
      <c r="F26" s="227"/>
      <c r="G26" s="227"/>
      <c r="H26" s="227"/>
      <c r="I26" s="227"/>
      <c r="J26" s="227"/>
      <c r="K26" s="227" t="s">
        <v>442</v>
      </c>
      <c r="L26" s="227"/>
    </row>
    <row r="27" spans="2:20" ht="24" thickBot="1">
      <c r="B27" s="226" t="s">
        <v>443</v>
      </c>
      <c r="C27" s="288" t="s">
        <v>188</v>
      </c>
      <c r="D27" s="289"/>
      <c r="E27" s="288" t="s">
        <v>444</v>
      </c>
      <c r="F27" s="290"/>
      <c r="G27" s="290"/>
      <c r="H27" s="290"/>
      <c r="I27" s="290"/>
      <c r="J27" s="289"/>
      <c r="K27" s="288" t="s">
        <v>445</v>
      </c>
      <c r="L27" s="289"/>
    </row>
    <row r="28" spans="2:20" ht="24" thickBot="1">
      <c r="B28" s="226" t="s">
        <v>446</v>
      </c>
      <c r="C28" s="288" t="s">
        <v>447</v>
      </c>
      <c r="D28" s="289"/>
      <c r="E28" s="288" t="s">
        <v>444</v>
      </c>
      <c r="F28" s="290"/>
      <c r="G28" s="290"/>
      <c r="H28" s="290"/>
      <c r="I28" s="290"/>
      <c r="J28" s="289"/>
      <c r="K28" s="288" t="s">
        <v>448</v>
      </c>
      <c r="L28" s="289"/>
    </row>
  </sheetData>
  <mergeCells count="11">
    <mergeCell ref="C27:D27"/>
    <mergeCell ref="E27:J27"/>
    <mergeCell ref="K27:L27"/>
    <mergeCell ref="C28:D28"/>
    <mergeCell ref="E28:J28"/>
    <mergeCell ref="K28:L28"/>
    <mergeCell ref="B2:B3"/>
    <mergeCell ref="C2:D3"/>
    <mergeCell ref="E2:G2"/>
    <mergeCell ref="H2:L2"/>
    <mergeCell ref="K3:L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E6A5-6E98-4E7F-8993-972F5CA6ECFB}">
  <dimension ref="B1:Z28"/>
  <sheetViews>
    <sheetView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T4" sqref="T4:T20"/>
    </sheetView>
  </sheetViews>
  <sheetFormatPr defaultRowHeight="21"/>
  <cols>
    <col min="1" max="1" width="2.8984375" customWidth="1"/>
    <col min="15" max="15" width="6" customWidth="1"/>
    <col min="16" max="17" width="7.796875" style="228" customWidth="1"/>
    <col min="18" max="19" width="14.69921875" style="228" customWidth="1"/>
    <col min="20" max="20" width="65.09765625" style="228" customWidth="1"/>
    <col min="21" max="26" width="8.796875" style="228"/>
  </cols>
  <sheetData>
    <row r="1" spans="2:20" ht="21.75" thickBot="1"/>
    <row r="2" spans="2:20" ht="24" thickBot="1">
      <c r="B2" s="279" t="s">
        <v>328</v>
      </c>
      <c r="C2" s="281" t="s">
        <v>329</v>
      </c>
      <c r="D2" s="282"/>
      <c r="E2" s="285" t="s">
        <v>330</v>
      </c>
      <c r="F2" s="286"/>
      <c r="G2" s="287"/>
      <c r="H2" s="285" t="s">
        <v>331</v>
      </c>
      <c r="I2" s="286"/>
      <c r="J2" s="286"/>
      <c r="K2" s="286"/>
      <c r="L2" s="287"/>
    </row>
    <row r="3" spans="2:20" ht="24" thickBot="1">
      <c r="B3" s="280"/>
      <c r="C3" s="283"/>
      <c r="D3" s="284"/>
      <c r="E3" s="226" t="s">
        <v>332</v>
      </c>
      <c r="F3" s="226" t="s">
        <v>333</v>
      </c>
      <c r="G3" s="226" t="s">
        <v>334</v>
      </c>
      <c r="H3" s="226" t="s">
        <v>335</v>
      </c>
      <c r="I3" s="226" t="s">
        <v>336</v>
      </c>
      <c r="J3" s="226" t="s">
        <v>337</v>
      </c>
      <c r="K3" s="285" t="s">
        <v>338</v>
      </c>
      <c r="L3" s="287"/>
      <c r="N3" s="232" t="s">
        <v>505</v>
      </c>
      <c r="O3" s="232" t="s">
        <v>508</v>
      </c>
      <c r="P3" s="233" t="s">
        <v>501</v>
      </c>
      <c r="Q3" s="233" t="s">
        <v>500</v>
      </c>
      <c r="R3" s="233" t="s">
        <v>502</v>
      </c>
      <c r="S3" s="233" t="str">
        <f xml:space="preserve"> "$1"</f>
        <v>$1</v>
      </c>
      <c r="T3" s="233" t="s">
        <v>507</v>
      </c>
    </row>
    <row r="4" spans="2:20" ht="24" thickBot="1">
      <c r="B4" s="226" t="s">
        <v>339</v>
      </c>
      <c r="C4" s="227" t="s">
        <v>57</v>
      </c>
      <c r="D4" s="227" t="s">
        <v>40</v>
      </c>
      <c r="E4" s="227" t="s">
        <v>161</v>
      </c>
      <c r="F4" s="227" t="s">
        <v>61</v>
      </c>
      <c r="G4" s="227" t="s">
        <v>147</v>
      </c>
      <c r="H4" s="227" t="s">
        <v>340</v>
      </c>
      <c r="I4" s="227" t="s">
        <v>341</v>
      </c>
      <c r="J4" s="227" t="s">
        <v>342</v>
      </c>
      <c r="K4" s="227" t="s">
        <v>343</v>
      </c>
      <c r="L4" s="227" t="s">
        <v>344</v>
      </c>
      <c r="N4">
        <v>1</v>
      </c>
      <c r="O4">
        <f t="shared" ref="O4:O20" si="0" xml:space="preserve"> LEN(P4)</f>
        <v>4</v>
      </c>
      <c r="P4" s="228" t="s">
        <v>460</v>
      </c>
      <c r="Q4" s="228" t="s">
        <v>485</v>
      </c>
      <c r="R4" s="228" t="str">
        <f>_xlfn.CONCAT(P4,$R$3)</f>
        <v>iang([12357])</v>
      </c>
      <c r="S4" s="228" t="str">
        <f xml:space="preserve"> _xlfn.CONCAT(Q4,$S$3)</f>
        <v>iaG$1</v>
      </c>
      <c r="T4" s="228" t="str">
        <f xml:space="preserve"> _xlfn.CONCAT("    - derive/", R4, "/", S4, "/    # " &amp; Q4, "入 = ", P4, "[48]")</f>
        <v xml:space="preserve">    - derive/iang([12357])/iaG$1/    # iaG入 = iang[48]</v>
      </c>
    </row>
    <row r="5" spans="2:20" ht="24" thickBot="1">
      <c r="B5" s="226" t="s">
        <v>345</v>
      </c>
      <c r="C5" s="227" t="s">
        <v>59</v>
      </c>
      <c r="D5" s="227" t="s">
        <v>42</v>
      </c>
      <c r="E5" s="227"/>
      <c r="F5" s="227"/>
      <c r="G5" s="227"/>
      <c r="H5" s="227"/>
      <c r="I5" s="227"/>
      <c r="J5" s="227"/>
      <c r="K5" s="227" t="s">
        <v>346</v>
      </c>
      <c r="L5" s="227" t="s">
        <v>347</v>
      </c>
      <c r="N5">
        <v>1</v>
      </c>
      <c r="O5">
        <f t="shared" si="0"/>
        <v>4</v>
      </c>
      <c r="P5" s="228" t="s">
        <v>466</v>
      </c>
      <c r="Q5" s="228" t="s">
        <v>486</v>
      </c>
      <c r="R5" s="228" t="str">
        <f t="shared" ref="R5:R20" si="1">_xlfn.CONCAT(P5,$R$3)</f>
        <v>iong([12357])</v>
      </c>
      <c r="S5" s="228" t="str">
        <f t="shared" ref="S5:S20" si="2" xml:space="preserve"> _xlfn.CONCAT(Q5,$S$3)</f>
        <v>ioG$1</v>
      </c>
      <c r="T5" s="228" t="str">
        <f t="shared" ref="T5:T20" si="3" xml:space="preserve"> _xlfn.CONCAT("    - derive/", R5, "/", S5, "/    # " &amp; Q5, "入 = ", P5, "[48]")</f>
        <v xml:space="preserve">    - derive/iong([12357])/ioG$1/    # ioG入 = iong[48]</v>
      </c>
    </row>
    <row r="6" spans="2:20" ht="24" thickBot="1">
      <c r="B6" s="226" t="s">
        <v>348</v>
      </c>
      <c r="C6" s="227" t="s">
        <v>145</v>
      </c>
      <c r="D6" s="227"/>
      <c r="E6" s="227"/>
      <c r="F6" s="227"/>
      <c r="G6" s="227"/>
      <c r="H6" s="227"/>
      <c r="I6" s="227"/>
      <c r="J6" s="227"/>
      <c r="K6" s="227" t="s">
        <v>349</v>
      </c>
      <c r="L6" s="227" t="s">
        <v>350</v>
      </c>
      <c r="N6">
        <v>1</v>
      </c>
      <c r="O6">
        <f t="shared" si="0"/>
        <v>4</v>
      </c>
      <c r="P6" s="228" t="s">
        <v>472</v>
      </c>
      <c r="Q6" s="228" t="s">
        <v>488</v>
      </c>
      <c r="R6" s="228" t="str">
        <f t="shared" si="1"/>
        <v>irng([12357])</v>
      </c>
      <c r="S6" s="228" t="str">
        <f t="shared" si="2"/>
        <v>irG$1</v>
      </c>
      <c r="T6" s="228" t="str">
        <f t="shared" si="3"/>
        <v xml:space="preserve">    - derive/irng([12357])/irG$1/    # irG入 = irng[48]</v>
      </c>
    </row>
    <row r="7" spans="2:20" ht="24" thickBot="1">
      <c r="B7" s="226" t="s">
        <v>351</v>
      </c>
      <c r="C7" s="227" t="s">
        <v>352</v>
      </c>
      <c r="D7" s="227"/>
      <c r="E7" s="227"/>
      <c r="F7" s="227"/>
      <c r="G7" s="227" t="s">
        <v>353</v>
      </c>
      <c r="H7" s="227"/>
      <c r="I7" s="227"/>
      <c r="J7" s="227" t="s">
        <v>354</v>
      </c>
      <c r="K7" s="227" t="s">
        <v>355</v>
      </c>
      <c r="L7" s="227"/>
      <c r="N7">
        <v>1</v>
      </c>
      <c r="O7">
        <f t="shared" si="0"/>
        <v>3</v>
      </c>
      <c r="P7" s="228" t="s">
        <v>274</v>
      </c>
      <c r="Q7" s="228" t="s">
        <v>483</v>
      </c>
      <c r="R7" s="228" t="str">
        <f t="shared" si="1"/>
        <v>ang([12357])</v>
      </c>
      <c r="S7" s="228" t="str">
        <f t="shared" si="2"/>
        <v>aG$1</v>
      </c>
      <c r="T7" s="228" t="str">
        <f t="shared" si="3"/>
        <v xml:space="preserve">    - derive/ang([12357])/aG$1/    # aG入 = ang[48]</v>
      </c>
    </row>
    <row r="8" spans="2:20" ht="24" thickBot="1">
      <c r="B8" s="226" t="s">
        <v>356</v>
      </c>
      <c r="C8" s="227" t="s">
        <v>180</v>
      </c>
      <c r="D8" s="227" t="s">
        <v>163</v>
      </c>
      <c r="E8" s="227"/>
      <c r="F8" s="227"/>
      <c r="G8" s="227"/>
      <c r="H8" s="227"/>
      <c r="I8" s="227"/>
      <c r="J8" s="227"/>
      <c r="K8" s="227" t="s">
        <v>357</v>
      </c>
      <c r="L8" s="227" t="s">
        <v>358</v>
      </c>
      <c r="N8">
        <v>1</v>
      </c>
      <c r="O8">
        <f t="shared" si="0"/>
        <v>3</v>
      </c>
      <c r="P8" s="228" t="s">
        <v>457</v>
      </c>
      <c r="Q8" s="228" t="s">
        <v>484</v>
      </c>
      <c r="R8" s="228" t="str">
        <f t="shared" si="1"/>
        <v>ing([12357])</v>
      </c>
      <c r="S8" s="228" t="str">
        <f t="shared" si="2"/>
        <v>iG$1</v>
      </c>
      <c r="T8" s="228" t="str">
        <f t="shared" si="3"/>
        <v xml:space="preserve">    - derive/ing([12357])/iG$1/    # iG入 = ing[48]</v>
      </c>
    </row>
    <row r="9" spans="2:20" ht="24" thickBot="1">
      <c r="B9" s="226" t="s">
        <v>359</v>
      </c>
      <c r="C9" s="227" t="s">
        <v>104</v>
      </c>
      <c r="D9" s="227" t="s">
        <v>87</v>
      </c>
      <c r="E9" s="227" t="s">
        <v>360</v>
      </c>
      <c r="F9" s="227" t="s">
        <v>361</v>
      </c>
      <c r="G9" s="227" t="s">
        <v>362</v>
      </c>
      <c r="H9" s="227" t="s">
        <v>363</v>
      </c>
      <c r="I9" s="227" t="s">
        <v>364</v>
      </c>
      <c r="J9" s="227" t="s">
        <v>365</v>
      </c>
      <c r="K9" s="227" t="s">
        <v>366</v>
      </c>
      <c r="L9" s="227" t="s">
        <v>367</v>
      </c>
      <c r="N9">
        <v>1</v>
      </c>
      <c r="O9">
        <f t="shared" si="0"/>
        <v>3</v>
      </c>
      <c r="P9" s="228" t="s">
        <v>276</v>
      </c>
      <c r="Q9" s="228" t="s">
        <v>487</v>
      </c>
      <c r="R9" s="228" t="str">
        <f t="shared" si="1"/>
        <v>ong([12357])</v>
      </c>
      <c r="S9" s="228" t="str">
        <f t="shared" si="2"/>
        <v>oG$1</v>
      </c>
      <c r="T9" s="228" t="str">
        <f t="shared" si="3"/>
        <v xml:space="preserve">    - derive/ong([12357])/oG$1/    # oG入 = ong[48]</v>
      </c>
    </row>
    <row r="10" spans="2:20" ht="24" thickBot="1">
      <c r="B10" s="226" t="s">
        <v>368</v>
      </c>
      <c r="C10" s="227" t="s">
        <v>369</v>
      </c>
      <c r="D10" s="227" t="s">
        <v>370</v>
      </c>
      <c r="E10" s="227" t="s">
        <v>371</v>
      </c>
      <c r="F10" s="227" t="s">
        <v>372</v>
      </c>
      <c r="G10" s="227" t="s">
        <v>373</v>
      </c>
      <c r="H10" s="227" t="s">
        <v>374</v>
      </c>
      <c r="I10" s="227" t="s">
        <v>375</v>
      </c>
      <c r="J10" s="227" t="s">
        <v>376</v>
      </c>
      <c r="K10" s="227" t="s">
        <v>377</v>
      </c>
      <c r="L10" s="227" t="s">
        <v>378</v>
      </c>
      <c r="N10">
        <v>2</v>
      </c>
      <c r="O10">
        <f t="shared" si="0"/>
        <v>3</v>
      </c>
      <c r="P10" s="228" t="s">
        <v>463</v>
      </c>
      <c r="Q10" s="228" t="s">
        <v>492</v>
      </c>
      <c r="R10" s="228" t="str">
        <f t="shared" si="1"/>
        <v>ian([12357])</v>
      </c>
      <c r="S10" s="228" t="str">
        <f t="shared" si="2"/>
        <v>iaN$1</v>
      </c>
      <c r="T10" s="228" t="str">
        <f t="shared" si="3"/>
        <v xml:space="preserve">    - derive/ian([12357])/iaN$1/    # iaN入 = ian[48]</v>
      </c>
    </row>
    <row r="11" spans="2:20" ht="24" thickBot="1">
      <c r="B11" s="226" t="s">
        <v>379</v>
      </c>
      <c r="C11" s="227" t="s">
        <v>380</v>
      </c>
      <c r="D11" s="227" t="s">
        <v>381</v>
      </c>
      <c r="E11" s="227"/>
      <c r="F11" s="227"/>
      <c r="G11" s="227"/>
      <c r="H11" s="227"/>
      <c r="I11" s="227"/>
      <c r="J11" s="227"/>
      <c r="K11" s="227" t="s">
        <v>382</v>
      </c>
      <c r="L11" s="227"/>
      <c r="N11">
        <v>2</v>
      </c>
      <c r="O11">
        <f t="shared" si="0"/>
        <v>3</v>
      </c>
      <c r="P11" s="228" t="s">
        <v>506</v>
      </c>
      <c r="Q11" s="228" t="s">
        <v>488</v>
      </c>
      <c r="R11" s="228" t="str">
        <f t="shared" si="1"/>
        <v>irn([12357])</v>
      </c>
      <c r="S11" s="228" t="str">
        <f t="shared" si="2"/>
        <v>irG$1</v>
      </c>
      <c r="T11" s="228" t="str">
        <f t="shared" si="3"/>
        <v xml:space="preserve">    - derive/irn([12357])/irG$1/    # irG入 = irn[48]</v>
      </c>
    </row>
    <row r="12" spans="2:20" ht="24" thickBot="1">
      <c r="B12" s="226" t="s">
        <v>383</v>
      </c>
      <c r="C12" s="227" t="s">
        <v>384</v>
      </c>
      <c r="D12" s="227"/>
      <c r="E12" s="227"/>
      <c r="F12" s="227"/>
      <c r="G12" s="227"/>
      <c r="H12" s="227"/>
      <c r="I12" s="227"/>
      <c r="J12" s="227"/>
      <c r="K12" s="227" t="s">
        <v>385</v>
      </c>
      <c r="L12" s="227"/>
      <c r="N12">
        <v>2</v>
      </c>
      <c r="O12">
        <f t="shared" si="0"/>
        <v>3</v>
      </c>
      <c r="P12" s="228" t="s">
        <v>477</v>
      </c>
      <c r="Q12" s="228" t="s">
        <v>494</v>
      </c>
      <c r="R12" s="228" t="str">
        <f t="shared" si="1"/>
        <v>uan([12357])</v>
      </c>
      <c r="S12" s="228" t="str">
        <f t="shared" si="2"/>
        <v>uaN$1</v>
      </c>
      <c r="T12" s="228" t="str">
        <f t="shared" si="3"/>
        <v xml:space="preserve">    - derive/uan([12357])/uaN$1/    # uaN入 = uan[48]</v>
      </c>
    </row>
    <row r="13" spans="2:20" ht="24" thickBot="1">
      <c r="B13" s="226" t="s">
        <v>386</v>
      </c>
      <c r="C13" s="227" t="s">
        <v>387</v>
      </c>
      <c r="D13" s="227" t="s">
        <v>388</v>
      </c>
      <c r="E13" s="227"/>
      <c r="F13" s="227"/>
      <c r="G13" s="227" t="s">
        <v>389</v>
      </c>
      <c r="H13" s="227"/>
      <c r="I13" s="227"/>
      <c r="J13" s="227" t="s">
        <v>390</v>
      </c>
      <c r="K13" s="227" t="s">
        <v>391</v>
      </c>
      <c r="L13" s="227"/>
      <c r="N13">
        <v>2</v>
      </c>
      <c r="O13">
        <f t="shared" si="0"/>
        <v>2</v>
      </c>
      <c r="P13" s="228" t="s">
        <v>273</v>
      </c>
      <c r="Q13" s="228" t="s">
        <v>491</v>
      </c>
      <c r="R13" s="228" t="str">
        <f t="shared" si="1"/>
        <v>an([12357])</v>
      </c>
      <c r="S13" s="228" t="str">
        <f t="shared" si="2"/>
        <v>aN$1</v>
      </c>
      <c r="T13" s="228" t="str">
        <f t="shared" si="3"/>
        <v xml:space="preserve">    - derive/an([12357])/aN$1/    # aN入 = an[48]</v>
      </c>
    </row>
    <row r="14" spans="2:20" ht="24" thickBot="1">
      <c r="B14" s="226" t="s">
        <v>392</v>
      </c>
      <c r="C14" s="227" t="s">
        <v>393</v>
      </c>
      <c r="D14" s="227" t="s">
        <v>394</v>
      </c>
      <c r="E14" s="227"/>
      <c r="F14" s="227"/>
      <c r="G14" s="227"/>
      <c r="H14" s="227"/>
      <c r="I14" s="227"/>
      <c r="J14" s="227"/>
      <c r="K14" s="227" t="s">
        <v>395</v>
      </c>
      <c r="L14" s="227" t="s">
        <v>396</v>
      </c>
      <c r="N14">
        <v>2</v>
      </c>
      <c r="O14">
        <f t="shared" si="0"/>
        <v>2</v>
      </c>
      <c r="P14" s="228" t="s">
        <v>503</v>
      </c>
      <c r="Q14" s="228" t="s">
        <v>504</v>
      </c>
      <c r="R14" s="228" t="str">
        <f t="shared" si="1"/>
        <v>in([12357])</v>
      </c>
      <c r="S14" s="228" t="str">
        <f t="shared" si="2"/>
        <v>iN$1</v>
      </c>
      <c r="T14" s="228" t="str">
        <f t="shared" si="3"/>
        <v xml:space="preserve">    - derive/in([12357])/iN$1/    # iN入 = in[48]</v>
      </c>
    </row>
    <row r="15" spans="2:20" ht="24" thickBot="1">
      <c r="B15" s="226" t="s">
        <v>397</v>
      </c>
      <c r="C15" s="227" t="s">
        <v>398</v>
      </c>
      <c r="D15" s="227"/>
      <c r="E15" s="227"/>
      <c r="F15" s="227"/>
      <c r="G15" s="227"/>
      <c r="H15" s="227"/>
      <c r="I15" s="227"/>
      <c r="J15" s="227"/>
      <c r="K15" s="227" t="s">
        <v>399</v>
      </c>
      <c r="L15" s="227"/>
      <c r="N15">
        <v>2</v>
      </c>
      <c r="O15">
        <f t="shared" si="0"/>
        <v>2</v>
      </c>
      <c r="P15" s="228" t="s">
        <v>475</v>
      </c>
      <c r="Q15" s="228" t="s">
        <v>493</v>
      </c>
      <c r="R15" s="228" t="str">
        <f t="shared" si="1"/>
        <v>un([12357])</v>
      </c>
      <c r="S15" s="228" t="str">
        <f t="shared" si="2"/>
        <v>uN$1</v>
      </c>
      <c r="T15" s="228" t="str">
        <f t="shared" si="3"/>
        <v xml:space="preserve">    - derive/un([12357])/uN$1/    # uN入 = un[48]</v>
      </c>
    </row>
    <row r="16" spans="2:20" ht="24" thickBot="1">
      <c r="B16" s="226" t="s">
        <v>400</v>
      </c>
      <c r="C16" s="227" t="s">
        <v>190</v>
      </c>
      <c r="D16" s="227"/>
      <c r="E16" s="227"/>
      <c r="F16" s="227"/>
      <c r="G16" s="227"/>
      <c r="H16" s="227"/>
      <c r="I16" s="227"/>
      <c r="J16" s="227"/>
      <c r="K16" s="227" t="s">
        <v>401</v>
      </c>
      <c r="L16" s="227"/>
      <c r="N16">
        <v>3</v>
      </c>
      <c r="O16">
        <f t="shared" si="0"/>
        <v>3</v>
      </c>
      <c r="P16" s="228" t="s">
        <v>464</v>
      </c>
      <c r="Q16" s="228" t="s">
        <v>497</v>
      </c>
      <c r="R16" s="228" t="str">
        <f t="shared" si="1"/>
        <v>iam([12357])</v>
      </c>
      <c r="S16" s="228" t="str">
        <f t="shared" si="2"/>
        <v>iaM$1</v>
      </c>
      <c r="T16" s="228" t="str">
        <f t="shared" si="3"/>
        <v xml:space="preserve">    - derive/iam([12357])/iaM$1/    # iaM入 = iam[48]</v>
      </c>
    </row>
    <row r="17" spans="2:21" ht="24" thickBot="1">
      <c r="B17" s="226" t="s">
        <v>402</v>
      </c>
      <c r="C17" s="227" t="s">
        <v>106</v>
      </c>
      <c r="D17" s="227" t="s">
        <v>403</v>
      </c>
      <c r="E17" s="227" t="s">
        <v>91</v>
      </c>
      <c r="F17" s="227"/>
      <c r="G17" s="227" t="s">
        <v>108</v>
      </c>
      <c r="H17" s="227" t="s">
        <v>404</v>
      </c>
      <c r="I17" s="227"/>
      <c r="J17" s="227" t="s">
        <v>405</v>
      </c>
      <c r="K17" s="227" t="s">
        <v>406</v>
      </c>
      <c r="L17" s="227" t="s">
        <v>407</v>
      </c>
      <c r="N17">
        <v>3</v>
      </c>
      <c r="O17">
        <f t="shared" si="0"/>
        <v>3</v>
      </c>
      <c r="P17" s="228" t="s">
        <v>473</v>
      </c>
      <c r="Q17" s="228" t="s">
        <v>499</v>
      </c>
      <c r="R17" s="228" t="str">
        <f t="shared" si="1"/>
        <v>irm([12357])</v>
      </c>
      <c r="S17" s="228" t="str">
        <f t="shared" si="2"/>
        <v>irM$1</v>
      </c>
      <c r="T17" s="228" t="str">
        <f t="shared" si="3"/>
        <v xml:space="preserve">    - derive/irm([12357])/irM$1/    # irM入 = irm[48]</v>
      </c>
    </row>
    <row r="18" spans="2:21" ht="24" thickBot="1">
      <c r="B18" s="226" t="s">
        <v>408</v>
      </c>
      <c r="C18" s="227" t="s">
        <v>125</v>
      </c>
      <c r="D18" s="227"/>
      <c r="E18" s="227" t="s">
        <v>409</v>
      </c>
      <c r="F18" s="227" t="s">
        <v>410</v>
      </c>
      <c r="G18" s="227" t="s">
        <v>411</v>
      </c>
      <c r="H18" s="227" t="s">
        <v>412</v>
      </c>
      <c r="I18" s="227" t="s">
        <v>413</v>
      </c>
      <c r="J18" s="227" t="s">
        <v>414</v>
      </c>
      <c r="K18" s="227" t="s">
        <v>415</v>
      </c>
      <c r="L18" s="227"/>
      <c r="N18">
        <v>3</v>
      </c>
      <c r="O18">
        <f t="shared" si="0"/>
        <v>2</v>
      </c>
      <c r="P18" s="228" t="s">
        <v>272</v>
      </c>
      <c r="Q18" s="228" t="s">
        <v>495</v>
      </c>
      <c r="R18" s="228" t="str">
        <f t="shared" si="1"/>
        <v>am([12357])</v>
      </c>
      <c r="S18" s="228" t="str">
        <f t="shared" si="2"/>
        <v>aM$1</v>
      </c>
      <c r="T18" s="228" t="str">
        <f t="shared" si="3"/>
        <v xml:space="preserve">    - derive/am([12357])/aM$1/    # aM入 = am[48]</v>
      </c>
    </row>
    <row r="19" spans="2:21" ht="24" thickBot="1">
      <c r="B19" s="226" t="s">
        <v>416</v>
      </c>
      <c r="C19" s="227" t="s">
        <v>141</v>
      </c>
      <c r="D19" s="227"/>
      <c r="E19" s="227"/>
      <c r="F19" s="227" t="s">
        <v>417</v>
      </c>
      <c r="G19" s="227"/>
      <c r="H19" s="227"/>
      <c r="I19" s="227" t="s">
        <v>418</v>
      </c>
      <c r="J19" s="227"/>
      <c r="K19" s="227" t="s">
        <v>419</v>
      </c>
      <c r="L19" s="227"/>
      <c r="N19">
        <v>3</v>
      </c>
      <c r="O19">
        <f t="shared" si="0"/>
        <v>2</v>
      </c>
      <c r="P19" s="228" t="s">
        <v>458</v>
      </c>
      <c r="Q19" s="228" t="s">
        <v>496</v>
      </c>
      <c r="R19" s="228" t="str">
        <f t="shared" si="1"/>
        <v>im([12357])</v>
      </c>
      <c r="S19" s="228" t="str">
        <f t="shared" si="2"/>
        <v>iM$1</v>
      </c>
      <c r="T19" s="228" t="str">
        <f t="shared" si="3"/>
        <v xml:space="preserve">    - derive/im([12357])/iM$1/    # iM入 = im[48]</v>
      </c>
    </row>
    <row r="20" spans="2:21" ht="24" thickBot="1">
      <c r="B20" s="226" t="s">
        <v>420</v>
      </c>
      <c r="C20" s="227" t="s">
        <v>421</v>
      </c>
      <c r="D20" s="227" t="s">
        <v>422</v>
      </c>
      <c r="E20" s="227"/>
      <c r="F20" s="227" t="s">
        <v>423</v>
      </c>
      <c r="G20" s="227" t="s">
        <v>424</v>
      </c>
      <c r="H20" s="227"/>
      <c r="I20" s="227" t="s">
        <v>425</v>
      </c>
      <c r="J20" s="227"/>
      <c r="K20" s="227" t="s">
        <v>426</v>
      </c>
      <c r="L20" s="227"/>
      <c r="N20">
        <v>3</v>
      </c>
      <c r="O20">
        <f t="shared" si="0"/>
        <v>2</v>
      </c>
      <c r="P20" s="228" t="s">
        <v>275</v>
      </c>
      <c r="Q20" s="228" t="s">
        <v>498</v>
      </c>
      <c r="R20" s="228" t="str">
        <f t="shared" si="1"/>
        <v>om([12357])</v>
      </c>
      <c r="S20" s="228" t="str">
        <f t="shared" si="2"/>
        <v>oM$1</v>
      </c>
      <c r="T20" s="228" t="str">
        <f t="shared" si="3"/>
        <v xml:space="preserve">    - derive/om([12357])/oM$1/    # oM入 = om[48]</v>
      </c>
    </row>
    <row r="21" spans="2:21" ht="24" thickBot="1">
      <c r="B21" s="226" t="s">
        <v>427</v>
      </c>
      <c r="C21" s="227" t="s">
        <v>428</v>
      </c>
      <c r="D21" s="227" t="s">
        <v>429</v>
      </c>
      <c r="E21" s="227"/>
      <c r="F21" s="227"/>
      <c r="G21" s="227"/>
      <c r="H21" s="227"/>
      <c r="I21" s="227"/>
      <c r="J21" s="227"/>
      <c r="K21" s="227"/>
      <c r="L21" s="227"/>
    </row>
    <row r="22" spans="2:21" ht="24" thickBot="1">
      <c r="B22" s="226" t="s">
        <v>430</v>
      </c>
      <c r="C22" s="227" t="s">
        <v>431</v>
      </c>
      <c r="D22" s="227"/>
      <c r="E22" s="227"/>
      <c r="F22" s="227"/>
      <c r="G22" s="227"/>
      <c r="H22" s="227"/>
      <c r="I22" s="227"/>
      <c r="J22" s="227"/>
      <c r="K22" s="227" t="s">
        <v>432</v>
      </c>
      <c r="L22" s="227"/>
      <c r="P22" s="229" t="s">
        <v>452</v>
      </c>
      <c r="Q22" s="229" t="s">
        <v>489</v>
      </c>
      <c r="R22" s="229" t="str">
        <f>_xlfn.CONCAT(Q22,$R$3)</f>
        <v>eG([12357])</v>
      </c>
      <c r="S22" s="229" t="str">
        <f xml:space="preserve"> _xlfn.CONCAT(P22,$S$3)</f>
        <v>ek$1</v>
      </c>
      <c r="T22" s="229" t="str">
        <f xml:space="preserve"> _xlfn.CONCAT("    - xform/", S22, "/", R22, "/    # " &amp; Q22, "入 = ", P22, "[48]")</f>
        <v xml:space="preserve">    - xform/ek$1/eG([12357])/    # eG入 = ek[48]</v>
      </c>
    </row>
    <row r="23" spans="2:21" ht="24" thickBot="1">
      <c r="B23" s="226" t="s">
        <v>433</v>
      </c>
      <c r="C23" s="227" t="s">
        <v>434</v>
      </c>
      <c r="D23" s="227"/>
      <c r="E23" s="227"/>
      <c r="F23" s="227"/>
      <c r="G23" s="227"/>
      <c r="H23" s="227"/>
      <c r="I23" s="227"/>
      <c r="J23" s="227"/>
      <c r="K23" s="227" t="s">
        <v>435</v>
      </c>
      <c r="L23" s="227"/>
      <c r="P23" s="230" t="s">
        <v>479</v>
      </c>
      <c r="Q23" s="228" t="s">
        <v>490</v>
      </c>
      <c r="R23" s="228" t="str">
        <f>_xlfn.CONCAT(Q23,$R$3)</f>
        <v>uaG([12357])</v>
      </c>
      <c r="S23" s="228" t="str">
        <f xml:space="preserve"> _xlfn.CONCAT(P23,$S$3)</f>
        <v>uak$1</v>
      </c>
      <c r="T23" s="228" t="str">
        <f xml:space="preserve"> _xlfn.CONCAT("    - xform/", S23, "/", R23, "/    # " &amp; Q23, "入 = ", P23, "[48]")</f>
        <v xml:space="preserve">    - xform/uak$1/uaG([12357])/    # uaG入 = uak[48]</v>
      </c>
      <c r="U23" s="229"/>
    </row>
    <row r="24" spans="2:21" ht="24" thickBot="1">
      <c r="B24" s="226" t="s">
        <v>436</v>
      </c>
      <c r="C24" s="227" t="s">
        <v>437</v>
      </c>
      <c r="D24" s="227"/>
      <c r="E24" s="227"/>
      <c r="F24" s="227"/>
      <c r="G24" s="227"/>
      <c r="H24" s="227"/>
      <c r="I24" s="227"/>
      <c r="J24" s="227"/>
      <c r="K24" s="227"/>
      <c r="L24" s="227"/>
    </row>
    <row r="25" spans="2:21" ht="24" thickBot="1">
      <c r="B25" s="226" t="s">
        <v>438</v>
      </c>
      <c r="C25" s="227"/>
      <c r="D25" s="227" t="s">
        <v>439</v>
      </c>
      <c r="E25" s="227"/>
      <c r="F25" s="227"/>
      <c r="G25" s="227"/>
      <c r="H25" s="227"/>
      <c r="I25" s="227"/>
      <c r="J25" s="227"/>
      <c r="K25" s="227"/>
      <c r="L25" s="227"/>
    </row>
    <row r="26" spans="2:21" ht="24" thickBot="1">
      <c r="B26" s="226" t="s">
        <v>440</v>
      </c>
      <c r="C26" s="227" t="s">
        <v>441</v>
      </c>
      <c r="D26" s="227"/>
      <c r="E26" s="227"/>
      <c r="F26" s="227"/>
      <c r="G26" s="227"/>
      <c r="H26" s="227"/>
      <c r="I26" s="227"/>
      <c r="J26" s="227"/>
      <c r="K26" s="227" t="s">
        <v>442</v>
      </c>
      <c r="L26" s="227"/>
    </row>
    <row r="27" spans="2:21" ht="24" thickBot="1">
      <c r="B27" s="226" t="s">
        <v>443</v>
      </c>
      <c r="C27" s="288" t="s">
        <v>188</v>
      </c>
      <c r="D27" s="289"/>
      <c r="E27" s="288" t="s">
        <v>444</v>
      </c>
      <c r="F27" s="290"/>
      <c r="G27" s="290"/>
      <c r="H27" s="290"/>
      <c r="I27" s="290"/>
      <c r="J27" s="289"/>
      <c r="K27" s="288" t="s">
        <v>445</v>
      </c>
      <c r="L27" s="289"/>
    </row>
    <row r="28" spans="2:21" ht="24" thickBot="1">
      <c r="B28" s="226" t="s">
        <v>446</v>
      </c>
      <c r="C28" s="288" t="s">
        <v>447</v>
      </c>
      <c r="D28" s="289"/>
      <c r="E28" s="288" t="s">
        <v>444</v>
      </c>
      <c r="F28" s="290"/>
      <c r="G28" s="290"/>
      <c r="H28" s="290"/>
      <c r="I28" s="290"/>
      <c r="J28" s="289"/>
      <c r="K28" s="288" t="s">
        <v>448</v>
      </c>
      <c r="L28" s="289"/>
    </row>
  </sheetData>
  <sortState xmlns:xlrd2="http://schemas.microsoft.com/office/spreadsheetml/2017/richdata2" ref="N4:T20">
    <sortCondition ref="N4:N20"/>
    <sortCondition descending="1" ref="O4:O20"/>
  </sortState>
  <mergeCells count="11">
    <mergeCell ref="C28:D28"/>
    <mergeCell ref="E28:J28"/>
    <mergeCell ref="K28:L28"/>
    <mergeCell ref="B2:B3"/>
    <mergeCell ref="C2:D3"/>
    <mergeCell ref="E2:G2"/>
    <mergeCell ref="H2:L2"/>
    <mergeCell ref="K3:L3"/>
    <mergeCell ref="C27:D27"/>
    <mergeCell ref="E27:J27"/>
    <mergeCell ref="K27:L27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EFA4-32E9-4AEC-A6ED-2DBF7A08ED31}">
  <dimension ref="B1:X2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1" sqref="P1:Q1048576"/>
    </sheetView>
  </sheetViews>
  <sheetFormatPr defaultRowHeight="21"/>
  <cols>
    <col min="1" max="1" width="2.8984375" customWidth="1"/>
    <col min="14" max="15" width="6.8984375" style="228" customWidth="1"/>
    <col min="16" max="17" width="13.09765625" style="228" customWidth="1"/>
    <col min="18" max="18" width="47.296875" style="228" customWidth="1"/>
    <col min="19" max="24" width="8.796875" style="228"/>
  </cols>
  <sheetData>
    <row r="1" spans="2:18" ht="21.75" thickBot="1"/>
    <row r="2" spans="2:18" ht="24" thickBot="1">
      <c r="B2" s="279" t="s">
        <v>328</v>
      </c>
      <c r="C2" s="281" t="s">
        <v>329</v>
      </c>
      <c r="D2" s="282"/>
      <c r="E2" s="285" t="s">
        <v>330</v>
      </c>
      <c r="F2" s="286"/>
      <c r="G2" s="287"/>
      <c r="H2" s="285" t="s">
        <v>331</v>
      </c>
      <c r="I2" s="286"/>
      <c r="J2" s="286"/>
      <c r="K2" s="286"/>
      <c r="L2" s="287"/>
      <c r="P2" s="228" t="str">
        <f xml:space="preserve"> "([48])"</f>
        <v>([48])</v>
      </c>
      <c r="Q2" s="228">
        <v>0</v>
      </c>
    </row>
    <row r="3" spans="2:18" ht="24" thickBot="1">
      <c r="B3" s="280"/>
      <c r="C3" s="283"/>
      <c r="D3" s="284"/>
      <c r="E3" s="226" t="s">
        <v>332</v>
      </c>
      <c r="F3" s="226" t="s">
        <v>333</v>
      </c>
      <c r="G3" s="226" t="s">
        <v>334</v>
      </c>
      <c r="H3" s="226" t="s">
        <v>335</v>
      </c>
      <c r="I3" s="226" t="s">
        <v>336</v>
      </c>
      <c r="J3" s="226" t="s">
        <v>337</v>
      </c>
      <c r="K3" s="285" t="s">
        <v>338</v>
      </c>
      <c r="L3" s="287"/>
      <c r="N3" s="228" t="s">
        <v>450</v>
      </c>
      <c r="O3" s="228" t="s">
        <v>274</v>
      </c>
      <c r="P3" s="228" t="str">
        <f xml:space="preserve"> _xlfn.CONCAT(N3,$P$2)</f>
        <v>ak([48])</v>
      </c>
      <c r="Q3" s="228" t="str">
        <f>_xlfn.CONCAT(O3,$Q$2)</f>
        <v>ang0</v>
      </c>
      <c r="R3" s="228" t="str">
        <f xml:space="preserve"> _xlfn.CONCAT("    - derive/", P3, "/", Q3, "/    # " &amp; O3, "入 = ", N3, "[48]")</f>
        <v xml:space="preserve">    - derive/ak([48])/ang0/    # ang入 = ak[48]</v>
      </c>
    </row>
    <row r="4" spans="2:18" ht="24" thickBot="1">
      <c r="B4" s="226" t="s">
        <v>339</v>
      </c>
      <c r="C4" s="227" t="s">
        <v>57</v>
      </c>
      <c r="D4" s="227" t="s">
        <v>40</v>
      </c>
      <c r="E4" s="227" t="s">
        <v>161</v>
      </c>
      <c r="F4" s="227" t="s">
        <v>61</v>
      </c>
      <c r="G4" s="227" t="s">
        <v>147</v>
      </c>
      <c r="H4" s="227" t="s">
        <v>340</v>
      </c>
      <c r="I4" s="227" t="s">
        <v>341</v>
      </c>
      <c r="J4" s="227" t="s">
        <v>342</v>
      </c>
      <c r="K4" s="227" t="s">
        <v>343</v>
      </c>
      <c r="L4" s="227" t="s">
        <v>344</v>
      </c>
      <c r="N4" s="228" t="s">
        <v>451</v>
      </c>
      <c r="O4" s="228" t="s">
        <v>273</v>
      </c>
      <c r="P4" s="228" t="str">
        <f t="shared" ref="P4:P19" si="0" xml:space="preserve"> _xlfn.CONCAT(N4,$P$2)</f>
        <v>at([48])</v>
      </c>
      <c r="Q4" s="228" t="str">
        <f t="shared" ref="Q4:Q19" si="1">_xlfn.CONCAT(O4,$Q$2)</f>
        <v>an0</v>
      </c>
      <c r="R4" s="228" t="str">
        <f t="shared" ref="R4:R19" si="2" xml:space="preserve"> _xlfn.CONCAT("    - derive/", P4, "/", Q4, "/    # " &amp; O4, "入 = ", N4, "[48]")</f>
        <v xml:space="preserve">    - derive/at([48])/an0/    # an入 = at[48]</v>
      </c>
    </row>
    <row r="5" spans="2:18" ht="24" thickBot="1">
      <c r="B5" s="226" t="s">
        <v>345</v>
      </c>
      <c r="C5" s="227" t="s">
        <v>59</v>
      </c>
      <c r="D5" s="227" t="s">
        <v>42</v>
      </c>
      <c r="E5" s="227"/>
      <c r="F5" s="227"/>
      <c r="G5" s="227"/>
      <c r="H5" s="227"/>
      <c r="I5" s="227"/>
      <c r="J5" s="227"/>
      <c r="K5" s="227" t="s">
        <v>346</v>
      </c>
      <c r="L5" s="227" t="s">
        <v>347</v>
      </c>
      <c r="N5" s="228" t="s">
        <v>449</v>
      </c>
      <c r="O5" s="228" t="s">
        <v>272</v>
      </c>
      <c r="P5" s="228" t="str">
        <f t="shared" si="0"/>
        <v>ap([48])</v>
      </c>
      <c r="Q5" s="228" t="str">
        <f t="shared" si="1"/>
        <v>am0</v>
      </c>
      <c r="R5" s="228" t="str">
        <f t="shared" si="2"/>
        <v xml:space="preserve">    - derive/ap([48])/am0/    # am入 = ap[48]</v>
      </c>
    </row>
    <row r="6" spans="2:18" ht="24" thickBot="1">
      <c r="B6" s="226" t="s">
        <v>348</v>
      </c>
      <c r="C6" s="227" t="s">
        <v>145</v>
      </c>
      <c r="D6" s="227"/>
      <c r="E6" s="227"/>
      <c r="F6" s="227"/>
      <c r="G6" s="227"/>
      <c r="H6" s="227"/>
      <c r="I6" s="227"/>
      <c r="J6" s="227"/>
      <c r="K6" s="227" t="s">
        <v>349</v>
      </c>
      <c r="L6" s="227" t="s">
        <v>350</v>
      </c>
      <c r="N6" s="228" t="s">
        <v>454</v>
      </c>
      <c r="O6" s="228" t="s">
        <v>457</v>
      </c>
      <c r="P6" s="228" t="str">
        <f t="shared" si="0"/>
        <v>ik([48])</v>
      </c>
      <c r="Q6" s="228" t="str">
        <f t="shared" si="1"/>
        <v>ing0</v>
      </c>
      <c r="R6" s="228" t="str">
        <f t="shared" si="2"/>
        <v xml:space="preserve">    - derive/ik([48])/ing0/    # ing入 = ik[48]</v>
      </c>
    </row>
    <row r="7" spans="2:18" ht="24" thickBot="1">
      <c r="B7" s="226" t="s">
        <v>351</v>
      </c>
      <c r="C7" s="227" t="s">
        <v>352</v>
      </c>
      <c r="D7" s="227"/>
      <c r="E7" s="227"/>
      <c r="F7" s="227"/>
      <c r="G7" s="227" t="s">
        <v>353</v>
      </c>
      <c r="H7" s="227"/>
      <c r="I7" s="227"/>
      <c r="J7" s="227" t="s">
        <v>354</v>
      </c>
      <c r="K7" s="227" t="s">
        <v>355</v>
      </c>
      <c r="L7" s="227"/>
      <c r="N7" s="228" t="s">
        <v>455</v>
      </c>
      <c r="O7" s="228" t="s">
        <v>457</v>
      </c>
      <c r="P7" s="228" t="str">
        <f t="shared" si="0"/>
        <v>it([48])</v>
      </c>
      <c r="Q7" s="228" t="str">
        <f t="shared" si="1"/>
        <v>ing0</v>
      </c>
      <c r="R7" s="228" t="str">
        <f t="shared" si="2"/>
        <v xml:space="preserve">    - derive/it([48])/ing0/    # ing入 = it[48]</v>
      </c>
    </row>
    <row r="8" spans="2:18" ht="24" thickBot="1">
      <c r="B8" s="226" t="s">
        <v>356</v>
      </c>
      <c r="C8" s="227" t="s">
        <v>180</v>
      </c>
      <c r="D8" s="227" t="s">
        <v>163</v>
      </c>
      <c r="E8" s="227"/>
      <c r="F8" s="227"/>
      <c r="G8" s="227"/>
      <c r="H8" s="227"/>
      <c r="I8" s="227"/>
      <c r="J8" s="227"/>
      <c r="K8" s="227" t="s">
        <v>357</v>
      </c>
      <c r="L8" s="227" t="s">
        <v>358</v>
      </c>
      <c r="N8" s="228" t="s">
        <v>456</v>
      </c>
      <c r="O8" s="228" t="s">
        <v>458</v>
      </c>
      <c r="P8" s="228" t="str">
        <f t="shared" si="0"/>
        <v>ip([48])</v>
      </c>
      <c r="Q8" s="228" t="str">
        <f t="shared" si="1"/>
        <v>im0</v>
      </c>
      <c r="R8" s="228" t="str">
        <f t="shared" si="2"/>
        <v xml:space="preserve">    - derive/ip([48])/im0/    # im入 = ip[48]</v>
      </c>
    </row>
    <row r="9" spans="2:18" ht="24" thickBot="1">
      <c r="B9" s="226" t="s">
        <v>359</v>
      </c>
      <c r="C9" s="227" t="s">
        <v>104</v>
      </c>
      <c r="D9" s="227" t="s">
        <v>87</v>
      </c>
      <c r="E9" s="227" t="s">
        <v>360</v>
      </c>
      <c r="F9" s="227" t="s">
        <v>361</v>
      </c>
      <c r="G9" s="227" t="s">
        <v>362</v>
      </c>
      <c r="H9" s="227" t="s">
        <v>363</v>
      </c>
      <c r="I9" s="227" t="s">
        <v>364</v>
      </c>
      <c r="J9" s="227" t="s">
        <v>365</v>
      </c>
      <c r="K9" s="227" t="s">
        <v>366</v>
      </c>
      <c r="L9" s="227" t="s">
        <v>367</v>
      </c>
      <c r="N9" s="228" t="s">
        <v>459</v>
      </c>
      <c r="O9" s="228" t="s">
        <v>460</v>
      </c>
      <c r="P9" s="228" t="str">
        <f t="shared" si="0"/>
        <v>iak([48])</v>
      </c>
      <c r="Q9" s="228" t="str">
        <f t="shared" si="1"/>
        <v>iang0</v>
      </c>
      <c r="R9" s="228" t="str">
        <f t="shared" si="2"/>
        <v xml:space="preserve">    - derive/iak([48])/iang0/    # iang入 = iak[48]</v>
      </c>
    </row>
    <row r="10" spans="2:18" ht="24" thickBot="1">
      <c r="B10" s="226" t="s">
        <v>368</v>
      </c>
      <c r="C10" s="227" t="s">
        <v>369</v>
      </c>
      <c r="D10" s="227" t="s">
        <v>370</v>
      </c>
      <c r="E10" s="227" t="s">
        <v>371</v>
      </c>
      <c r="F10" s="227" t="s">
        <v>372</v>
      </c>
      <c r="G10" s="227" t="s">
        <v>373</v>
      </c>
      <c r="H10" s="227" t="s">
        <v>374</v>
      </c>
      <c r="I10" s="227" t="s">
        <v>375</v>
      </c>
      <c r="J10" s="227" t="s">
        <v>376</v>
      </c>
      <c r="K10" s="227" t="s">
        <v>377</v>
      </c>
      <c r="L10" s="227" t="s">
        <v>378</v>
      </c>
      <c r="N10" s="228" t="s">
        <v>461</v>
      </c>
      <c r="O10" s="228" t="s">
        <v>463</v>
      </c>
      <c r="P10" s="228" t="str">
        <f t="shared" si="0"/>
        <v>iat([48])</v>
      </c>
      <c r="Q10" s="228" t="str">
        <f t="shared" si="1"/>
        <v>ian0</v>
      </c>
      <c r="R10" s="228" t="str">
        <f t="shared" si="2"/>
        <v xml:space="preserve">    - derive/iat([48])/ian0/    # ian入 = iat[48]</v>
      </c>
    </row>
    <row r="11" spans="2:18" ht="24" thickBot="1">
      <c r="B11" s="226" t="s">
        <v>379</v>
      </c>
      <c r="C11" s="227" t="s">
        <v>380</v>
      </c>
      <c r="D11" s="227" t="s">
        <v>381</v>
      </c>
      <c r="E11" s="227"/>
      <c r="F11" s="227"/>
      <c r="G11" s="227"/>
      <c r="H11" s="227"/>
      <c r="I11" s="227"/>
      <c r="J11" s="227"/>
      <c r="K11" s="227" t="s">
        <v>382</v>
      </c>
      <c r="L11" s="227"/>
      <c r="N11" s="228" t="s">
        <v>462</v>
      </c>
      <c r="O11" s="228" t="s">
        <v>464</v>
      </c>
      <c r="P11" s="228" t="str">
        <f t="shared" si="0"/>
        <v>iap([48])</v>
      </c>
      <c r="Q11" s="228" t="str">
        <f t="shared" si="1"/>
        <v>iam0</v>
      </c>
      <c r="R11" s="228" t="str">
        <f t="shared" si="2"/>
        <v xml:space="preserve">    - derive/iap([48])/iam0/    # iam入 = iap[48]</v>
      </c>
    </row>
    <row r="12" spans="2:18" ht="24" thickBot="1">
      <c r="B12" s="226" t="s">
        <v>383</v>
      </c>
      <c r="C12" s="227" t="s">
        <v>384</v>
      </c>
      <c r="D12" s="227"/>
      <c r="E12" s="227"/>
      <c r="F12" s="227"/>
      <c r="G12" s="227"/>
      <c r="H12" s="227"/>
      <c r="I12" s="227"/>
      <c r="J12" s="227"/>
      <c r="K12" s="227" t="s">
        <v>385</v>
      </c>
      <c r="L12" s="227"/>
      <c r="N12" s="228" t="s">
        <v>465</v>
      </c>
      <c r="O12" s="228" t="s">
        <v>466</v>
      </c>
      <c r="P12" s="228" t="str">
        <f t="shared" si="0"/>
        <v>iok([48])</v>
      </c>
      <c r="Q12" s="228" t="str">
        <f t="shared" si="1"/>
        <v>iong0</v>
      </c>
      <c r="R12" s="228" t="str">
        <f t="shared" si="2"/>
        <v xml:space="preserve">    - derive/iok([48])/iong0/    # iong入 = iok[48]</v>
      </c>
    </row>
    <row r="13" spans="2:18" ht="24" thickBot="1">
      <c r="B13" s="226" t="s">
        <v>386</v>
      </c>
      <c r="C13" s="227" t="s">
        <v>387</v>
      </c>
      <c r="D13" s="227" t="s">
        <v>388</v>
      </c>
      <c r="E13" s="227"/>
      <c r="F13" s="227"/>
      <c r="G13" s="227" t="s">
        <v>389</v>
      </c>
      <c r="H13" s="227"/>
      <c r="I13" s="227"/>
      <c r="J13" s="227" t="s">
        <v>390</v>
      </c>
      <c r="K13" s="227" t="s">
        <v>391</v>
      </c>
      <c r="L13" s="227"/>
      <c r="N13" s="228" t="s">
        <v>467</v>
      </c>
      <c r="O13" s="228" t="s">
        <v>276</v>
      </c>
      <c r="P13" s="228" t="str">
        <f t="shared" si="0"/>
        <v>ok([48])</v>
      </c>
      <c r="Q13" s="228" t="str">
        <f t="shared" si="1"/>
        <v>ong0</v>
      </c>
      <c r="R13" s="228" t="str">
        <f t="shared" si="2"/>
        <v xml:space="preserve">    - derive/ok([48])/ong0/    # ong入 = ok[48]</v>
      </c>
    </row>
    <row r="14" spans="2:18" ht="24" thickBot="1">
      <c r="B14" s="226" t="s">
        <v>392</v>
      </c>
      <c r="C14" s="227" t="s">
        <v>393</v>
      </c>
      <c r="D14" s="227" t="s">
        <v>394</v>
      </c>
      <c r="E14" s="227"/>
      <c r="F14" s="227"/>
      <c r="G14" s="227"/>
      <c r="H14" s="227"/>
      <c r="I14" s="227"/>
      <c r="J14" s="227"/>
      <c r="K14" s="227" t="s">
        <v>395</v>
      </c>
      <c r="L14" s="227" t="s">
        <v>396</v>
      </c>
      <c r="N14" s="228" t="s">
        <v>468</v>
      </c>
      <c r="O14" s="228" t="s">
        <v>275</v>
      </c>
      <c r="P14" s="228" t="str">
        <f t="shared" si="0"/>
        <v>op([48])</v>
      </c>
      <c r="Q14" s="228" t="str">
        <f t="shared" si="1"/>
        <v>om0</v>
      </c>
      <c r="R14" s="228" t="str">
        <f t="shared" si="2"/>
        <v xml:space="preserve">    - derive/op([48])/om0/    # om入 = op[48]</v>
      </c>
    </row>
    <row r="15" spans="2:18" ht="24" thickBot="1">
      <c r="B15" s="226" t="s">
        <v>397</v>
      </c>
      <c r="C15" s="227" t="s">
        <v>398</v>
      </c>
      <c r="D15" s="227"/>
      <c r="E15" s="227"/>
      <c r="F15" s="227"/>
      <c r="G15" s="227"/>
      <c r="H15" s="227"/>
      <c r="I15" s="227"/>
      <c r="J15" s="227"/>
      <c r="K15" s="227" t="s">
        <v>399</v>
      </c>
      <c r="L15" s="227"/>
      <c r="N15" s="228" t="s">
        <v>469</v>
      </c>
      <c r="O15" s="228" t="s">
        <v>472</v>
      </c>
      <c r="P15" s="228" t="str">
        <f t="shared" si="0"/>
        <v>irk([48])</v>
      </c>
      <c r="Q15" s="228" t="str">
        <f t="shared" si="1"/>
        <v>irng0</v>
      </c>
      <c r="R15" s="228" t="str">
        <f t="shared" si="2"/>
        <v xml:space="preserve">    - derive/irk([48])/irng0/    # irng入 = irk[48]</v>
      </c>
    </row>
    <row r="16" spans="2:18" ht="24" thickBot="1">
      <c r="B16" s="226" t="s">
        <v>400</v>
      </c>
      <c r="C16" s="227" t="s">
        <v>190</v>
      </c>
      <c r="D16" s="227"/>
      <c r="E16" s="227"/>
      <c r="F16" s="227"/>
      <c r="G16" s="227"/>
      <c r="H16" s="227"/>
      <c r="I16" s="227"/>
      <c r="J16" s="227"/>
      <c r="K16" s="227" t="s">
        <v>401</v>
      </c>
      <c r="L16" s="227"/>
      <c r="N16" s="228" t="s">
        <v>470</v>
      </c>
      <c r="O16" s="228" t="s">
        <v>472</v>
      </c>
      <c r="P16" s="228" t="str">
        <f t="shared" si="0"/>
        <v>irt([48])</v>
      </c>
      <c r="Q16" s="228" t="str">
        <f t="shared" si="1"/>
        <v>irng0</v>
      </c>
      <c r="R16" s="228" t="str">
        <f t="shared" si="2"/>
        <v xml:space="preserve">    - derive/irt([48])/irng0/    # irng入 = irt[48]</v>
      </c>
    </row>
    <row r="17" spans="2:19" ht="24" thickBot="1">
      <c r="B17" s="226" t="s">
        <v>402</v>
      </c>
      <c r="C17" s="227" t="s">
        <v>106</v>
      </c>
      <c r="D17" s="227" t="s">
        <v>403</v>
      </c>
      <c r="E17" s="227" t="s">
        <v>91</v>
      </c>
      <c r="F17" s="227"/>
      <c r="G17" s="227" t="s">
        <v>108</v>
      </c>
      <c r="H17" s="227" t="s">
        <v>404</v>
      </c>
      <c r="I17" s="227"/>
      <c r="J17" s="227" t="s">
        <v>405</v>
      </c>
      <c r="K17" s="227" t="s">
        <v>406</v>
      </c>
      <c r="L17" s="227" t="s">
        <v>407</v>
      </c>
      <c r="N17" s="228" t="s">
        <v>471</v>
      </c>
      <c r="O17" s="228" t="s">
        <v>473</v>
      </c>
      <c r="P17" s="228" t="str">
        <f t="shared" si="0"/>
        <v>irp([48])</v>
      </c>
      <c r="Q17" s="228" t="str">
        <f t="shared" si="1"/>
        <v>irm0</v>
      </c>
      <c r="R17" s="228" t="str">
        <f t="shared" si="2"/>
        <v xml:space="preserve">    - derive/irp([48])/irm0/    # irm入 = irp[48]</v>
      </c>
    </row>
    <row r="18" spans="2:19" ht="24" thickBot="1">
      <c r="B18" s="226" t="s">
        <v>408</v>
      </c>
      <c r="C18" s="227" t="s">
        <v>125</v>
      </c>
      <c r="D18" s="227"/>
      <c r="E18" s="227" t="s">
        <v>409</v>
      </c>
      <c r="F18" s="227" t="s">
        <v>410</v>
      </c>
      <c r="G18" s="227" t="s">
        <v>411</v>
      </c>
      <c r="H18" s="227" t="s">
        <v>412</v>
      </c>
      <c r="I18" s="227" t="s">
        <v>413</v>
      </c>
      <c r="J18" s="227" t="s">
        <v>414</v>
      </c>
      <c r="K18" s="227" t="s">
        <v>415</v>
      </c>
      <c r="L18" s="227"/>
      <c r="N18" s="228" t="s">
        <v>474</v>
      </c>
      <c r="O18" s="228" t="s">
        <v>475</v>
      </c>
      <c r="P18" s="228" t="str">
        <f t="shared" si="0"/>
        <v>ut([48])</v>
      </c>
      <c r="Q18" s="228" t="str">
        <f t="shared" si="1"/>
        <v>un0</v>
      </c>
      <c r="R18" s="228" t="str">
        <f t="shared" si="2"/>
        <v xml:space="preserve">    - derive/ut([48])/un0/    # un入 = ut[48]</v>
      </c>
    </row>
    <row r="19" spans="2:19" ht="24" thickBot="1">
      <c r="B19" s="226" t="s">
        <v>416</v>
      </c>
      <c r="C19" s="227" t="s">
        <v>141</v>
      </c>
      <c r="D19" s="227"/>
      <c r="E19" s="227"/>
      <c r="F19" s="227" t="s">
        <v>417</v>
      </c>
      <c r="G19" s="227"/>
      <c r="H19" s="227"/>
      <c r="I19" s="227" t="s">
        <v>418</v>
      </c>
      <c r="J19" s="227"/>
      <c r="K19" s="227" t="s">
        <v>419</v>
      </c>
      <c r="L19" s="227"/>
      <c r="N19" s="228" t="s">
        <v>476</v>
      </c>
      <c r="O19" s="228" t="s">
        <v>477</v>
      </c>
      <c r="P19" s="228" t="str">
        <f t="shared" si="0"/>
        <v>uat([48])</v>
      </c>
      <c r="Q19" s="228" t="str">
        <f t="shared" si="1"/>
        <v>uan0</v>
      </c>
      <c r="R19" s="228" t="str">
        <f t="shared" si="2"/>
        <v xml:space="preserve">    - derive/uat([48])/uan0/    # uan入 = uat[48]</v>
      </c>
    </row>
    <row r="20" spans="2:19" ht="24" thickBot="1">
      <c r="B20" s="226" t="s">
        <v>420</v>
      </c>
      <c r="C20" s="227" t="s">
        <v>421</v>
      </c>
      <c r="D20" s="227" t="s">
        <v>422</v>
      </c>
      <c r="E20" s="227"/>
      <c r="F20" s="227" t="s">
        <v>423</v>
      </c>
      <c r="G20" s="227" t="s">
        <v>424</v>
      </c>
      <c r="H20" s="227"/>
      <c r="I20" s="227" t="s">
        <v>425</v>
      </c>
      <c r="J20" s="227"/>
      <c r="K20" s="227" t="s">
        <v>426</v>
      </c>
      <c r="L20" s="227"/>
    </row>
    <row r="21" spans="2:19" ht="24" thickBot="1">
      <c r="B21" s="226" t="s">
        <v>427</v>
      </c>
      <c r="C21" s="227" t="s">
        <v>428</v>
      </c>
      <c r="D21" s="227" t="s">
        <v>429</v>
      </c>
      <c r="E21" s="227"/>
      <c r="F21" s="227"/>
      <c r="G21" s="227"/>
      <c r="H21" s="227"/>
      <c r="I21" s="227"/>
      <c r="J21" s="227"/>
      <c r="K21" s="227"/>
      <c r="L21" s="227"/>
    </row>
    <row r="22" spans="2:19" ht="24" thickBot="1">
      <c r="B22" s="226" t="s">
        <v>430</v>
      </c>
      <c r="C22" s="227" t="s">
        <v>431</v>
      </c>
      <c r="D22" s="227"/>
      <c r="E22" s="227"/>
      <c r="F22" s="227"/>
      <c r="G22" s="227"/>
      <c r="H22" s="227"/>
      <c r="I22" s="227"/>
      <c r="J22" s="227"/>
      <c r="K22" s="227" t="s">
        <v>432</v>
      </c>
      <c r="L22" s="227"/>
      <c r="N22" s="229" t="s">
        <v>452</v>
      </c>
      <c r="O22" s="229" t="s">
        <v>453</v>
      </c>
      <c r="P22" s="229" t="str">
        <f xml:space="preserve"> _xlfn.CONCAT(N22,$P$2)</f>
        <v>ek([48])</v>
      </c>
      <c r="Q22" s="229" t="str">
        <f>_xlfn.CONCAT(O22,$Q$2)</f>
        <v>eng0</v>
      </c>
      <c r="R22" s="229" t="str">
        <f xml:space="preserve"> _xlfn.CONCAT("    - xform/", P22, "/", Q22, "/    # " &amp; O22, "入 = ", N22, "[48]")</f>
        <v xml:space="preserve">    - xform/ek([48])/eng0/    # eng入 = ek[48]</v>
      </c>
    </row>
    <row r="23" spans="2:19" ht="24" thickBot="1">
      <c r="B23" s="226" t="s">
        <v>433</v>
      </c>
      <c r="C23" s="227" t="s">
        <v>434</v>
      </c>
      <c r="D23" s="227"/>
      <c r="E23" s="227"/>
      <c r="F23" s="227"/>
      <c r="G23" s="227"/>
      <c r="H23" s="227"/>
      <c r="I23" s="227"/>
      <c r="J23" s="227"/>
      <c r="K23" s="227" t="s">
        <v>435</v>
      </c>
      <c r="L23" s="227"/>
      <c r="N23" s="230" t="s">
        <v>479</v>
      </c>
      <c r="O23" s="228" t="s">
        <v>478</v>
      </c>
      <c r="P23" s="228" t="str">
        <f xml:space="preserve"> _xlfn.CONCAT(N23,$P$2)</f>
        <v>uak([48])</v>
      </c>
      <c r="Q23" s="228" t="str">
        <f>_xlfn.CONCAT(O23,$Q$2)</f>
        <v>uang0</v>
      </c>
      <c r="R23" s="228" t="str">
        <f xml:space="preserve"> _xlfn.CONCAT("    - xform/", P23, "/", Q23, "/    # " &amp; O23, "入 = ", N23, "[48]")</f>
        <v xml:space="preserve">    - xform/uak([48])/uang0/    # uang入 = uak[48]</v>
      </c>
      <c r="S23" s="229"/>
    </row>
    <row r="24" spans="2:19" ht="24" thickBot="1">
      <c r="B24" s="226" t="s">
        <v>436</v>
      </c>
      <c r="C24" s="227" t="s">
        <v>437</v>
      </c>
      <c r="D24" s="227"/>
      <c r="E24" s="227"/>
      <c r="F24" s="227"/>
      <c r="G24" s="227"/>
      <c r="H24" s="227"/>
      <c r="I24" s="227"/>
      <c r="J24" s="227"/>
      <c r="K24" s="227"/>
      <c r="L24" s="227"/>
    </row>
    <row r="25" spans="2:19" ht="24" thickBot="1">
      <c r="B25" s="226" t="s">
        <v>438</v>
      </c>
      <c r="C25" s="227"/>
      <c r="D25" s="227" t="s">
        <v>439</v>
      </c>
      <c r="E25" s="227"/>
      <c r="F25" s="227"/>
      <c r="G25" s="227"/>
      <c r="H25" s="227"/>
      <c r="I25" s="227"/>
      <c r="J25" s="227"/>
      <c r="K25" s="227"/>
      <c r="L25" s="227"/>
    </row>
    <row r="26" spans="2:19" ht="24" thickBot="1">
      <c r="B26" s="226" t="s">
        <v>440</v>
      </c>
      <c r="C26" s="227" t="s">
        <v>441</v>
      </c>
      <c r="D26" s="227"/>
      <c r="E26" s="227"/>
      <c r="F26" s="227"/>
      <c r="G26" s="227"/>
      <c r="H26" s="227"/>
      <c r="I26" s="227"/>
      <c r="J26" s="227"/>
      <c r="K26" s="227" t="s">
        <v>442</v>
      </c>
      <c r="L26" s="227"/>
    </row>
    <row r="27" spans="2:19" ht="24" thickBot="1">
      <c r="B27" s="226" t="s">
        <v>443</v>
      </c>
      <c r="C27" s="288" t="s">
        <v>188</v>
      </c>
      <c r="D27" s="289"/>
      <c r="E27" s="288" t="s">
        <v>444</v>
      </c>
      <c r="F27" s="290"/>
      <c r="G27" s="290"/>
      <c r="H27" s="290"/>
      <c r="I27" s="290"/>
      <c r="J27" s="289"/>
      <c r="K27" s="288" t="s">
        <v>445</v>
      </c>
      <c r="L27" s="289"/>
    </row>
    <row r="28" spans="2:19" ht="24" thickBot="1">
      <c r="B28" s="226" t="s">
        <v>446</v>
      </c>
      <c r="C28" s="288" t="s">
        <v>447</v>
      </c>
      <c r="D28" s="289"/>
      <c r="E28" s="288" t="s">
        <v>444</v>
      </c>
      <c r="F28" s="290"/>
      <c r="G28" s="290"/>
      <c r="H28" s="290"/>
      <c r="I28" s="290"/>
      <c r="J28" s="289"/>
      <c r="K28" s="288" t="s">
        <v>448</v>
      </c>
      <c r="L28" s="289"/>
    </row>
  </sheetData>
  <mergeCells count="11">
    <mergeCell ref="C28:D28"/>
    <mergeCell ref="E28:J28"/>
    <mergeCell ref="K28:L28"/>
    <mergeCell ref="B2:B3"/>
    <mergeCell ref="C2:D3"/>
    <mergeCell ref="E2:G2"/>
    <mergeCell ref="H2:L2"/>
    <mergeCell ref="K3:L3"/>
    <mergeCell ref="C27:D27"/>
    <mergeCell ref="E27:J27"/>
    <mergeCell ref="K27:L27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6064-E7AA-4532-A325-42E320CBBB3B}">
  <dimension ref="B2:Z11"/>
  <sheetViews>
    <sheetView zoomScale="120" zoomScaleNormal="120" workbookViewId="0">
      <selection activeCell="Z3" sqref="Z3:Z9"/>
    </sheetView>
  </sheetViews>
  <sheetFormatPr defaultRowHeight="21"/>
  <cols>
    <col min="1" max="1" width="2" customWidth="1"/>
    <col min="8" max="8" width="3.69921875" customWidth="1"/>
    <col min="15" max="23" width="2.69921875" customWidth="1"/>
    <col min="25" max="25" width="4" customWidth="1"/>
    <col min="26" max="26" width="18.59765625" customWidth="1"/>
  </cols>
  <sheetData>
    <row r="2" spans="2:26">
      <c r="B2" s="223" t="s">
        <v>308</v>
      </c>
      <c r="C2" s="223" t="s">
        <v>316</v>
      </c>
      <c r="D2" s="223" t="s">
        <v>295</v>
      </c>
      <c r="E2" s="223" t="s">
        <v>309</v>
      </c>
      <c r="F2" s="223" t="s">
        <v>65</v>
      </c>
      <c r="G2" s="223" t="s">
        <v>5</v>
      </c>
      <c r="I2" s="223" t="s">
        <v>308</v>
      </c>
      <c r="J2" s="223" t="s">
        <v>316</v>
      </c>
      <c r="K2" s="223" t="s">
        <v>295</v>
      </c>
      <c r="L2" s="223" t="s">
        <v>309</v>
      </c>
      <c r="M2" s="223" t="s">
        <v>65</v>
      </c>
      <c r="N2" s="223" t="s">
        <v>5</v>
      </c>
    </row>
    <row r="3" spans="2:26" ht="32.25">
      <c r="B3" s="213" t="s">
        <v>300</v>
      </c>
      <c r="C3" s="213" t="s">
        <v>317</v>
      </c>
      <c r="D3" s="214">
        <v>1</v>
      </c>
      <c r="E3" s="215" t="s">
        <v>297</v>
      </c>
      <c r="F3" s="216" t="s">
        <v>290</v>
      </c>
      <c r="G3" s="213" t="s">
        <v>292</v>
      </c>
      <c r="I3" s="213" t="s">
        <v>300</v>
      </c>
      <c r="J3" s="213" t="s">
        <v>317</v>
      </c>
      <c r="K3" s="214">
        <v>1</v>
      </c>
      <c r="L3" s="215" t="s">
        <v>297</v>
      </c>
      <c r="M3" s="216" t="s">
        <v>290</v>
      </c>
      <c r="N3" s="213" t="s">
        <v>292</v>
      </c>
      <c r="P3" s="224" cm="1">
        <f t="array" ref="P3:W3" xml:space="preserve"> TRANSPOSE(K3:K10)</f>
        <v>1</v>
      </c>
      <c r="Q3" s="224">
        <v>7</v>
      </c>
      <c r="R3" s="224">
        <v>3</v>
      </c>
      <c r="S3" s="224">
        <v>2</v>
      </c>
      <c r="T3" s="224">
        <v>5</v>
      </c>
      <c r="U3" s="224">
        <v>8</v>
      </c>
      <c r="V3" s="224">
        <v>4</v>
      </c>
      <c r="W3" s="224">
        <v>0</v>
      </c>
      <c r="X3" s="224" t="s">
        <v>326</v>
      </c>
      <c r="Z3" t="str">
        <f xml:space="preserve"> _xlfn.CONCAT("    - xform/", L3, "/", M3, "/")</f>
        <v xml:space="preserve">    - xform/一/ˉ/</v>
      </c>
    </row>
    <row r="4" spans="2:26" ht="32.25">
      <c r="B4" s="213" t="s">
        <v>301</v>
      </c>
      <c r="C4" s="213" t="s">
        <v>318</v>
      </c>
      <c r="D4" s="214">
        <v>2</v>
      </c>
      <c r="E4" s="215" t="s">
        <v>310</v>
      </c>
      <c r="F4" s="216" t="s">
        <v>49</v>
      </c>
      <c r="G4" s="213">
        <v>4</v>
      </c>
      <c r="I4" s="218" t="s">
        <v>306</v>
      </c>
      <c r="J4" s="218" t="s">
        <v>325</v>
      </c>
      <c r="K4" s="219">
        <v>7</v>
      </c>
      <c r="L4" s="222" t="s">
        <v>313</v>
      </c>
      <c r="M4" s="221" t="s">
        <v>51</v>
      </c>
      <c r="N4" s="218">
        <v>5</v>
      </c>
      <c r="P4" s="224" t="str" cm="1">
        <f t="array" ref="P4:W4" xml:space="preserve"> TRANSPOSE(N3:N10)</f>
        <v>:</v>
      </c>
      <c r="Q4" s="224">
        <v>5</v>
      </c>
      <c r="R4" s="224">
        <v>3</v>
      </c>
      <c r="S4" s="224">
        <v>4</v>
      </c>
      <c r="T4" s="224">
        <v>6</v>
      </c>
      <c r="U4" s="224" t="str">
        <v>]</v>
      </c>
      <c r="V4" s="224" t="str">
        <v>[</v>
      </c>
      <c r="W4" s="224">
        <v>7</v>
      </c>
      <c r="X4" s="224" t="s">
        <v>5</v>
      </c>
      <c r="Z4" t="str">
        <f t="shared" ref="Z4:Z9" si="0" xml:space="preserve"> _xlfn.CONCAT("    - xform/", L4, "/", M4, "/")</f>
        <v xml:space="preserve">    - xform/七/˫/</v>
      </c>
    </row>
    <row r="5" spans="2:26" ht="32.25">
      <c r="B5" s="213" t="s">
        <v>302</v>
      </c>
      <c r="C5" s="213" t="s">
        <v>319</v>
      </c>
      <c r="D5" s="214">
        <v>3</v>
      </c>
      <c r="E5" s="217" t="s">
        <v>311</v>
      </c>
      <c r="F5" s="216" t="s">
        <v>47</v>
      </c>
      <c r="G5" s="213">
        <v>3</v>
      </c>
      <c r="I5" s="213" t="s">
        <v>302</v>
      </c>
      <c r="J5" s="213" t="s">
        <v>319</v>
      </c>
      <c r="K5" s="214">
        <v>3</v>
      </c>
      <c r="L5" s="217" t="s">
        <v>311</v>
      </c>
      <c r="M5" s="216" t="s">
        <v>47</v>
      </c>
      <c r="N5" s="213">
        <v>3</v>
      </c>
      <c r="P5" s="225" t="str" cm="1">
        <f t="array" ref="P5:W5" xml:space="preserve"> TRANSPOSE(L3:L10)</f>
        <v>一</v>
      </c>
      <c r="Q5" s="225" t="str">
        <v>七</v>
      </c>
      <c r="R5" s="225" t="str">
        <v>三</v>
      </c>
      <c r="S5" s="225" t="str">
        <v>二</v>
      </c>
      <c r="T5" s="225" t="str">
        <v>五</v>
      </c>
      <c r="U5" s="224" t="str">
        <v>八</v>
      </c>
      <c r="V5" s="225" t="str">
        <v>四</v>
      </c>
      <c r="W5" s="225" t="str">
        <v>入</v>
      </c>
      <c r="X5" s="224" t="s">
        <v>327</v>
      </c>
      <c r="Z5" t="str">
        <f t="shared" si="0"/>
        <v xml:space="preserve">    - xform/三/˪/</v>
      </c>
    </row>
    <row r="6" spans="2:26" ht="32.25">
      <c r="B6" s="213" t="s">
        <v>303</v>
      </c>
      <c r="C6" s="213" t="s">
        <v>320</v>
      </c>
      <c r="D6" s="214">
        <v>4</v>
      </c>
      <c r="E6" s="217" t="s">
        <v>298</v>
      </c>
      <c r="F6" s="216" t="s">
        <v>290</v>
      </c>
      <c r="G6" s="213" t="s">
        <v>314</v>
      </c>
      <c r="I6" s="213" t="s">
        <v>301</v>
      </c>
      <c r="J6" s="213" t="s">
        <v>318</v>
      </c>
      <c r="K6" s="214">
        <v>2</v>
      </c>
      <c r="L6" s="215" t="s">
        <v>310</v>
      </c>
      <c r="M6" s="216" t="s">
        <v>49</v>
      </c>
      <c r="N6" s="213">
        <v>4</v>
      </c>
      <c r="P6" s="225" t="s">
        <v>290</v>
      </c>
      <c r="Q6" s="225" t="s">
        <v>51</v>
      </c>
      <c r="R6" s="225" t="s">
        <v>47</v>
      </c>
      <c r="S6" s="225" t="s">
        <v>49</v>
      </c>
      <c r="T6" s="225" t="s">
        <v>53</v>
      </c>
      <c r="U6" s="224" t="s">
        <v>291</v>
      </c>
      <c r="V6" s="225" t="s">
        <v>290</v>
      </c>
      <c r="W6" s="225" t="s">
        <v>62</v>
      </c>
      <c r="Z6" t="str">
        <f t="shared" si="0"/>
        <v xml:space="preserve">    - xform/二/ˋ/</v>
      </c>
    </row>
    <row r="7" spans="2:26" ht="32.25">
      <c r="B7" s="218" t="s">
        <v>304</v>
      </c>
      <c r="C7" s="218" t="s">
        <v>323</v>
      </c>
      <c r="D7" s="219">
        <v>5</v>
      </c>
      <c r="E7" s="220" t="s">
        <v>299</v>
      </c>
      <c r="F7" s="221" t="s">
        <v>53</v>
      </c>
      <c r="G7" s="218">
        <v>6</v>
      </c>
      <c r="I7" s="218" t="s">
        <v>304</v>
      </c>
      <c r="J7" s="218" t="s">
        <v>323</v>
      </c>
      <c r="K7" s="219">
        <v>5</v>
      </c>
      <c r="L7" s="220" t="s">
        <v>299</v>
      </c>
      <c r="M7" s="221" t="s">
        <v>53</v>
      </c>
      <c r="N7" s="218">
        <v>6</v>
      </c>
      <c r="Z7" t="str">
        <f t="shared" si="0"/>
        <v xml:space="preserve">    - xform/五/ˊ/</v>
      </c>
    </row>
    <row r="8" spans="2:26" ht="32.25">
      <c r="B8" s="218" t="s">
        <v>305</v>
      </c>
      <c r="C8" s="218" t="s">
        <v>324</v>
      </c>
      <c r="D8" s="219">
        <v>6</v>
      </c>
      <c r="E8" s="220" t="s">
        <v>312</v>
      </c>
      <c r="F8" s="221" t="s">
        <v>49</v>
      </c>
      <c r="G8" s="218"/>
      <c r="I8" s="218" t="s">
        <v>307</v>
      </c>
      <c r="J8" s="218" t="s">
        <v>321</v>
      </c>
      <c r="K8" s="219">
        <v>8</v>
      </c>
      <c r="L8" s="220" t="s">
        <v>296</v>
      </c>
      <c r="M8" s="221" t="s">
        <v>291</v>
      </c>
      <c r="N8" s="218" t="s">
        <v>293</v>
      </c>
      <c r="Z8" t="str">
        <f t="shared" si="0"/>
        <v xml:space="preserve">    - xform/八/˙/</v>
      </c>
    </row>
    <row r="9" spans="2:26" ht="32.25">
      <c r="B9" s="218" t="s">
        <v>306</v>
      </c>
      <c r="C9" s="218" t="s">
        <v>325</v>
      </c>
      <c r="D9" s="219">
        <v>7</v>
      </c>
      <c r="E9" s="222" t="s">
        <v>313</v>
      </c>
      <c r="F9" s="221" t="s">
        <v>51</v>
      </c>
      <c r="G9" s="218">
        <v>5</v>
      </c>
      <c r="I9" s="213" t="s">
        <v>303</v>
      </c>
      <c r="J9" s="213" t="s">
        <v>320</v>
      </c>
      <c r="K9" s="214">
        <v>4</v>
      </c>
      <c r="L9" s="217" t="s">
        <v>298</v>
      </c>
      <c r="M9" s="216" t="s">
        <v>290</v>
      </c>
      <c r="N9" s="213" t="s">
        <v>314</v>
      </c>
      <c r="Z9" t="str">
        <f t="shared" si="0"/>
        <v xml:space="preserve">    - xform/四/ˉ/</v>
      </c>
    </row>
    <row r="10" spans="2:26" ht="32.25">
      <c r="B10" s="218" t="s">
        <v>307</v>
      </c>
      <c r="C10" s="218" t="s">
        <v>321</v>
      </c>
      <c r="D10" s="219">
        <v>8</v>
      </c>
      <c r="E10" s="220" t="s">
        <v>296</v>
      </c>
      <c r="F10" s="221" t="s">
        <v>291</v>
      </c>
      <c r="G10" s="218" t="s">
        <v>293</v>
      </c>
      <c r="I10" s="218" t="s">
        <v>315</v>
      </c>
      <c r="J10" s="218" t="s">
        <v>322</v>
      </c>
      <c r="K10" s="219">
        <v>0</v>
      </c>
      <c r="L10" s="221" t="s">
        <v>294</v>
      </c>
      <c r="M10" s="221" t="s">
        <v>294</v>
      </c>
      <c r="N10" s="218">
        <v>7</v>
      </c>
    </row>
    <row r="11" spans="2:26" ht="32.25">
      <c r="B11" s="218" t="s">
        <v>315</v>
      </c>
      <c r="C11" s="218" t="s">
        <v>322</v>
      </c>
      <c r="D11" s="219">
        <v>0</v>
      </c>
      <c r="E11" s="220" t="s">
        <v>296</v>
      </c>
      <c r="F11" s="221" t="s">
        <v>294</v>
      </c>
      <c r="G11" s="218">
        <v>7</v>
      </c>
    </row>
  </sheetData>
  <phoneticPr fontId="4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4</vt:i4>
      </vt:variant>
    </vt:vector>
  </HeadingPairs>
  <TitlesOfParts>
    <vt:vector size="13" baseType="lpstr">
      <vt:lpstr>台語注音二式【xlit驗證】</vt:lpstr>
      <vt:lpstr>台語注音二式【xlit解析】</vt:lpstr>
      <vt:lpstr>台語注音二式【RIME設置】 </vt:lpstr>
      <vt:lpstr> 台語音標【xlit解析】</vt:lpstr>
      <vt:lpstr>方音符號【RIME設置】</vt:lpstr>
      <vt:lpstr>韻母列表</vt:lpstr>
      <vt:lpstr>韻母列表 (陽聲韻轉換)</vt:lpstr>
      <vt:lpstr>韻母列表 (3)</vt:lpstr>
      <vt:lpstr>聲調符號</vt:lpstr>
      <vt:lpstr>方音符號【RIME設置】!Criteria</vt:lpstr>
      <vt:lpstr>'台語注音二式【RIME設置】 '!Criteria</vt:lpstr>
      <vt:lpstr>方音符號【RIME設置】!Extract</vt:lpstr>
      <vt:lpstr>'台語注音二式【RIME設置】 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2026-04-01T16:14:11Z</dcterms:created>
  <dcterms:modified xsi:type="dcterms:W3CDTF">2026-07-22T05:54:46Z</dcterms:modified>
</cp:coreProperties>
</file>