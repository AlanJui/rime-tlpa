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700CF7EA-21C5-4CDC-8150-E5594E40F9EE}" xr6:coauthVersionLast="47" xr6:coauthVersionMax="47" xr10:uidLastSave="{00000000-0000-0000-0000-000000000000}"/>
  <bookViews>
    <workbookView xWindow="-28920" yWindow="-120" windowWidth="29040" windowHeight="15720" xr2:uid="{6D6F034E-466E-416C-B3CC-1F7937B8DE3D}"/>
  </bookViews>
  <sheets>
    <sheet name="xlit解析" sheetId="7" r:id="rId1"/>
    <sheet name="xlit對映工具" sheetId="1" r:id="rId2"/>
    <sheet name="韻母列表" sheetId="4" r:id="rId3"/>
    <sheet name="韻母列表 (陽聲韻轉換)" sheetId="5" r:id="rId4"/>
    <sheet name="韻母列表 (3)" sheetId="6" r:id="rId5"/>
    <sheet name="聲調符號" sheetId="3" r:id="rId6"/>
    <sheet name="RIME設定【台語音標】" sheetId="2" r:id="rId7"/>
  </sheets>
  <definedNames>
    <definedName name="_xlnm._FilterDatabase" localSheetId="6" hidden="1">RIME設定【台語音標】!$BR$4:$BT$59</definedName>
    <definedName name="_xlnm.Criteria" localSheetId="6">RIME設定【台語音標】!$CQ$1:$CQ$2</definedName>
    <definedName name="_xlnm.Extract" localSheetId="6">RIME設定【台語音標】!$CR$4:$CV$4</definedName>
    <definedName name="十五音韻母">#REF!</definedName>
    <definedName name="十五音韻母對照表">#REF!</definedName>
    <definedName name="方音符號" localSheetId="6">#REF!</definedName>
    <definedName name="方音符號">#REF!</definedName>
    <definedName name="台羅韻母八音反切">#REF!</definedName>
    <definedName name="白話字韻母八音反切">#REF!</definedName>
    <definedName name="字典編碼" localSheetId="6">#REF!</definedName>
    <definedName name="字典編碼">#REF!</definedName>
    <definedName name="注音符號">#REF!</definedName>
    <definedName name="注音編碼">#REF!</definedName>
    <definedName name="拼音字母" localSheetId="6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6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7" l="1"/>
  <c r="E39" i="7"/>
  <c r="F39" i="7"/>
  <c r="G39" i="7"/>
  <c r="H39" i="7"/>
  <c r="I39" i="7"/>
  <c r="J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C19" i="7" l="1"/>
  <c r="C40" i="7" s="1"/>
  <c r="BL3" i="7" s="1" a="1"/>
  <c r="BL3" i="7" s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<sst xmlns="http://schemas.openxmlformats.org/spreadsheetml/2006/main" count="1804" uniqueCount="554">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</sst>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6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73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15" fillId="3" borderId="1" xfId="0" applyFont="1" applyFill="1" applyBorder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abSelected="1" topLeftCell="F7" zoomScale="50" zoomScaleNormal="50" workbookViewId="0">
      <selection activeCell="R47" sqref="R47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b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49" t="str">
        <f xml:space="preserve"> MID($C$3, C5, 1)</f>
        <v>!</v>
      </c>
      <c r="D6" s="249" t="str">
        <f t="shared" ref="D6:BJ6" si="1" xml:space="preserve"> MID($C$3, D5, 1)</f>
        <v>1</v>
      </c>
      <c r="E6" s="249" t="str">
        <f t="shared" si="1"/>
        <v>q</v>
      </c>
      <c r="F6" s="249" t="str">
        <f t="shared" si="1"/>
        <v>a</v>
      </c>
      <c r="G6" s="249" t="str">
        <f t="shared" si="1"/>
        <v>s</v>
      </c>
      <c r="H6" s="249" t="str">
        <f t="shared" si="1"/>
        <v>2</v>
      </c>
      <c r="I6" s="249" t="str">
        <f t="shared" si="1"/>
        <v>w</v>
      </c>
      <c r="J6" s="249" t="str">
        <f t="shared" si="1"/>
        <v>x</v>
      </c>
      <c r="K6" s="249" t="str">
        <f t="shared" si="1"/>
        <v>E</v>
      </c>
      <c r="L6" s="249" t="str">
        <f t="shared" si="1"/>
        <v>e</v>
      </c>
      <c r="M6" s="249" t="str">
        <f t="shared" si="1"/>
        <v>d</v>
      </c>
      <c r="N6" s="249" t="str">
        <f t="shared" si="1"/>
        <v>G</v>
      </c>
      <c r="O6" s="249" t="str">
        <f t="shared" si="1"/>
        <v>Y</v>
      </c>
      <c r="P6" s="249" t="str">
        <f t="shared" si="1"/>
        <v>y</v>
      </c>
      <c r="Q6" s="249" t="str">
        <f t="shared" si="1"/>
        <v>h</v>
      </c>
      <c r="R6" s="249" t="str">
        <f t="shared" si="1"/>
        <v>n</v>
      </c>
      <c r="S6" s="249" t="str">
        <f t="shared" si="1"/>
        <v>c</v>
      </c>
      <c r="T6" s="249" t="str">
        <f t="shared" si="1"/>
        <v>R</v>
      </c>
      <c r="U6" s="249" t="str">
        <f t="shared" si="1"/>
        <v>r</v>
      </c>
      <c r="V6" s="249" t="str">
        <f t="shared" si="1"/>
        <v>f</v>
      </c>
      <c r="W6" s="249" t="str">
        <f t="shared" si="1"/>
        <v>v</v>
      </c>
      <c r="X6" s="249" t="str">
        <f t="shared" si="1"/>
        <v>8</v>
      </c>
      <c r="Y6" s="249" t="str">
        <f t="shared" si="1"/>
        <v>u</v>
      </c>
      <c r="Z6" s="249" t="str">
        <f t="shared" si="1"/>
        <v>K</v>
      </c>
      <c r="AA6" s="249" t="str">
        <f t="shared" si="1"/>
        <v>j</v>
      </c>
      <c r="AB6" s="249" t="str">
        <f t="shared" si="1"/>
        <v>,</v>
      </c>
      <c r="AC6" s="249" t="str">
        <f t="shared" si="1"/>
        <v>i</v>
      </c>
      <c r="AD6" s="249" t="str">
        <f t="shared" si="1"/>
        <v>k</v>
      </c>
      <c r="AE6" s="249" t="str">
        <f t="shared" si="1"/>
        <v>m</v>
      </c>
      <c r="AF6" s="249" t="str">
        <f t="shared" si="1"/>
        <v>p</v>
      </c>
      <c r="AG6" s="249" t="str">
        <f t="shared" si="1"/>
        <v>/</v>
      </c>
      <c r="AH6" s="249" t="str">
        <f t="shared" si="1"/>
        <v>b</v>
      </c>
      <c r="AI6" s="249" t="str">
        <f t="shared" si="1"/>
        <v>t</v>
      </c>
      <c r="AJ6" s="249" t="str">
        <f t="shared" si="1"/>
        <v>g</v>
      </c>
      <c r="AK6" s="249" t="str">
        <f t="shared" si="1"/>
        <v>z</v>
      </c>
      <c r="AL6" s="249" t="str">
        <f t="shared" si="1"/>
        <v>9</v>
      </c>
      <c r="AM6" s="249" t="str">
        <f t="shared" si="1"/>
        <v>l</v>
      </c>
      <c r="AN6" s="249" t="str">
        <f t="shared" si="1"/>
        <v>M</v>
      </c>
      <c r="AO6" s="249" t="str">
        <f t="shared" si="1"/>
        <v>0</v>
      </c>
      <c r="AP6" s="249" t="str">
        <f t="shared" si="1"/>
        <v>;</v>
      </c>
      <c r="AQ6" s="249" t="str">
        <f t="shared" si="1"/>
        <v>O</v>
      </c>
      <c r="AR6" s="249" t="str">
        <f t="shared" si="1"/>
        <v>o</v>
      </c>
      <c r="AS6" s="249" t="str">
        <f t="shared" si="1"/>
        <v>*</v>
      </c>
      <c r="AT6" s="249" t="str">
        <f t="shared" si="1"/>
        <v>U</v>
      </c>
      <c r="AU6" s="249" t="str">
        <f t="shared" si="1"/>
        <v>J</v>
      </c>
      <c r="AV6" s="249" t="str">
        <f t="shared" si="1"/>
        <v>&lt;</v>
      </c>
      <c r="AW6" s="249" t="str">
        <f t="shared" si="1"/>
        <v>I</v>
      </c>
      <c r="AX6" s="249" t="str">
        <f t="shared" si="1"/>
        <v>(</v>
      </c>
      <c r="AY6" s="249" t="str">
        <f t="shared" si="1"/>
        <v>L</v>
      </c>
      <c r="AZ6" s="249" t="str">
        <f t="shared" si="1"/>
        <v>:</v>
      </c>
      <c r="BA6" s="249" t="str">
        <f t="shared" si="1"/>
        <v>5</v>
      </c>
      <c r="BB6" s="249" t="str">
        <f t="shared" si="1"/>
        <v>3</v>
      </c>
      <c r="BC6" s="249" t="str">
        <f t="shared" si="1"/>
        <v>4</v>
      </c>
      <c r="BD6" s="249" t="str">
        <f t="shared" si="1"/>
        <v>6</v>
      </c>
      <c r="BE6" s="249" t="str">
        <f t="shared" si="1"/>
        <v>]</v>
      </c>
      <c r="BF6" s="249" t="str">
        <f t="shared" si="1"/>
        <v>[</v>
      </c>
      <c r="BG6" s="249" t="str">
        <f t="shared" si="1"/>
        <v>7</v>
      </c>
      <c r="BH6" s="249" t="str">
        <f t="shared" si="1"/>
        <v>N</v>
      </c>
      <c r="BI6" s="249" t="str">
        <f t="shared" si="1"/>
        <v/>
      </c>
      <c r="BJ6" s="249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d</v>
      </c>
      <c r="BM7" s="246" t="str">
        <v>2</v>
      </c>
      <c r="BN7" s="246" t="str">
        <v>ㄉ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w</v>
      </c>
      <c r="BN8" s="246" t="str">
        <v>ㄊ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46" t="str">
        <v>n</v>
      </c>
      <c r="BM9" s="246" t="str">
        <v>s</v>
      </c>
      <c r="BN9" s="246" t="str">
        <v>ㄋ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7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67</v>
      </c>
      <c r="BL11" s="246" t="str">
        <v>Ğ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127</v>
      </c>
      <c r="BL12" s="246" t="str">
        <v>g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46" t="str">
        <v>Z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52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b</v>
      </c>
      <c r="E18" s="5" t="str">
        <f t="shared" si="3"/>
        <v>p</v>
      </c>
      <c r="F18" s="5" t="str">
        <f t="shared" si="3"/>
        <v>m</v>
      </c>
      <c r="G18" s="5" t="str">
        <f t="shared" si="3"/>
        <v>d</v>
      </c>
      <c r="H18" s="5" t="str">
        <f t="shared" si="3"/>
        <v>t</v>
      </c>
      <c r="I18" s="5" t="str">
        <f t="shared" si="3"/>
        <v>n</v>
      </c>
      <c r="J18" s="5" t="str">
        <f t="shared" si="3"/>
        <v>l</v>
      </c>
      <c r="K18" s="5" t="str">
        <f t="shared" si="3"/>
        <v>G</v>
      </c>
      <c r="L18" s="5" t="str">
        <f t="shared" si="3"/>
        <v>g</v>
      </c>
      <c r="M18" s="5" t="str">
        <f t="shared" si="3"/>
        <v>k</v>
      </c>
      <c r="N18" s="5" t="str">
        <f t="shared" si="3"/>
        <v>ŋ</v>
      </c>
      <c r="O18" s="5" t="str">
        <f t="shared" si="3"/>
        <v>Z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J</v>
      </c>
      <c r="T18" s="5" t="str">
        <f t="shared" si="3"/>
        <v>j</v>
      </c>
      <c r="U18" s="5" t="str">
        <f t="shared" si="3"/>
        <v>C</v>
      </c>
      <c r="V18" s="5" t="str">
        <f t="shared" si="3"/>
        <v>S</v>
      </c>
      <c r="W18" s="5" t="str">
        <f t="shared" si="3"/>
        <v>h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I</v>
      </c>
      <c r="AF18" s="5" t="str">
        <f t="shared" si="3"/>
        <v>U</v>
      </c>
      <c r="AG18" s="5" t="str">
        <f t="shared" si="3"/>
        <v>d</v>
      </c>
      <c r="AH18" s="5" t="str">
        <f t="shared" si="3"/>
        <v>f</v>
      </c>
      <c r="AI18" s="5" t="str">
        <f t="shared" si="3"/>
        <v>q</v>
      </c>
      <c r="AJ18" s="5" t="str">
        <f t="shared" si="3"/>
        <v>r</v>
      </c>
      <c r="AK18" s="5" t="str">
        <f t="shared" si="3"/>
        <v>v</v>
      </c>
      <c r="AL18" s="5" t="str">
        <f t="shared" si="3"/>
        <v>x</v>
      </c>
      <c r="AM18" s="5" t="str">
        <f t="shared" si="3"/>
        <v>y</v>
      </c>
      <c r="AN18" s="5" t="str">
        <f t="shared" si="3"/>
        <v>M</v>
      </c>
      <c r="AO18" s="5" t="str">
        <f t="shared" si="3"/>
        <v>G</v>
      </c>
      <c r="AP18" s="5" t="str">
        <f t="shared" si="3"/>
        <v>N</v>
      </c>
      <c r="AQ18" s="5" t="str">
        <f t="shared" si="3"/>
        <v>Y</v>
      </c>
      <c r="AR18" s="5" t="str">
        <f t="shared" si="3"/>
        <v>@</v>
      </c>
      <c r="AS18" s="5" t="str">
        <f t="shared" si="3"/>
        <v>A</v>
      </c>
      <c r="AT18" s="5" t="str">
        <f t="shared" si="3"/>
        <v>W</v>
      </c>
      <c r="AU18" s="5" t="str">
        <f t="shared" si="3"/>
        <v>H</v>
      </c>
      <c r="AV18" s="5" t="str">
        <f t="shared" si="3"/>
        <v>R</v>
      </c>
      <c r="AW18" s="5" t="str">
        <f t="shared" si="3"/>
        <v>F</v>
      </c>
      <c r="AX18" s="5" t="str">
        <f t="shared" si="3"/>
        <v>Q</v>
      </c>
      <c r="AY18" s="5" t="str">
        <f t="shared" si="3"/>
        <v>V</v>
      </c>
      <c r="AZ18" s="5" t="str">
        <f t="shared" si="3"/>
        <v>7</v>
      </c>
      <c r="BA18" s="5" t="str">
        <f t="shared" si="3"/>
        <v>3</v>
      </c>
      <c r="BB18" s="5" t="str">
        <f t="shared" si="3"/>
        <v>2</v>
      </c>
      <c r="BC18" s="5" t="str">
        <f t="shared" si="3"/>
        <v>5</v>
      </c>
      <c r="BD18" s="5" t="str">
        <f t="shared" si="3"/>
        <v>8</v>
      </c>
      <c r="BE18" s="5" t="str">
        <f t="shared" si="3"/>
        <v>4</v>
      </c>
      <c r="BF18" s="5" t="str">
        <f t="shared" si="3"/>
        <v>1</v>
      </c>
      <c r="BG18" s="5" t="str">
        <f t="shared" si="3"/>
        <v>L</v>
      </c>
      <c r="BH18" s="5" t="str">
        <f t="shared" si="3"/>
        <v>&amp;</v>
      </c>
      <c r="BI18" s="5" t="str">
        <f t="shared" si="3"/>
        <v>*</v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53" t="s">
        <v>65</v>
      </c>
      <c r="B19" s="254"/>
      <c r="C19" s="255" t="str">
        <f xml:space="preserve"> MID($C$15,C$17,1)</f>
        <v>!</v>
      </c>
      <c r="D19" s="255" t="str">
        <f t="shared" ref="D19:BJ19" si="4" xml:space="preserve"> MID($C$15,D$17,1)</f>
        <v>1</v>
      </c>
      <c r="E19" s="255" t="str">
        <f t="shared" si="4"/>
        <v>q</v>
      </c>
      <c r="F19" s="255" t="str">
        <f t="shared" si="4"/>
        <v>a</v>
      </c>
      <c r="G19" s="255" t="str">
        <f t="shared" si="4"/>
        <v>2</v>
      </c>
      <c r="H19" s="255" t="str">
        <f t="shared" si="4"/>
        <v>w</v>
      </c>
      <c r="I19" s="255" t="str">
        <f t="shared" si="4"/>
        <v>s</v>
      </c>
      <c r="J19" s="255" t="str">
        <f t="shared" si="4"/>
        <v>x</v>
      </c>
      <c r="K19" s="255" t="str">
        <f t="shared" si="4"/>
        <v>E</v>
      </c>
      <c r="L19" s="255" t="str">
        <f t="shared" si="4"/>
        <v>e</v>
      </c>
      <c r="M19" s="255" t="str">
        <f t="shared" si="4"/>
        <v>d</v>
      </c>
      <c r="N19" s="255" t="str">
        <f t="shared" si="4"/>
        <v>G</v>
      </c>
      <c r="O19" s="255" t="str">
        <f t="shared" si="4"/>
        <v>Y</v>
      </c>
      <c r="P19" s="255" t="str">
        <f t="shared" si="4"/>
        <v>y</v>
      </c>
      <c r="Q19" s="255" t="str">
        <f t="shared" si="4"/>
        <v>h</v>
      </c>
      <c r="R19" s="255" t="str">
        <f t="shared" si="4"/>
        <v>n</v>
      </c>
      <c r="S19" s="255" t="str">
        <f t="shared" si="4"/>
        <v>R</v>
      </c>
      <c r="T19" s="255" t="str">
        <f t="shared" si="4"/>
        <v>r</v>
      </c>
      <c r="U19" s="255" t="str">
        <f t="shared" si="4"/>
        <v>f</v>
      </c>
      <c r="V19" s="255" t="str">
        <f t="shared" si="4"/>
        <v>v</v>
      </c>
      <c r="W19" s="255" t="str">
        <f t="shared" si="4"/>
        <v>c</v>
      </c>
      <c r="X19" s="255" t="str">
        <f t="shared" si="4"/>
        <v>8</v>
      </c>
      <c r="Y19" s="255" t="str">
        <f t="shared" si="4"/>
        <v>u</v>
      </c>
      <c r="Z19" s="255" t="str">
        <f t="shared" si="4"/>
        <v>K</v>
      </c>
      <c r="AA19" s="255" t="str">
        <f t="shared" si="4"/>
        <v>j</v>
      </c>
      <c r="AB19" s="255" t="str">
        <f t="shared" si="4"/>
        <v>,</v>
      </c>
      <c r="AC19" s="255" t="str">
        <f t="shared" si="4"/>
        <v>i</v>
      </c>
      <c r="AD19" s="255" t="str">
        <f t="shared" si="4"/>
        <v>k</v>
      </c>
      <c r="AE19" s="255" t="str">
        <f t="shared" si="4"/>
        <v>9</v>
      </c>
      <c r="AF19" s="255" t="str">
        <f t="shared" si="4"/>
        <v>l</v>
      </c>
      <c r="AG19" s="255" t="str">
        <f t="shared" si="4"/>
        <v>*</v>
      </c>
      <c r="AH19" s="255" t="str">
        <f t="shared" si="4"/>
        <v>U</v>
      </c>
      <c r="AI19" s="255" t="str">
        <f t="shared" si="4"/>
        <v>J</v>
      </c>
      <c r="AJ19" s="255" t="str">
        <f t="shared" si="4"/>
        <v>&lt;</v>
      </c>
      <c r="AK19" s="255" t="str">
        <f t="shared" si="4"/>
        <v>I</v>
      </c>
      <c r="AL19" s="255" t="str">
        <f t="shared" si="4"/>
        <v>(</v>
      </c>
      <c r="AM19" s="255" t="str">
        <f t="shared" si="4"/>
        <v>L</v>
      </c>
      <c r="AN19" s="255" t="str">
        <f t="shared" si="4"/>
        <v>m</v>
      </c>
      <c r="AO19" s="255" t="str">
        <f t="shared" si="4"/>
        <v>/</v>
      </c>
      <c r="AP19" s="255" t="str">
        <f t="shared" si="4"/>
        <v>p</v>
      </c>
      <c r="AQ19" s="255" t="str">
        <f t="shared" si="4"/>
        <v>M</v>
      </c>
      <c r="AR19" s="255" t="str">
        <f t="shared" si="4"/>
        <v>0</v>
      </c>
      <c r="AS19" s="255" t="str">
        <f t="shared" si="4"/>
        <v>;</v>
      </c>
      <c r="AT19" s="255" t="str">
        <f t="shared" si="4"/>
        <v>O</v>
      </c>
      <c r="AU19" s="255" t="str">
        <f t="shared" si="4"/>
        <v>o</v>
      </c>
      <c r="AV19" s="255" t="str">
        <f t="shared" si="4"/>
        <v>b</v>
      </c>
      <c r="AW19" s="255" t="str">
        <f t="shared" si="4"/>
        <v>t</v>
      </c>
      <c r="AX19" s="255" t="str">
        <f t="shared" si="4"/>
        <v>g</v>
      </c>
      <c r="AY19" s="255" t="str">
        <f t="shared" si="4"/>
        <v>z</v>
      </c>
      <c r="AZ19" s="255" t="str">
        <f t="shared" si="4"/>
        <v>5</v>
      </c>
      <c r="BA19" s="255" t="str">
        <f t="shared" si="4"/>
        <v>3</v>
      </c>
      <c r="BB19" s="255" t="str">
        <f t="shared" si="4"/>
        <v>4</v>
      </c>
      <c r="BC19" s="255" t="str">
        <f t="shared" si="4"/>
        <v>6</v>
      </c>
      <c r="BD19" s="255" t="str">
        <f t="shared" si="4"/>
        <v>7</v>
      </c>
      <c r="BE19" s="255" t="str">
        <f t="shared" si="4"/>
        <v>]</v>
      </c>
      <c r="BF19" s="255" t="str">
        <f t="shared" si="4"/>
        <v>[</v>
      </c>
      <c r="BG19" s="255" t="str">
        <f t="shared" si="4"/>
        <v>N</v>
      </c>
      <c r="BH19" s="255" t="str">
        <f t="shared" si="4"/>
        <v>.</v>
      </c>
      <c r="BI19" s="255" t="str">
        <f t="shared" si="4"/>
        <v>-</v>
      </c>
      <c r="BJ19" s="255" t="str">
        <f t="shared" si="4"/>
        <v/>
      </c>
      <c r="BK19" s="1"/>
      <c r="BL19" s="246" t="str">
        <v>J</v>
      </c>
      <c r="BM19" s="246" t="str">
        <v>R</v>
      </c>
      <c r="BN19" s="247" t="str">
        <v>ㆢ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ㄐ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C</v>
      </c>
      <c r="BM21" s="246" t="str">
        <v>f</v>
      </c>
      <c r="BN21" s="247" t="str">
        <v>ㄑ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S</v>
      </c>
      <c r="BM22" s="246" t="str">
        <v>v</v>
      </c>
      <c r="BN22" s="247" t="str">
        <v>ㄒ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h</v>
      </c>
      <c r="BM23" s="246" t="str">
        <v>c</v>
      </c>
      <c r="BN23" s="247" t="str">
        <v>ㄏ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I</v>
      </c>
      <c r="BM31" s="246" t="str">
        <v>9</v>
      </c>
      <c r="BN31" s="246" t="str">
        <v>ㄞ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U</v>
      </c>
      <c r="BM32" s="246" t="str">
        <v>l</v>
      </c>
      <c r="BN32" s="246" t="str">
        <v>ㄠ</v>
      </c>
      <c r="BO32" s="246"/>
      <c r="BP32" s="246"/>
    </row>
    <row r="33" spans="1:68" s="245" customFormat="1" outlineLevel="1">
      <c r="A33" s="252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2</v>
      </c>
      <c r="H33" s="5" t="str">
        <f t="shared" si="6"/>
        <v>w</v>
      </c>
      <c r="I33" s="5" t="str">
        <f t="shared" si="6"/>
        <v>s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R</v>
      </c>
      <c r="T33" s="5" t="str">
        <f t="shared" si="6"/>
        <v>r</v>
      </c>
      <c r="U33" s="5" t="str">
        <f t="shared" si="6"/>
        <v>f</v>
      </c>
      <c r="V33" s="5" t="str">
        <f t="shared" si="6"/>
        <v>v</v>
      </c>
      <c r="W33" s="5" t="str">
        <f t="shared" si="6"/>
        <v>c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9</v>
      </c>
      <c r="AF33" s="5" t="str">
        <f t="shared" si="6"/>
        <v>l</v>
      </c>
      <c r="AG33" s="5" t="str">
        <f t="shared" si="6"/>
        <v>*</v>
      </c>
      <c r="AH33" s="5" t="str">
        <f t="shared" si="6"/>
        <v>U</v>
      </c>
      <c r="AI33" s="5" t="str">
        <f t="shared" si="6"/>
        <v>J</v>
      </c>
      <c r="AJ33" s="5" t="str">
        <f t="shared" si="6"/>
        <v>&lt;</v>
      </c>
      <c r="AK33" s="5" t="str">
        <f t="shared" si="6"/>
        <v>I</v>
      </c>
      <c r="AL33" s="5" t="str">
        <f t="shared" si="6"/>
        <v>(</v>
      </c>
      <c r="AM33" s="5" t="str">
        <f t="shared" si="6"/>
        <v>L</v>
      </c>
      <c r="AN33" s="5" t="str">
        <f t="shared" si="6"/>
        <v>m</v>
      </c>
      <c r="AO33" s="5" t="str">
        <f t="shared" si="6"/>
        <v>/</v>
      </c>
      <c r="AP33" s="5" t="str">
        <f t="shared" si="6"/>
        <v>p</v>
      </c>
      <c r="AQ33" s="5" t="str">
        <f t="shared" si="6"/>
        <v>M</v>
      </c>
      <c r="AR33" s="5" t="str">
        <f t="shared" si="6"/>
        <v>0</v>
      </c>
      <c r="AS33" s="5" t="str">
        <f t="shared" si="6"/>
        <v>;</v>
      </c>
      <c r="AT33" s="5" t="str">
        <f t="shared" si="6"/>
        <v>O</v>
      </c>
      <c r="AU33" s="5" t="str">
        <f t="shared" si="6"/>
        <v>o</v>
      </c>
      <c r="AV33" s="5" t="str">
        <f t="shared" si="6"/>
        <v>b</v>
      </c>
      <c r="AW33" s="5" t="str">
        <f t="shared" si="6"/>
        <v>t</v>
      </c>
      <c r="AX33" s="5" t="str">
        <f t="shared" si="6"/>
        <v>g</v>
      </c>
      <c r="AY33" s="5" t="str">
        <f t="shared" si="6"/>
        <v>z</v>
      </c>
      <c r="AZ33" s="5" t="str">
        <f t="shared" si="6"/>
        <v>5</v>
      </c>
      <c r="BA33" s="5" t="str">
        <f t="shared" si="6"/>
        <v>3</v>
      </c>
      <c r="BB33" s="5" t="str">
        <f t="shared" si="6"/>
        <v>4</v>
      </c>
      <c r="BC33" s="5" t="str">
        <f t="shared" si="6"/>
        <v>6</v>
      </c>
      <c r="BD33" s="5" t="str">
        <f t="shared" si="6"/>
        <v>7</v>
      </c>
      <c r="BE33" s="5" t="str">
        <f t="shared" si="6"/>
        <v>]</v>
      </c>
      <c r="BF33" s="5" t="str">
        <f t="shared" si="6"/>
        <v>[</v>
      </c>
      <c r="BG33" s="5" t="str">
        <f t="shared" si="6"/>
        <v>N</v>
      </c>
      <c r="BH33" s="5" t="str">
        <f t="shared" si="6"/>
        <v>.</v>
      </c>
      <c r="BI33" s="5" t="str">
        <f t="shared" si="6"/>
        <v>-</v>
      </c>
      <c r="BJ33" s="5" t="str">
        <f t="shared" si="6"/>
        <v/>
      </c>
      <c r="BK33" s="1"/>
      <c r="BL33" s="246" t="str">
        <v>D</v>
      </c>
      <c r="BM33" s="246" t="str">
        <v>*</v>
      </c>
      <c r="BN33" s="246" t="str">
        <v>ㆩ</v>
      </c>
      <c r="BO33" s="246"/>
      <c r="BP33" s="246"/>
    </row>
    <row r="34" spans="1:68" s="245" customFormat="1" outlineLevel="1">
      <c r="A34" s="251" t="s">
        <v>7</v>
      </c>
      <c r="B34" s="1"/>
      <c r="C34" s="250" t="str">
        <f xml:space="preserve"> MID($C$30,C$32,1)</f>
        <v>ㆠ</v>
      </c>
      <c r="D34" s="250" t="str">
        <f t="shared" ref="D34:BJ34" si="7" xml:space="preserve"> MID($C$30,D$32,1)</f>
        <v>ㄅ</v>
      </c>
      <c r="E34" s="250" t="str">
        <f t="shared" si="7"/>
        <v>ㄆ</v>
      </c>
      <c r="F34" s="250" t="str">
        <f t="shared" si="7"/>
        <v>ㄇ</v>
      </c>
      <c r="G34" s="250" t="str">
        <f t="shared" si="7"/>
        <v>ㄉ</v>
      </c>
      <c r="H34" s="250" t="str">
        <f t="shared" si="7"/>
        <v>ㄊ</v>
      </c>
      <c r="I34" s="250" t="str">
        <f t="shared" si="7"/>
        <v>ㄋ</v>
      </c>
      <c r="J34" s="250" t="str">
        <f t="shared" si="7"/>
        <v>ㄌ</v>
      </c>
      <c r="K34" s="250" t="str">
        <f t="shared" si="7"/>
        <v>ㆣ</v>
      </c>
      <c r="L34" s="250" t="str">
        <f t="shared" si="7"/>
        <v>ㄍ</v>
      </c>
      <c r="M34" s="250" t="str">
        <f t="shared" si="7"/>
        <v>ㄎ</v>
      </c>
      <c r="N34" s="250" t="str">
        <f t="shared" si="7"/>
        <v>ㄫ</v>
      </c>
      <c r="O34" s="250" t="str">
        <f t="shared" si="7"/>
        <v>ㆡ</v>
      </c>
      <c r="P34" s="250" t="str">
        <f t="shared" si="7"/>
        <v>ㄗ</v>
      </c>
      <c r="Q34" s="250" t="str">
        <f t="shared" si="7"/>
        <v>ㄘ</v>
      </c>
      <c r="R34" s="250" t="str">
        <f t="shared" si="7"/>
        <v>ㄙ</v>
      </c>
      <c r="S34" s="250" t="str">
        <f t="shared" si="7"/>
        <v>ㆢ</v>
      </c>
      <c r="T34" s="250" t="str">
        <f t="shared" si="7"/>
        <v>ㄐ</v>
      </c>
      <c r="U34" s="250" t="str">
        <f t="shared" si="7"/>
        <v>ㄑ</v>
      </c>
      <c r="V34" s="250" t="str">
        <f t="shared" si="7"/>
        <v>ㄒ</v>
      </c>
      <c r="W34" s="250" t="str">
        <f t="shared" si="7"/>
        <v>ㄏ</v>
      </c>
      <c r="X34" s="250" t="str">
        <f t="shared" si="7"/>
        <v>ㄚ</v>
      </c>
      <c r="Y34" s="250" t="str">
        <f t="shared" si="7"/>
        <v>ㄧ</v>
      </c>
      <c r="Z34" s="250" t="str">
        <f t="shared" si="7"/>
        <v>ㆨ</v>
      </c>
      <c r="AA34" s="250" t="str">
        <f t="shared" si="7"/>
        <v>ㄨ</v>
      </c>
      <c r="AB34" s="250" t="str">
        <f t="shared" si="7"/>
        <v>ㆤ</v>
      </c>
      <c r="AC34" s="250" t="str">
        <f t="shared" si="7"/>
        <v>ㆦ</v>
      </c>
      <c r="AD34" s="250" t="str">
        <f t="shared" si="7"/>
        <v>ㄜ</v>
      </c>
      <c r="AE34" s="250" t="str">
        <f t="shared" si="7"/>
        <v>ㄞ</v>
      </c>
      <c r="AF34" s="250" t="str">
        <f t="shared" si="7"/>
        <v>ㄠ</v>
      </c>
      <c r="AG34" s="250" t="str">
        <f t="shared" si="7"/>
        <v>ㆩ</v>
      </c>
      <c r="AH34" s="250" t="str">
        <f t="shared" si="7"/>
        <v>ㆪ</v>
      </c>
      <c r="AI34" s="250" t="str">
        <f t="shared" si="7"/>
        <v>ㆫ</v>
      </c>
      <c r="AJ34" s="250" t="str">
        <f t="shared" si="7"/>
        <v>ㆥ</v>
      </c>
      <c r="AK34" s="250" t="str">
        <f t="shared" si="7"/>
        <v>ㆧ</v>
      </c>
      <c r="AL34" s="250" t="str">
        <f t="shared" si="7"/>
        <v>ㆮ</v>
      </c>
      <c r="AM34" s="250" t="str">
        <f t="shared" si="7"/>
        <v>ㆯ</v>
      </c>
      <c r="AN34" s="250" t="str">
        <f t="shared" si="7"/>
        <v>ㆬ</v>
      </c>
      <c r="AO34" s="250" t="str">
        <f t="shared" si="7"/>
        <v>ㆭ</v>
      </c>
      <c r="AP34" s="250" t="str">
        <f t="shared" si="7"/>
        <v>ㄣ</v>
      </c>
      <c r="AQ34" s="250" t="str">
        <f t="shared" si="7"/>
        <v>ㆰ</v>
      </c>
      <c r="AR34" s="250" t="str">
        <f t="shared" si="7"/>
        <v>ㄢ</v>
      </c>
      <c r="AS34" s="250" t="str">
        <f t="shared" si="7"/>
        <v>ㄤ</v>
      </c>
      <c r="AT34" s="250" t="str">
        <f t="shared" si="7"/>
        <v>ㆱ</v>
      </c>
      <c r="AU34" s="250" t="str">
        <f t="shared" si="7"/>
        <v>ㆲ</v>
      </c>
      <c r="AV34" s="250" t="str">
        <f t="shared" si="7"/>
        <v>ㆴ</v>
      </c>
      <c r="AW34" s="250" t="str">
        <f t="shared" si="7"/>
        <v>ㆵ</v>
      </c>
      <c r="AX34" s="250" t="str">
        <f t="shared" si="7"/>
        <v>ㆻ</v>
      </c>
      <c r="AY34" s="250" t="str">
        <f t="shared" si="7"/>
        <v>ㆷ</v>
      </c>
      <c r="AZ34" s="250" t="str">
        <f t="shared" si="7"/>
        <v>˫</v>
      </c>
      <c r="BA34" s="250" t="str">
        <f t="shared" si="7"/>
        <v>˪</v>
      </c>
      <c r="BB34" s="250" t="str">
        <f t="shared" si="7"/>
        <v>ˋ</v>
      </c>
      <c r="BC34" s="250" t="str">
        <f t="shared" si="7"/>
        <v>ˊ</v>
      </c>
      <c r="BD34" s="250" t="str">
        <f t="shared" si="7"/>
        <v>八</v>
      </c>
      <c r="BE34" s="250" t="str">
        <f t="shared" si="7"/>
        <v>四</v>
      </c>
      <c r="BF34" s="250" t="str">
        <f t="shared" si="7"/>
        <v>一</v>
      </c>
      <c r="BG34" s="250" t="str">
        <f t="shared" si="7"/>
        <v>ㄥ</v>
      </c>
      <c r="BH34" s="250" t="str">
        <f t="shared" si="7"/>
        <v>入</v>
      </c>
      <c r="BI34" s="250" t="str">
        <f t="shared" si="7"/>
        <v>ñ</v>
      </c>
      <c r="BJ34" s="250" t="str">
        <f t="shared" si="7"/>
        <v/>
      </c>
      <c r="BK34" s="1"/>
      <c r="BL34" s="246" t="str">
        <v>f</v>
      </c>
      <c r="BM34" s="246" t="str">
        <v>U</v>
      </c>
      <c r="BN34" s="246" t="str">
        <v>ㆪ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q</v>
      </c>
      <c r="BM35" s="246" t="str">
        <v>J</v>
      </c>
      <c r="BN35" s="246" t="str">
        <v>ㆫ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r</v>
      </c>
      <c r="BM36" s="246" t="str">
        <v>&lt;</v>
      </c>
      <c r="BN36" s="246" t="str">
        <v>ㆥ</v>
      </c>
      <c r="BO36" s="246"/>
      <c r="BP36" s="246"/>
    </row>
    <row r="37" spans="1:68" s="242" customFormat="1">
      <c r="C37" s="259">
        <f xml:space="preserve"> COLUMN() -2</f>
        <v>1</v>
      </c>
      <c r="D37" s="259">
        <f t="shared" ref="D37:BJ37" si="8" xml:space="preserve"> COLUMN() -2</f>
        <v>2</v>
      </c>
      <c r="E37" s="259">
        <f t="shared" si="8"/>
        <v>3</v>
      </c>
      <c r="F37" s="259">
        <f t="shared" si="8"/>
        <v>4</v>
      </c>
      <c r="G37" s="259">
        <f t="shared" si="8"/>
        <v>5</v>
      </c>
      <c r="H37" s="259">
        <f t="shared" si="8"/>
        <v>6</v>
      </c>
      <c r="I37" s="259">
        <f t="shared" si="8"/>
        <v>7</v>
      </c>
      <c r="J37" s="259">
        <f t="shared" si="8"/>
        <v>8</v>
      </c>
      <c r="K37" s="259">
        <f t="shared" si="8"/>
        <v>9</v>
      </c>
      <c r="L37" s="259">
        <f t="shared" si="8"/>
        <v>10</v>
      </c>
      <c r="M37" s="259">
        <f t="shared" si="8"/>
        <v>11</v>
      </c>
      <c r="N37" s="259">
        <f t="shared" si="8"/>
        <v>12</v>
      </c>
      <c r="O37" s="259">
        <f t="shared" si="8"/>
        <v>13</v>
      </c>
      <c r="P37" s="259">
        <f t="shared" si="8"/>
        <v>14</v>
      </c>
      <c r="Q37" s="259">
        <f t="shared" si="8"/>
        <v>15</v>
      </c>
      <c r="R37" s="259">
        <f t="shared" si="8"/>
        <v>16</v>
      </c>
      <c r="S37" s="259">
        <f t="shared" si="8"/>
        <v>17</v>
      </c>
      <c r="T37" s="259">
        <f t="shared" si="8"/>
        <v>18</v>
      </c>
      <c r="U37" s="259">
        <f t="shared" si="8"/>
        <v>19</v>
      </c>
      <c r="V37" s="259">
        <f t="shared" si="8"/>
        <v>20</v>
      </c>
      <c r="W37" s="259">
        <f t="shared" si="8"/>
        <v>21</v>
      </c>
      <c r="X37" s="259">
        <f t="shared" si="8"/>
        <v>22</v>
      </c>
      <c r="Y37" s="259">
        <f t="shared" si="8"/>
        <v>23</v>
      </c>
      <c r="Z37" s="259">
        <f t="shared" si="8"/>
        <v>24</v>
      </c>
      <c r="AA37" s="259">
        <f t="shared" si="8"/>
        <v>25</v>
      </c>
      <c r="AB37" s="259">
        <f t="shared" si="8"/>
        <v>26</v>
      </c>
      <c r="AC37" s="259">
        <f t="shared" si="8"/>
        <v>27</v>
      </c>
      <c r="AD37" s="259">
        <f t="shared" si="8"/>
        <v>28</v>
      </c>
      <c r="AE37" s="259">
        <f t="shared" si="8"/>
        <v>29</v>
      </c>
      <c r="AF37" s="259">
        <f t="shared" si="8"/>
        <v>30</v>
      </c>
      <c r="AG37" s="259">
        <f t="shared" si="8"/>
        <v>31</v>
      </c>
      <c r="AH37" s="259">
        <f t="shared" si="8"/>
        <v>32</v>
      </c>
      <c r="AI37" s="259">
        <f t="shared" si="8"/>
        <v>33</v>
      </c>
      <c r="AJ37" s="259">
        <f t="shared" si="8"/>
        <v>34</v>
      </c>
      <c r="AK37" s="259">
        <f t="shared" si="8"/>
        <v>35</v>
      </c>
      <c r="AL37" s="259">
        <f t="shared" si="8"/>
        <v>36</v>
      </c>
      <c r="AM37" s="259">
        <f t="shared" si="8"/>
        <v>37</v>
      </c>
      <c r="AN37" s="259">
        <f t="shared" si="8"/>
        <v>38</v>
      </c>
      <c r="AO37" s="259">
        <f t="shared" si="8"/>
        <v>39</v>
      </c>
      <c r="AP37" s="259">
        <f t="shared" si="8"/>
        <v>40</v>
      </c>
      <c r="AQ37" s="259">
        <f t="shared" si="8"/>
        <v>41</v>
      </c>
      <c r="AR37" s="259">
        <f t="shared" si="8"/>
        <v>42</v>
      </c>
      <c r="AS37" s="259">
        <f t="shared" si="8"/>
        <v>43</v>
      </c>
      <c r="AT37" s="259">
        <f t="shared" si="8"/>
        <v>44</v>
      </c>
      <c r="AU37" s="259">
        <f t="shared" si="8"/>
        <v>45</v>
      </c>
      <c r="AV37" s="259">
        <f t="shared" si="8"/>
        <v>46</v>
      </c>
      <c r="AW37" s="259">
        <f t="shared" si="8"/>
        <v>47</v>
      </c>
      <c r="AX37" s="259">
        <f t="shared" si="8"/>
        <v>48</v>
      </c>
      <c r="AY37" s="259">
        <f t="shared" si="8"/>
        <v>49</v>
      </c>
      <c r="AZ37" s="259">
        <f t="shared" si="8"/>
        <v>50</v>
      </c>
      <c r="BA37" s="259">
        <f t="shared" si="8"/>
        <v>51</v>
      </c>
      <c r="BB37" s="259">
        <f t="shared" si="8"/>
        <v>52</v>
      </c>
      <c r="BC37" s="259">
        <f t="shared" si="8"/>
        <v>53</v>
      </c>
      <c r="BD37" s="259">
        <f t="shared" si="8"/>
        <v>54</v>
      </c>
      <c r="BE37" s="259">
        <f t="shared" si="8"/>
        <v>55</v>
      </c>
      <c r="BF37" s="259">
        <f t="shared" si="8"/>
        <v>56</v>
      </c>
      <c r="BG37" s="259">
        <f t="shared" si="8"/>
        <v>57</v>
      </c>
      <c r="BH37" s="259">
        <f t="shared" si="8"/>
        <v>58</v>
      </c>
      <c r="BI37" s="259">
        <f t="shared" si="8"/>
        <v>59</v>
      </c>
      <c r="BJ37" s="259">
        <f t="shared" si="8"/>
        <v>60</v>
      </c>
      <c r="BL37" s="8" t="str">
        <v>v</v>
      </c>
      <c r="BM37" s="8" t="str">
        <v>I</v>
      </c>
      <c r="BN37" s="8" t="str">
        <v>ㆧ</v>
      </c>
      <c r="BO37" s="8"/>
      <c r="BP37" s="8"/>
    </row>
    <row r="38" spans="1:68" s="245" customFormat="1">
      <c r="A38" s="256" t="s">
        <v>536</v>
      </c>
      <c r="B38" s="1"/>
      <c r="C38" s="257" t="s">
        <v>247</v>
      </c>
      <c r="D38" s="257" t="s">
        <v>246</v>
      </c>
      <c r="E38" s="257" t="s">
        <v>248</v>
      </c>
      <c r="F38" s="257" t="s">
        <v>249</v>
      </c>
      <c r="G38" s="257" t="s">
        <v>250</v>
      </c>
      <c r="H38" s="257" t="s">
        <v>96</v>
      </c>
      <c r="I38" s="257" t="s">
        <v>251</v>
      </c>
      <c r="J38" s="257" t="s">
        <v>252</v>
      </c>
      <c r="K38" s="257" t="s">
        <v>534</v>
      </c>
      <c r="L38" s="257" t="s">
        <v>283</v>
      </c>
      <c r="M38" s="257" t="s">
        <v>284</v>
      </c>
      <c r="N38" s="257" t="s">
        <v>253</v>
      </c>
      <c r="O38" s="257" t="s">
        <v>254</v>
      </c>
      <c r="P38" s="257" t="s">
        <v>542</v>
      </c>
      <c r="Q38" s="257" t="s">
        <v>543</v>
      </c>
      <c r="R38" s="257" t="s">
        <v>255</v>
      </c>
      <c r="S38" s="257" t="s">
        <v>257</v>
      </c>
      <c r="T38" s="257" t="s">
        <v>544</v>
      </c>
      <c r="U38" s="257" t="s">
        <v>545</v>
      </c>
      <c r="V38" s="257" t="s">
        <v>260</v>
      </c>
      <c r="W38" s="257" t="s">
        <v>256</v>
      </c>
      <c r="X38" s="257" t="s">
        <v>261</v>
      </c>
      <c r="Y38" s="257" t="s">
        <v>262</v>
      </c>
      <c r="Z38" s="257" t="s">
        <v>263</v>
      </c>
      <c r="AA38" s="257" t="s">
        <v>264</v>
      </c>
      <c r="AB38" s="257" t="s">
        <v>265</v>
      </c>
      <c r="AC38" s="257" t="s">
        <v>266</v>
      </c>
      <c r="AD38" s="257" t="s">
        <v>267</v>
      </c>
      <c r="AE38" s="258" t="s">
        <v>274</v>
      </c>
      <c r="AF38" s="258" t="s">
        <v>275</v>
      </c>
      <c r="AG38" s="258" t="s">
        <v>546</v>
      </c>
      <c r="AH38" s="258" t="s">
        <v>547</v>
      </c>
      <c r="AI38" s="258" t="s">
        <v>548</v>
      </c>
      <c r="AJ38" s="258" t="s">
        <v>549</v>
      </c>
      <c r="AK38" s="258" t="s">
        <v>550</v>
      </c>
      <c r="AL38" s="257" t="s">
        <v>551</v>
      </c>
      <c r="AM38" s="257" t="s">
        <v>552</v>
      </c>
      <c r="AN38" s="258" t="s">
        <v>268</v>
      </c>
      <c r="AO38" s="258" t="s">
        <v>269</v>
      </c>
      <c r="AP38" s="258" t="s">
        <v>111</v>
      </c>
      <c r="AQ38" s="257" t="s">
        <v>276</v>
      </c>
      <c r="AR38" s="257" t="s">
        <v>277</v>
      </c>
      <c r="AS38" s="257" t="s">
        <v>278</v>
      </c>
      <c r="AT38" s="257" t="s">
        <v>279</v>
      </c>
      <c r="AU38" s="257" t="s">
        <v>280</v>
      </c>
      <c r="AV38" s="258" t="s">
        <v>270</v>
      </c>
      <c r="AW38" s="258" t="s">
        <v>271</v>
      </c>
      <c r="AX38" s="258" t="s">
        <v>272</v>
      </c>
      <c r="AY38" s="258" t="s">
        <v>273</v>
      </c>
      <c r="AZ38" s="257">
        <v>7</v>
      </c>
      <c r="BA38" s="257">
        <v>3</v>
      </c>
      <c r="BB38" s="257">
        <v>2</v>
      </c>
      <c r="BC38" s="257">
        <v>5</v>
      </c>
      <c r="BD38" s="257">
        <v>8</v>
      </c>
      <c r="BE38" s="257">
        <v>4</v>
      </c>
      <c r="BF38" s="257">
        <v>1</v>
      </c>
      <c r="BG38" s="257"/>
      <c r="BH38" s="257"/>
      <c r="BI38" s="257" t="s">
        <v>226</v>
      </c>
      <c r="BJ38" s="257"/>
      <c r="BK38" s="1"/>
      <c r="BL38" s="246" t="str">
        <v>x</v>
      </c>
      <c r="BM38" s="246" t="str">
        <v>(</v>
      </c>
      <c r="BN38" s="246" t="str">
        <v>ㆮ</v>
      </c>
      <c r="BO38" s="246"/>
      <c r="BP38" s="246"/>
    </row>
    <row r="39" spans="1:68" s="245" customFormat="1">
      <c r="A39" s="252" t="s">
        <v>4</v>
      </c>
      <c r="B39" s="1"/>
      <c r="C39" s="5" t="str">
        <f>C18</f>
        <v>B</v>
      </c>
      <c r="D39" s="5" t="str">
        <f t="shared" ref="D39:BJ39" si="9">D18</f>
        <v>b</v>
      </c>
      <c r="E39" s="5" t="str">
        <f t="shared" si="9"/>
        <v>p</v>
      </c>
      <c r="F39" s="5" t="str">
        <f t="shared" si="9"/>
        <v>m</v>
      </c>
      <c r="G39" s="5" t="str">
        <f t="shared" si="9"/>
        <v>d</v>
      </c>
      <c r="H39" s="5" t="str">
        <f t="shared" si="9"/>
        <v>t</v>
      </c>
      <c r="I39" s="5" t="str">
        <f t="shared" si="9"/>
        <v>n</v>
      </c>
      <c r="J39" s="5" t="str">
        <f t="shared" si="9"/>
        <v>l</v>
      </c>
      <c r="K39" s="272" t="s">
        <v>553</v>
      </c>
      <c r="L39" s="5" t="str">
        <f t="shared" si="9"/>
        <v>g</v>
      </c>
      <c r="M39" s="5" t="str">
        <f t="shared" si="9"/>
        <v>k</v>
      </c>
      <c r="N39" s="5" t="str">
        <f t="shared" si="9"/>
        <v>ŋ</v>
      </c>
      <c r="O39" s="5" t="str">
        <f t="shared" si="9"/>
        <v>Z</v>
      </c>
      <c r="P39" s="5" t="str">
        <f t="shared" si="9"/>
        <v>z</v>
      </c>
      <c r="Q39" s="5" t="str">
        <f t="shared" si="9"/>
        <v>c</v>
      </c>
      <c r="R39" s="5" t="str">
        <f t="shared" si="9"/>
        <v>s</v>
      </c>
      <c r="S39" s="5" t="str">
        <f t="shared" si="9"/>
        <v>J</v>
      </c>
      <c r="T39" s="5" t="str">
        <f t="shared" si="9"/>
        <v>j</v>
      </c>
      <c r="U39" s="5" t="str">
        <f t="shared" si="9"/>
        <v>C</v>
      </c>
      <c r="V39" s="5" t="str">
        <f t="shared" si="9"/>
        <v>S</v>
      </c>
      <c r="W39" s="5" t="str">
        <f t="shared" si="9"/>
        <v>h</v>
      </c>
      <c r="X39" s="5" t="str">
        <f t="shared" si="9"/>
        <v>a</v>
      </c>
      <c r="Y39" s="5" t="str">
        <f t="shared" si="9"/>
        <v>i</v>
      </c>
      <c r="Z39" s="5" t="str">
        <f t="shared" si="9"/>
        <v>w</v>
      </c>
      <c r="AA39" s="5" t="str">
        <f t="shared" si="9"/>
        <v>u</v>
      </c>
      <c r="AB39" s="5" t="str">
        <f t="shared" si="9"/>
        <v>e</v>
      </c>
      <c r="AC39" s="5" t="str">
        <f t="shared" si="9"/>
        <v>O</v>
      </c>
      <c r="AD39" s="5" t="str">
        <f t="shared" si="9"/>
        <v>ə</v>
      </c>
      <c r="AE39" s="5" t="str">
        <f t="shared" si="9"/>
        <v>I</v>
      </c>
      <c r="AF39" s="5" t="str">
        <f t="shared" si="9"/>
        <v>U</v>
      </c>
      <c r="AG39" s="5" t="s">
        <v>541</v>
      </c>
      <c r="AH39" s="5" t="str">
        <f t="shared" si="9"/>
        <v>f</v>
      </c>
      <c r="AI39" s="5" t="str">
        <f t="shared" si="9"/>
        <v>q</v>
      </c>
      <c r="AJ39" s="5" t="str">
        <f t="shared" si="9"/>
        <v>r</v>
      </c>
      <c r="AK39" s="5" t="str">
        <f t="shared" si="9"/>
        <v>v</v>
      </c>
      <c r="AL39" s="5" t="str">
        <f t="shared" si="9"/>
        <v>x</v>
      </c>
      <c r="AM39" s="5" t="str">
        <f t="shared" si="9"/>
        <v>y</v>
      </c>
      <c r="AN39" s="5" t="str">
        <f t="shared" si="9"/>
        <v>M</v>
      </c>
      <c r="AO39" s="5" t="str">
        <f t="shared" si="9"/>
        <v>G</v>
      </c>
      <c r="AP39" s="5" t="str">
        <f t="shared" si="9"/>
        <v>N</v>
      </c>
      <c r="AQ39" s="5" t="str">
        <f t="shared" si="9"/>
        <v>Y</v>
      </c>
      <c r="AR39" s="5" t="str">
        <f t="shared" si="9"/>
        <v>@</v>
      </c>
      <c r="AS39" s="5" t="str">
        <f t="shared" si="9"/>
        <v>A</v>
      </c>
      <c r="AT39" s="5" t="str">
        <f t="shared" si="9"/>
        <v>W</v>
      </c>
      <c r="AU39" s="5" t="str">
        <f t="shared" si="9"/>
        <v>H</v>
      </c>
      <c r="AV39" s="5" t="str">
        <f t="shared" si="9"/>
        <v>R</v>
      </c>
      <c r="AW39" s="5" t="str">
        <f t="shared" si="9"/>
        <v>F</v>
      </c>
      <c r="AX39" s="5" t="str">
        <f t="shared" si="9"/>
        <v>Q</v>
      </c>
      <c r="AY39" s="5" t="str">
        <f t="shared" si="9"/>
        <v>V</v>
      </c>
      <c r="AZ39" s="5" t="str">
        <f t="shared" si="9"/>
        <v>7</v>
      </c>
      <c r="BA39" s="5" t="str">
        <f t="shared" si="9"/>
        <v>3</v>
      </c>
      <c r="BB39" s="5" t="str">
        <f t="shared" si="9"/>
        <v>2</v>
      </c>
      <c r="BC39" s="5" t="str">
        <f t="shared" si="9"/>
        <v>5</v>
      </c>
      <c r="BD39" s="5" t="str">
        <f t="shared" si="9"/>
        <v>8</v>
      </c>
      <c r="BE39" s="5" t="str">
        <f t="shared" si="9"/>
        <v>4</v>
      </c>
      <c r="BF39" s="5" t="str">
        <f t="shared" si="9"/>
        <v>1</v>
      </c>
      <c r="BG39" s="5" t="str">
        <f t="shared" si="9"/>
        <v>L</v>
      </c>
      <c r="BH39" s="5" t="str">
        <f t="shared" si="9"/>
        <v>&amp;</v>
      </c>
      <c r="BI39" s="5" t="str">
        <f t="shared" si="9"/>
        <v>*</v>
      </c>
      <c r="BJ39" s="5" t="str">
        <f t="shared" si="9"/>
        <v/>
      </c>
      <c r="BK39" s="1"/>
      <c r="BL39" s="246" t="str">
        <v>y</v>
      </c>
      <c r="BM39" s="246" t="str">
        <v>L</v>
      </c>
      <c r="BN39" s="246" t="str">
        <v>ㆯ</v>
      </c>
      <c r="BO39" s="246"/>
      <c r="BP39" s="246"/>
    </row>
    <row r="40" spans="1:68" s="245" customFormat="1">
      <c r="A40" s="253" t="s">
        <v>65</v>
      </c>
      <c r="B40" s="254"/>
      <c r="C40" s="255" t="str">
        <f>C19</f>
        <v>!</v>
      </c>
      <c r="D40" s="255" t="str">
        <f t="shared" ref="D40:BJ40" si="10">D19</f>
        <v>1</v>
      </c>
      <c r="E40" s="255" t="str">
        <f t="shared" si="10"/>
        <v>q</v>
      </c>
      <c r="F40" s="255" t="str">
        <f t="shared" si="10"/>
        <v>a</v>
      </c>
      <c r="G40" s="255" t="str">
        <f t="shared" si="10"/>
        <v>2</v>
      </c>
      <c r="H40" s="255" t="str">
        <f t="shared" si="10"/>
        <v>w</v>
      </c>
      <c r="I40" s="255" t="str">
        <f t="shared" si="10"/>
        <v>s</v>
      </c>
      <c r="J40" s="255" t="str">
        <f t="shared" si="10"/>
        <v>x</v>
      </c>
      <c r="K40" s="255" t="str">
        <f t="shared" si="10"/>
        <v>E</v>
      </c>
      <c r="L40" s="255" t="str">
        <f t="shared" si="10"/>
        <v>e</v>
      </c>
      <c r="M40" s="255" t="str">
        <f t="shared" si="10"/>
        <v>d</v>
      </c>
      <c r="N40" s="255" t="str">
        <f t="shared" si="10"/>
        <v>G</v>
      </c>
      <c r="O40" s="255" t="str">
        <f t="shared" si="10"/>
        <v>Y</v>
      </c>
      <c r="P40" s="255" t="str">
        <f t="shared" si="10"/>
        <v>y</v>
      </c>
      <c r="Q40" s="255" t="str">
        <f t="shared" si="10"/>
        <v>h</v>
      </c>
      <c r="R40" s="255" t="str">
        <f t="shared" si="10"/>
        <v>n</v>
      </c>
      <c r="S40" s="255" t="str">
        <f t="shared" si="10"/>
        <v>R</v>
      </c>
      <c r="T40" s="255" t="str">
        <f t="shared" si="10"/>
        <v>r</v>
      </c>
      <c r="U40" s="255" t="str">
        <f t="shared" si="10"/>
        <v>f</v>
      </c>
      <c r="V40" s="255" t="str">
        <f t="shared" si="10"/>
        <v>v</v>
      </c>
      <c r="W40" s="255" t="str">
        <f t="shared" si="10"/>
        <v>c</v>
      </c>
      <c r="X40" s="255" t="str">
        <f t="shared" si="10"/>
        <v>8</v>
      </c>
      <c r="Y40" s="255" t="str">
        <f t="shared" si="10"/>
        <v>u</v>
      </c>
      <c r="Z40" s="255" t="str">
        <f t="shared" si="10"/>
        <v>K</v>
      </c>
      <c r="AA40" s="255" t="str">
        <f t="shared" si="10"/>
        <v>j</v>
      </c>
      <c r="AB40" s="255" t="str">
        <f t="shared" si="10"/>
        <v>,</v>
      </c>
      <c r="AC40" s="255" t="str">
        <f t="shared" si="10"/>
        <v>i</v>
      </c>
      <c r="AD40" s="255" t="str">
        <f t="shared" si="10"/>
        <v>k</v>
      </c>
      <c r="AE40" s="255" t="str">
        <f t="shared" si="10"/>
        <v>9</v>
      </c>
      <c r="AF40" s="255" t="str">
        <f t="shared" si="10"/>
        <v>l</v>
      </c>
      <c r="AG40" s="255" t="str">
        <f t="shared" si="10"/>
        <v>*</v>
      </c>
      <c r="AH40" s="255" t="str">
        <f t="shared" si="10"/>
        <v>U</v>
      </c>
      <c r="AI40" s="255" t="str">
        <f t="shared" si="10"/>
        <v>J</v>
      </c>
      <c r="AJ40" s="255" t="str">
        <f t="shared" si="10"/>
        <v>&lt;</v>
      </c>
      <c r="AK40" s="255" t="str">
        <f t="shared" si="10"/>
        <v>I</v>
      </c>
      <c r="AL40" s="255" t="str">
        <f t="shared" si="10"/>
        <v>(</v>
      </c>
      <c r="AM40" s="255" t="str">
        <f t="shared" si="10"/>
        <v>L</v>
      </c>
      <c r="AN40" s="255" t="str">
        <f t="shared" si="10"/>
        <v>m</v>
      </c>
      <c r="AO40" s="255" t="str">
        <f t="shared" si="10"/>
        <v>/</v>
      </c>
      <c r="AP40" s="255" t="str">
        <f t="shared" si="10"/>
        <v>p</v>
      </c>
      <c r="AQ40" s="255" t="str">
        <f t="shared" si="10"/>
        <v>M</v>
      </c>
      <c r="AR40" s="255" t="str">
        <f t="shared" si="10"/>
        <v>0</v>
      </c>
      <c r="AS40" s="255" t="str">
        <f t="shared" si="10"/>
        <v>;</v>
      </c>
      <c r="AT40" s="255" t="str">
        <f t="shared" si="10"/>
        <v>O</v>
      </c>
      <c r="AU40" s="255" t="str">
        <f t="shared" si="10"/>
        <v>o</v>
      </c>
      <c r="AV40" s="255" t="str">
        <f t="shared" si="10"/>
        <v>b</v>
      </c>
      <c r="AW40" s="255" t="str">
        <f t="shared" si="10"/>
        <v>t</v>
      </c>
      <c r="AX40" s="255" t="str">
        <f t="shared" si="10"/>
        <v>g</v>
      </c>
      <c r="AY40" s="255" t="str">
        <f t="shared" si="10"/>
        <v>z</v>
      </c>
      <c r="AZ40" s="255" t="str">
        <f t="shared" si="10"/>
        <v>5</v>
      </c>
      <c r="BA40" s="255" t="str">
        <f t="shared" si="10"/>
        <v>3</v>
      </c>
      <c r="BB40" s="255" t="str">
        <f t="shared" si="10"/>
        <v>4</v>
      </c>
      <c r="BC40" s="255" t="str">
        <f t="shared" si="10"/>
        <v>6</v>
      </c>
      <c r="BD40" s="255" t="str">
        <f t="shared" si="10"/>
        <v>7</v>
      </c>
      <c r="BE40" s="255" t="str">
        <f t="shared" si="10"/>
        <v>]</v>
      </c>
      <c r="BF40" s="255" t="str">
        <f t="shared" si="10"/>
        <v>[</v>
      </c>
      <c r="BG40" s="255" t="str">
        <f t="shared" si="10"/>
        <v>N</v>
      </c>
      <c r="BH40" s="255" t="str">
        <f t="shared" si="10"/>
        <v>.</v>
      </c>
      <c r="BI40" s="255" t="str">
        <f t="shared" si="10"/>
        <v>-</v>
      </c>
      <c r="BJ40" s="255" t="str">
        <f t="shared" si="10"/>
        <v/>
      </c>
      <c r="BK40" s="1"/>
      <c r="BL40" s="246" t="str">
        <v>M</v>
      </c>
      <c r="BM40" s="246" t="str">
        <v>m</v>
      </c>
      <c r="BN40" s="246" t="str">
        <v>ㆬ</v>
      </c>
      <c r="BO40" s="246"/>
      <c r="BP40" s="246"/>
    </row>
    <row r="41" spans="1:68" s="245" customFormat="1">
      <c r="A41" s="251" t="s">
        <v>7</v>
      </c>
      <c r="B41" s="1"/>
      <c r="C41" s="250" t="str">
        <f>C34</f>
        <v>ㆠ</v>
      </c>
      <c r="D41" s="250" t="str">
        <f t="shared" ref="D41:BJ41" si="11">D34</f>
        <v>ㄅ</v>
      </c>
      <c r="E41" s="250" t="str">
        <f t="shared" si="11"/>
        <v>ㄆ</v>
      </c>
      <c r="F41" s="250" t="str">
        <f t="shared" si="11"/>
        <v>ㄇ</v>
      </c>
      <c r="G41" s="250" t="str">
        <f t="shared" si="11"/>
        <v>ㄉ</v>
      </c>
      <c r="H41" s="250" t="str">
        <f t="shared" si="11"/>
        <v>ㄊ</v>
      </c>
      <c r="I41" s="250" t="str">
        <f t="shared" si="11"/>
        <v>ㄋ</v>
      </c>
      <c r="J41" s="250" t="str">
        <f t="shared" si="11"/>
        <v>ㄌ</v>
      </c>
      <c r="K41" s="250" t="str">
        <f t="shared" si="11"/>
        <v>ㆣ</v>
      </c>
      <c r="L41" s="250" t="str">
        <f t="shared" si="11"/>
        <v>ㄍ</v>
      </c>
      <c r="M41" s="250" t="str">
        <f t="shared" si="11"/>
        <v>ㄎ</v>
      </c>
      <c r="N41" s="250" t="str">
        <f t="shared" si="11"/>
        <v>ㄫ</v>
      </c>
      <c r="O41" s="250" t="str">
        <f t="shared" si="11"/>
        <v>ㆡ</v>
      </c>
      <c r="P41" s="250" t="str">
        <f t="shared" si="11"/>
        <v>ㄗ</v>
      </c>
      <c r="Q41" s="250" t="str">
        <f t="shared" si="11"/>
        <v>ㄘ</v>
      </c>
      <c r="R41" s="250" t="str">
        <f t="shared" si="11"/>
        <v>ㄙ</v>
      </c>
      <c r="S41" s="250" t="str">
        <f t="shared" si="11"/>
        <v>ㆢ</v>
      </c>
      <c r="T41" s="250" t="str">
        <f t="shared" si="11"/>
        <v>ㄐ</v>
      </c>
      <c r="U41" s="250" t="str">
        <f t="shared" si="11"/>
        <v>ㄑ</v>
      </c>
      <c r="V41" s="250" t="str">
        <f t="shared" si="11"/>
        <v>ㄒ</v>
      </c>
      <c r="W41" s="250" t="str">
        <f t="shared" si="11"/>
        <v>ㄏ</v>
      </c>
      <c r="X41" s="250" t="str">
        <f t="shared" si="11"/>
        <v>ㄚ</v>
      </c>
      <c r="Y41" s="250" t="str">
        <f t="shared" si="11"/>
        <v>ㄧ</v>
      </c>
      <c r="Z41" s="250" t="str">
        <f t="shared" si="11"/>
        <v>ㆨ</v>
      </c>
      <c r="AA41" s="250" t="str">
        <f t="shared" si="11"/>
        <v>ㄨ</v>
      </c>
      <c r="AB41" s="250" t="str">
        <f t="shared" si="11"/>
        <v>ㆤ</v>
      </c>
      <c r="AC41" s="250" t="str">
        <f t="shared" si="11"/>
        <v>ㆦ</v>
      </c>
      <c r="AD41" s="250" t="str">
        <f t="shared" si="11"/>
        <v>ㄜ</v>
      </c>
      <c r="AE41" s="250" t="str">
        <f t="shared" si="11"/>
        <v>ㄞ</v>
      </c>
      <c r="AF41" s="250" t="str">
        <f t="shared" si="11"/>
        <v>ㄠ</v>
      </c>
      <c r="AG41" s="250" t="str">
        <f t="shared" si="11"/>
        <v>ㆩ</v>
      </c>
      <c r="AH41" s="250" t="str">
        <f t="shared" si="11"/>
        <v>ㆪ</v>
      </c>
      <c r="AI41" s="250" t="str">
        <f t="shared" si="11"/>
        <v>ㆫ</v>
      </c>
      <c r="AJ41" s="250" t="str">
        <f t="shared" si="11"/>
        <v>ㆥ</v>
      </c>
      <c r="AK41" s="250" t="str">
        <f t="shared" si="11"/>
        <v>ㆧ</v>
      </c>
      <c r="AL41" s="250" t="str">
        <f t="shared" si="11"/>
        <v>ㆮ</v>
      </c>
      <c r="AM41" s="250" t="str">
        <f t="shared" si="11"/>
        <v>ㆯ</v>
      </c>
      <c r="AN41" s="250" t="str">
        <f t="shared" si="11"/>
        <v>ㆬ</v>
      </c>
      <c r="AO41" s="250" t="str">
        <f t="shared" si="11"/>
        <v>ㆭ</v>
      </c>
      <c r="AP41" s="250" t="str">
        <f t="shared" si="11"/>
        <v>ㄣ</v>
      </c>
      <c r="AQ41" s="250" t="str">
        <f t="shared" si="11"/>
        <v>ㆰ</v>
      </c>
      <c r="AR41" s="250" t="str">
        <f t="shared" si="11"/>
        <v>ㄢ</v>
      </c>
      <c r="AS41" s="250" t="str">
        <f t="shared" si="11"/>
        <v>ㄤ</v>
      </c>
      <c r="AT41" s="250" t="str">
        <f t="shared" si="11"/>
        <v>ㆱ</v>
      </c>
      <c r="AU41" s="250" t="str">
        <f t="shared" si="11"/>
        <v>ㆲ</v>
      </c>
      <c r="AV41" s="250" t="str">
        <f t="shared" si="11"/>
        <v>ㆴ</v>
      </c>
      <c r="AW41" s="250" t="str">
        <f t="shared" si="11"/>
        <v>ㆵ</v>
      </c>
      <c r="AX41" s="250" t="str">
        <f t="shared" si="11"/>
        <v>ㆻ</v>
      </c>
      <c r="AY41" s="250" t="str">
        <f t="shared" si="11"/>
        <v>ㆷ</v>
      </c>
      <c r="AZ41" s="250" t="str">
        <f t="shared" si="11"/>
        <v>˫</v>
      </c>
      <c r="BA41" s="250" t="str">
        <f t="shared" si="11"/>
        <v>˪</v>
      </c>
      <c r="BB41" s="250" t="str">
        <f t="shared" si="11"/>
        <v>ˋ</v>
      </c>
      <c r="BC41" s="250" t="str">
        <f t="shared" si="11"/>
        <v>ˊ</v>
      </c>
      <c r="BD41" s="250" t="str">
        <f t="shared" si="11"/>
        <v>八</v>
      </c>
      <c r="BE41" s="250" t="str">
        <f t="shared" si="11"/>
        <v>四</v>
      </c>
      <c r="BF41" s="250" t="str">
        <f t="shared" si="11"/>
        <v>一</v>
      </c>
      <c r="BG41" s="250" t="str">
        <f t="shared" si="11"/>
        <v>ㄥ</v>
      </c>
      <c r="BH41" s="250" t="str">
        <f t="shared" si="11"/>
        <v>入</v>
      </c>
      <c r="BI41" s="250" t="str">
        <f t="shared" si="11"/>
        <v>ñ</v>
      </c>
      <c r="BJ41" s="250" t="str">
        <f t="shared" si="11"/>
        <v/>
      </c>
      <c r="BK41" s="1"/>
      <c r="BL41" s="246" t="str">
        <v>G</v>
      </c>
      <c r="BM41" s="246" t="str">
        <v>/</v>
      </c>
      <c r="BN41" s="247" t="str">
        <v>ㆭ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N</v>
      </c>
      <c r="BM42" s="246" t="str">
        <v>p</v>
      </c>
      <c r="BN42" s="247" t="str">
        <v>ㄣ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Y</v>
      </c>
      <c r="BM43" s="246" t="str">
        <v>M</v>
      </c>
      <c r="BN43" s="247" t="str">
        <v>ㆰ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@</v>
      </c>
      <c r="BM44" s="246" t="str">
        <v>0</v>
      </c>
      <c r="BN44" s="247" t="str">
        <v>ㄢ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A</v>
      </c>
      <c r="BM45" s="246" t="str">
        <v>;</v>
      </c>
      <c r="BN45" s="247" t="str">
        <v>ㄤ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W</v>
      </c>
      <c r="BM46" s="246" t="str">
        <v>O</v>
      </c>
      <c r="BN46" s="247" t="str">
        <v>ㆱ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H</v>
      </c>
      <c r="BM47" s="246" t="str">
        <v>o</v>
      </c>
      <c r="BN47" s="247" t="str">
        <v>ㆲ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b</v>
      </c>
      <c r="BN48" s="247" t="str">
        <v>ㆴ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F</v>
      </c>
      <c r="BM49" s="246" t="str">
        <v>t</v>
      </c>
      <c r="BN49" s="247" t="str">
        <v>ㆵ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Q</v>
      </c>
      <c r="BM50" s="246" t="str">
        <v>g</v>
      </c>
      <c r="BN50" s="247" t="str">
        <v>ㆻ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V</v>
      </c>
      <c r="BM51" s="246" t="str">
        <v>z</v>
      </c>
      <c r="BN51" s="247" t="str">
        <v>ㆷ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 t="str">
        <v>7</v>
      </c>
      <c r="BM52" s="246" t="str">
        <v>5</v>
      </c>
      <c r="BN52" s="247" t="str">
        <v>˫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 t="str">
        <v>3</v>
      </c>
      <c r="BM53" s="246" t="str">
        <v>3</v>
      </c>
      <c r="BN53" s="247" t="str">
        <v>˪</v>
      </c>
      <c r="BO53" s="246"/>
      <c r="BP53" s="246"/>
    </row>
    <row r="54" spans="1:68">
      <c r="BL54" s="245" t="str">
        <v>2</v>
      </c>
      <c r="BM54" s="245" t="str">
        <v>4</v>
      </c>
      <c r="BN54" s="245" t="str">
        <v>ˋ</v>
      </c>
    </row>
    <row r="55" spans="1:68">
      <c r="BL55" s="245" t="str">
        <v>5</v>
      </c>
      <c r="BM55" s="245" t="str">
        <v>6</v>
      </c>
      <c r="BN55" s="245" t="str">
        <v>ˊ</v>
      </c>
    </row>
    <row r="56" spans="1:68">
      <c r="BL56" s="245" t="str">
        <v>8</v>
      </c>
      <c r="BM56" s="245" t="str">
        <v>7</v>
      </c>
      <c r="BN56" s="245" t="str">
        <v>八</v>
      </c>
    </row>
    <row r="57" spans="1:68">
      <c r="BL57" s="245" t="str">
        <v>4</v>
      </c>
      <c r="BM57" s="245" t="str">
        <v>]</v>
      </c>
      <c r="BN57" s="245" t="str">
        <v>四</v>
      </c>
    </row>
    <row r="58" spans="1:68">
      <c r="BL58" s="245" t="str">
        <v>1</v>
      </c>
      <c r="BM58" s="245" t="str">
        <v>[</v>
      </c>
      <c r="BN58" s="245" t="str">
        <v>一</v>
      </c>
    </row>
    <row r="59" spans="1:68">
      <c r="BL59" s="245" t="str">
        <v>L</v>
      </c>
      <c r="BM59" s="245" t="str">
        <v>N</v>
      </c>
      <c r="BN59" s="245" t="str">
        <v>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&amp;</v>
      </c>
      <c r="BM60" s="246" t="str">
        <v>.</v>
      </c>
      <c r="BN60" s="246" t="str">
        <v>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>*</v>
      </c>
      <c r="BM61" s="246" t="str">
        <v>-</v>
      </c>
      <c r="BN61" s="246" t="str">
        <v>ñ</v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 t="str">
        <v/>
      </c>
      <c r="BM62" s="246" t="str">
        <v/>
      </c>
      <c r="BN62" s="246" t="str">
        <v/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B12" sqref="B12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291</v>
      </c>
      <c r="Q3" s="217" t="s">
        <v>292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z(ts)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c(tsh)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20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</row>
    <row r="3" spans="2:20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21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260" t="s">
        <v>332</v>
      </c>
      <c r="C2" s="262" t="s">
        <v>333</v>
      </c>
      <c r="D2" s="263"/>
      <c r="E2" s="266" t="s">
        <v>334</v>
      </c>
      <c r="F2" s="267"/>
      <c r="G2" s="268"/>
      <c r="H2" s="266" t="s">
        <v>335</v>
      </c>
      <c r="I2" s="267"/>
      <c r="J2" s="267"/>
      <c r="K2" s="267"/>
      <c r="L2" s="268"/>
      <c r="P2" s="236" t="str">
        <f xml:space="preserve"> "([48])"</f>
        <v>([48])</v>
      </c>
      <c r="Q2" s="236">
        <v>0</v>
      </c>
    </row>
    <row r="3" spans="2:18" ht="24" thickBot="1">
      <c r="B3" s="261"/>
      <c r="C3" s="264"/>
      <c r="D3" s="265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266" t="s">
        <v>342</v>
      </c>
      <c r="L3" s="268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269" t="s">
        <v>192</v>
      </c>
      <c r="D27" s="270"/>
      <c r="E27" s="269" t="s">
        <v>448</v>
      </c>
      <c r="F27" s="271"/>
      <c r="G27" s="271"/>
      <c r="H27" s="271"/>
      <c r="I27" s="271"/>
      <c r="J27" s="270"/>
      <c r="K27" s="269" t="s">
        <v>449</v>
      </c>
      <c r="L27" s="270"/>
    </row>
    <row r="28" spans="2:19" ht="24" thickBot="1">
      <c r="B28" s="234" t="s">
        <v>450</v>
      </c>
      <c r="C28" s="269" t="s">
        <v>451</v>
      </c>
      <c r="D28" s="270"/>
      <c r="E28" s="269" t="s">
        <v>448</v>
      </c>
      <c r="F28" s="271"/>
      <c r="G28" s="271"/>
      <c r="H28" s="271"/>
      <c r="I28" s="271"/>
      <c r="J28" s="270"/>
      <c r="K28" s="269" t="s">
        <v>452</v>
      </c>
      <c r="L28" s="270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zoomScale="40" zoomScaleNormal="40" workbookViewId="0">
      <selection activeCell="CX15" sqref="CX15:CX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c(tsh)</v>
      </c>
      <c r="CR5" s="98" t="str">
        <v>c</v>
      </c>
      <c r="CS5" s="99" t="str">
        <v>h</v>
      </c>
      <c r="CT5" s="83" t="str">
        <v>ㄘ</v>
      </c>
      <c r="CU5" s="101" t="str">
        <v>聲</v>
      </c>
      <c r="CV5" s="102">
        <v>6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z(ts)</v>
      </c>
      <c r="CR6" s="98" t="str">
        <v>z</v>
      </c>
      <c r="CS6" s="99" t="str">
        <v>y</v>
      </c>
      <c r="CT6" s="83" t="str">
        <v>ㄗ</v>
      </c>
      <c r="CU6" s="101" t="str">
        <v>聲</v>
      </c>
      <c r="CV6" s="102">
        <v>5</v>
      </c>
      <c r="CX6" s="103" t="str">
        <f t="shared" si="3"/>
        <v xml:space="preserve">    - xform/^z(ts)/z/  # 【y】 ==&gt; 聲： ㄗ [z(ts)]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j(i)</v>
      </c>
      <c r="CR7" s="98" t="str">
        <v>J</v>
      </c>
      <c r="CS7" s="99" t="str">
        <v>R</v>
      </c>
      <c r="CT7" s="83" t="str">
        <v>ㆢ</v>
      </c>
      <c r="CU7" s="101" t="str">
        <v>聲</v>
      </c>
      <c r="CV7" s="102">
        <v>4</v>
      </c>
      <c r="CX7" s="103" t="str">
        <f t="shared" si="3"/>
        <v xml:space="preserve">    - xform/^j(i)/J/  # 【R】 ==&gt; 聲： ㆢ [j(i)]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z(i)</v>
      </c>
      <c r="CR8" s="98" t="str">
        <v>Z</v>
      </c>
      <c r="CS8" s="99" t="str">
        <v>r</v>
      </c>
      <c r="CT8" s="83" t="str">
        <v>ㄐ</v>
      </c>
      <c r="CU8" s="101" t="str">
        <v>聲</v>
      </c>
      <c r="CV8" s="102">
        <v>4</v>
      </c>
      <c r="CX8" s="103" t="str">
        <f t="shared" si="3"/>
        <v xml:space="preserve">    - xform/^z(i)/Z/  # 【r】 ==&gt; 聲： ㄐ [z(i)]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c(i)</v>
      </c>
      <c r="CR9" s="98" t="str">
        <v>C</v>
      </c>
      <c r="CS9" s="99" t="str">
        <v>f</v>
      </c>
      <c r="CT9" s="83" t="str">
        <v>ㄑ</v>
      </c>
      <c r="CU9" s="101" t="str">
        <v>聲</v>
      </c>
      <c r="CV9" s="102">
        <v>4</v>
      </c>
      <c r="CX9" s="103" t="str">
        <f t="shared" si="3"/>
        <v xml:space="preserve">    - xform/^c(i)/C/  # 【f】 ==&gt; 聲： ㄑ [c(i)]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s(i)</v>
      </c>
      <c r="CR10" s="98" t="str">
        <v>S</v>
      </c>
      <c r="CS10" s="99" t="str">
        <v>v</v>
      </c>
      <c r="CT10" s="83" t="str">
        <v>ㄒ</v>
      </c>
      <c r="CU10" s="101" t="str">
        <v>聲</v>
      </c>
      <c r="CV10" s="102">
        <v>4</v>
      </c>
      <c r="CX10" s="103" t="str">
        <f t="shared" si="3"/>
        <v xml:space="preserve">    - xform/^s(i)/S/  # 【v】 ==&gt; 聲： ㄒ [s(i)]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ph</v>
      </c>
      <c r="CR11" s="98" t="str">
        <v>P</v>
      </c>
      <c r="CS11" s="99" t="str">
        <v>q</v>
      </c>
      <c r="CT11" s="83" t="str">
        <v>ㄆ</v>
      </c>
      <c r="CU11" s="101" t="str">
        <v>聲</v>
      </c>
      <c r="CV11" s="102">
        <v>2</v>
      </c>
      <c r="CX11" s="103" t="str">
        <f t="shared" si="3"/>
        <v xml:space="preserve">    - xform/^ph/P/  # 【q】 ==&gt; 聲： ㄆ [ph]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th</v>
      </c>
      <c r="CR12" s="98" t="str">
        <v>T</v>
      </c>
      <c r="CS12" s="99" t="str">
        <v>w</v>
      </c>
      <c r="CT12" s="83" t="str">
        <v>ㄊ</v>
      </c>
      <c r="CU12" s="101" t="str">
        <v>聲</v>
      </c>
      <c r="CV12" s="102">
        <v>2</v>
      </c>
      <c r="CX12" s="103" t="str">
        <f t="shared" si="3"/>
        <v xml:space="preserve">    - xform/^th/T/  # 【w】 ==&gt; 聲： ㄊ [th]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kh</v>
      </c>
      <c r="CR13" s="98" t="str">
        <v>K</v>
      </c>
      <c r="CS13" s="99" t="str">
        <v>d</v>
      </c>
      <c r="CT13" s="83" t="str">
        <v>ㄎ</v>
      </c>
      <c r="CU13" s="101" t="str">
        <v>聲</v>
      </c>
      <c r="CV13" s="102">
        <v>2</v>
      </c>
      <c r="CX13" s="103" t="str">
        <f t="shared" si="3"/>
        <v xml:space="preserve">    - xform/^kh/K/  # 【d】 ==&gt; 聲： ㄎ [kh]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ng</v>
      </c>
      <c r="CR14" s="98" t="str">
        <v>ŋ</v>
      </c>
      <c r="CS14" s="99" t="str">
        <v>G</v>
      </c>
      <c r="CT14" s="83" t="str">
        <v>ㄫ</v>
      </c>
      <c r="CU14" s="101" t="str">
        <v>聲</v>
      </c>
      <c r="CV14" s="102">
        <v>2</v>
      </c>
      <c r="CX14" s="103" t="str">
        <f t="shared" si="3"/>
        <v xml:space="preserve">    - xform/^ng/ŋ/  # 【G】 ==&gt; 聲： ㄫ [ng]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z(ts)</v>
      </c>
      <c r="R17" s="142" t="str">
        <f>xlit對映工具!Q3</f>
        <v>c(tsh)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/z(ts)/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z(ts)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5</v>
      </c>
      <c r="BV18" s="96" t="str">
        <f t="shared" si="5"/>
        <v xml:space="preserve">    "y": { commit: "ㄗ" }  # /c(tsh)/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c(tsh)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6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2</vt:i4>
      </vt:variant>
    </vt:vector>
  </HeadingPairs>
  <TitlesOfParts>
    <vt:vector size="9" baseType="lpstr">
      <vt:lpstr>xlit解析</vt:lpstr>
      <vt:lpstr>xlit對映工具</vt:lpstr>
      <vt:lpstr>韻母列表</vt:lpstr>
      <vt:lpstr>韻母列表 (陽聲韻轉換)</vt:lpstr>
      <vt:lpstr>韻母列表 (3)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2026-05-17T06:23:31Z</dcterms:modified>
</cp:coreProperties>
</file>