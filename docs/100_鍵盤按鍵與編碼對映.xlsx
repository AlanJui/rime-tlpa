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011F2849-2843-4914-A78E-BA487B39C5DA}" xr6:coauthVersionLast="47" xr6:coauthVersionMax="47" xr10:uidLastSave="{00000000-0000-0000-0000-000000000000}"/>
  <bookViews>
    <workbookView xWindow="-120" yWindow="-120" windowWidth="29040" windowHeight="15720" tabRatio="708" activeTab="1" xr2:uid="{B739CF38-08F3-4214-89CB-36FDF4581D42}"/>
  </bookViews>
  <sheets>
    <sheet name="【拼音類】鍵盤" sheetId="14" r:id="rId1"/>
    <sheet name="【方音符號】鍵盤" sheetId="11" r:id="rId2"/>
    <sheet name="【聲】聲母對照表" sheetId="3" r:id="rId3"/>
    <sheet name="工作表3" sheetId="12" r:id="rId4"/>
    <sheet name="【韻】韻母對照表" sheetId="4" r:id="rId5"/>
    <sheet name="工作表4" sheetId="13" r:id="rId6"/>
    <sheet name="【韻】拉丁字母加調符" sheetId="7" r:id="rId7"/>
    <sheet name="【調】聲調對照表" sheetId="5" r:id="rId8"/>
    <sheet name=" 【TL】鍵盤對映表" sheetId="1" r:id="rId9"/>
    <sheet name="工作表1" sheetId="10" r:id="rId10"/>
    <sheet name="【TL】韻母對照表" sheetId="9" r:id="rId11"/>
    <sheet name=" 【BPM2】鍵盤對映表" sheetId="6" r:id="rId12"/>
    <sheet name="【BPM2】韻母對照表" sheetId="8" r:id="rId13"/>
  </sheets>
  <definedNames>
    <definedName name="_xlnm._FilterDatabase" localSheetId="12" hidden="1">【BPM2】韻母對照表!$A$2:$A$88</definedName>
    <definedName name="_xlnm._FilterDatabase" localSheetId="10" hidden="1">【TL】韻母對照表!$A$2:$A$88</definedName>
    <definedName name="_xlnm._FilterDatabase" localSheetId="1" hidden="1">【方音符號】鍵盤!$AY$4:$BA$59</definedName>
    <definedName name="_xlnm._FilterDatabase" localSheetId="0" hidden="1">【拼音類】鍵盤!#REF!</definedName>
    <definedName name="_xlnm._FilterDatabase" localSheetId="6" hidden="1">【韻】拉丁字母加調符!$A$3:$A$85</definedName>
    <definedName name="_xlnm._FilterDatabase" localSheetId="4" hidden="1">【韻】韻母對照表!$B$3:$O$89</definedName>
    <definedName name="_xlnm.Criteria" localSheetId="1">【方音符號】鍵盤!$BX$1:$BX$2</definedName>
    <definedName name="_xlnm.Criteria" localSheetId="0">【拼音類】鍵盤!#REF!</definedName>
    <definedName name="_xlnm.Extract" localSheetId="1">【方音符號】鍵盤!$BY$4:$CC$4</definedName>
    <definedName name="_xlnm.Extract" localSheetId="0">【拼音類】鍵盤!#REF!</definedName>
    <definedName name="十五音韻母">#REF!</definedName>
    <definedName name="十五音韻母對照表">#REF!</definedName>
    <definedName name="方音符號" localSheetId="1">#REF!</definedName>
    <definedName name="方音符號" localSheetId="0">#REF!</definedName>
    <definedName name="方音符號">#REF!</definedName>
    <definedName name="台羅韻母八音反切">#REF!</definedName>
    <definedName name="白話字韻母八音反切">#REF!</definedName>
    <definedName name="字典編碼" localSheetId="1">#REF!</definedName>
    <definedName name="字典編碼" localSheetId="0">#REF!</definedName>
    <definedName name="字典編碼">#REF!</definedName>
    <definedName name="注音符號">#REF!</definedName>
    <definedName name="注音編碼">#REF!</definedName>
    <definedName name="拼音字母" localSheetId="1">#REF!</definedName>
    <definedName name="拼音字母" localSheetId="0">#REF!</definedName>
    <definedName name="拼音字母">#REF!</definedName>
    <definedName name="閩拼韻母八音反切">#REF!</definedName>
    <definedName name="聲母碼">#REF!</definedName>
    <definedName name="聲母碼表">#REF!</definedName>
    <definedName name="鍵盤位置" localSheetId="1">#REF!</definedName>
    <definedName name="鍵盤位置" localSheetId="0">#REF!</definedName>
    <definedName name="鍵盤位置">#REF!</definedName>
    <definedName name="鍵盤按鍵">#REF!</definedName>
    <definedName name="韻母碼表">#REF!</definedName>
    <definedName name="顯示注音輸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V9" i="13" l="1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D2" i="13"/>
  <c r="E2" i="13"/>
  <c r="F2" i="13"/>
  <c r="G2" i="13"/>
  <c r="H2" i="13"/>
  <c r="I2" i="13"/>
  <c r="J2" i="13"/>
  <c r="K2" i="13"/>
  <c r="L2" i="13"/>
  <c r="M2" i="13"/>
  <c r="N2" i="13"/>
  <c r="O2" i="13"/>
  <c r="P2" i="13"/>
  <c r="Q2" i="13"/>
  <c r="R2" i="13"/>
  <c r="S2" i="13"/>
  <c r="T2" i="13"/>
  <c r="U2" i="13"/>
  <c r="V2" i="13"/>
  <c r="C2" i="13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D2" i="12"/>
  <c r="E2" i="12"/>
  <c r="F2" i="12"/>
  <c r="I2" i="12"/>
  <c r="J2" i="12"/>
  <c r="G2" i="12"/>
  <c r="H2" i="12"/>
  <c r="N2" i="12"/>
  <c r="O2" i="12"/>
  <c r="K2" i="12"/>
  <c r="L2" i="12"/>
  <c r="S2" i="12"/>
  <c r="P2" i="12"/>
  <c r="Q2" i="12"/>
  <c r="R2" i="12"/>
  <c r="W2" i="12"/>
  <c r="T2" i="12"/>
  <c r="U2" i="12"/>
  <c r="V2" i="12"/>
  <c r="M2" i="12"/>
  <c r="C2" i="12"/>
  <c r="CF64" i="11"/>
  <c r="BW64" i="11"/>
  <c r="BN64" i="11"/>
  <c r="BE64" i="11"/>
  <c r="BA64" i="11"/>
  <c r="AU64" i="11"/>
  <c r="CF63" i="11"/>
  <c r="BW63" i="11"/>
  <c r="BN63" i="11"/>
  <c r="BE63" i="11"/>
  <c r="AU63" i="11"/>
  <c r="CF62" i="11"/>
  <c r="BW62" i="11"/>
  <c r="BN62" i="11"/>
  <c r="BE62" i="11"/>
  <c r="AU62" i="11"/>
  <c r="CF61" i="11"/>
  <c r="BW61" i="11"/>
  <c r="BN61" i="11"/>
  <c r="BE61" i="11"/>
  <c r="AU61" i="11"/>
  <c r="CF60" i="11"/>
  <c r="BW60" i="11"/>
  <c r="BN60" i="11"/>
  <c r="BE60" i="11"/>
  <c r="AU60" i="11"/>
  <c r="CF59" i="11"/>
  <c r="BW59" i="11"/>
  <c r="BN59" i="11"/>
  <c r="BE59" i="11"/>
  <c r="AU59" i="11"/>
  <c r="CF58" i="11"/>
  <c r="BW58" i="11"/>
  <c r="BN58" i="11"/>
  <c r="BE58" i="11"/>
  <c r="AU58" i="11"/>
  <c r="CF57" i="11"/>
  <c r="BW57" i="11"/>
  <c r="BN57" i="11"/>
  <c r="BE57" i="11"/>
  <c r="AU57" i="11"/>
  <c r="CF56" i="11"/>
  <c r="CE56" i="11"/>
  <c r="BW56" i="11"/>
  <c r="BN56" i="11"/>
  <c r="BE56" i="11"/>
  <c r="AU56" i="11"/>
  <c r="CF55" i="11"/>
  <c r="CE55" i="11"/>
  <c r="BW55" i="11"/>
  <c r="BN55" i="11"/>
  <c r="BE55" i="11"/>
  <c r="AU55" i="11"/>
  <c r="CF54" i="11"/>
  <c r="CE54" i="11"/>
  <c r="BW54" i="11"/>
  <c r="BN54" i="11"/>
  <c r="BE54" i="11"/>
  <c r="AU54" i="11"/>
  <c r="CF53" i="11"/>
  <c r="CE53" i="11"/>
  <c r="BW53" i="11"/>
  <c r="BN53" i="11"/>
  <c r="BE53" i="11"/>
  <c r="AU53" i="11"/>
  <c r="CF52" i="11"/>
  <c r="CE52" i="11"/>
  <c r="BW52" i="11"/>
  <c r="BN52" i="11"/>
  <c r="BE52" i="11"/>
  <c r="AU52" i="11"/>
  <c r="CF51" i="11"/>
  <c r="CE51" i="11"/>
  <c r="BW51" i="11"/>
  <c r="BN51" i="11"/>
  <c r="BE51" i="11"/>
  <c r="AU51" i="11"/>
  <c r="CF50" i="11"/>
  <c r="CE50" i="11"/>
  <c r="BW50" i="11"/>
  <c r="BN50" i="11"/>
  <c r="BE50" i="11"/>
  <c r="AU50" i="11"/>
  <c r="CF49" i="11"/>
  <c r="CE49" i="11"/>
  <c r="BW49" i="11"/>
  <c r="BN49" i="11"/>
  <c r="BE49" i="11"/>
  <c r="AU49" i="11"/>
  <c r="CF48" i="11"/>
  <c r="CE48" i="11"/>
  <c r="BW48" i="11"/>
  <c r="BN48" i="11"/>
  <c r="BE48" i="11"/>
  <c r="AU48" i="11"/>
  <c r="CF47" i="11"/>
  <c r="CE47" i="11"/>
  <c r="BW47" i="11"/>
  <c r="BN47" i="11"/>
  <c r="BE47" i="11"/>
  <c r="AU47" i="11"/>
  <c r="CF46" i="11"/>
  <c r="CE46" i="11"/>
  <c r="BW46" i="11"/>
  <c r="BN46" i="11"/>
  <c r="BE46" i="11"/>
  <c r="AU46" i="11"/>
  <c r="CF45" i="11"/>
  <c r="CE45" i="11"/>
  <c r="BW45" i="11"/>
  <c r="BN45" i="11"/>
  <c r="BE45" i="11"/>
  <c r="AU45" i="11"/>
  <c r="CF44" i="11"/>
  <c r="CE44" i="11"/>
  <c r="BW44" i="11"/>
  <c r="BN44" i="11"/>
  <c r="BE44" i="11"/>
  <c r="AU44" i="11"/>
  <c r="CF43" i="11"/>
  <c r="CE43" i="11"/>
  <c r="BW43" i="11"/>
  <c r="BN43" i="11"/>
  <c r="BE43" i="11"/>
  <c r="AU43" i="11"/>
  <c r="CF42" i="11"/>
  <c r="CE42" i="11"/>
  <c r="BW42" i="11"/>
  <c r="BN42" i="11"/>
  <c r="BE42" i="11"/>
  <c r="AU42" i="11"/>
  <c r="CF41" i="11"/>
  <c r="CE41" i="11"/>
  <c r="BW41" i="11"/>
  <c r="BN41" i="11"/>
  <c r="BE41" i="11"/>
  <c r="AU41" i="11"/>
  <c r="CF40" i="11"/>
  <c r="CE40" i="11"/>
  <c r="BW40" i="11"/>
  <c r="BN40" i="11"/>
  <c r="BE40" i="11"/>
  <c r="AU40" i="11"/>
  <c r="CF39" i="11"/>
  <c r="CE39" i="11"/>
  <c r="BW39" i="11"/>
  <c r="BN39" i="11"/>
  <c r="BE39" i="11"/>
  <c r="AU39" i="11"/>
  <c r="CF38" i="11"/>
  <c r="CE38" i="11"/>
  <c r="BW38" i="11"/>
  <c r="BN38" i="11"/>
  <c r="BE38" i="11"/>
  <c r="AU38" i="11"/>
  <c r="CF37" i="11"/>
  <c r="CE37" i="11"/>
  <c r="BW37" i="11"/>
  <c r="BN37" i="11"/>
  <c r="BE37" i="11"/>
  <c r="AU37" i="11"/>
  <c r="CF36" i="11"/>
  <c r="CE36" i="11"/>
  <c r="BW36" i="11"/>
  <c r="BN36" i="11"/>
  <c r="BE36" i="11"/>
  <c r="AU36" i="11"/>
  <c r="CF35" i="11"/>
  <c r="CE35" i="11"/>
  <c r="BW35" i="11"/>
  <c r="BN35" i="11"/>
  <c r="BE35" i="11"/>
  <c r="AU35" i="11"/>
  <c r="CF34" i="11"/>
  <c r="CE34" i="11"/>
  <c r="BW34" i="11"/>
  <c r="BN34" i="11"/>
  <c r="BE34" i="11"/>
  <c r="AU34" i="11"/>
  <c r="CF33" i="11"/>
  <c r="CE33" i="11"/>
  <c r="BW33" i="11"/>
  <c r="BN33" i="11"/>
  <c r="BE33" i="11"/>
  <c r="AU33" i="11"/>
  <c r="CF32" i="11"/>
  <c r="BW32" i="11"/>
  <c r="BN32" i="11"/>
  <c r="BE32" i="11"/>
  <c r="AU32" i="11"/>
  <c r="CF31" i="11"/>
  <c r="CE31" i="11"/>
  <c r="BW31" i="11"/>
  <c r="BN31" i="11"/>
  <c r="BE31" i="11"/>
  <c r="AU31" i="11"/>
  <c r="CF30" i="11"/>
  <c r="CE30" i="11"/>
  <c r="BW30" i="11"/>
  <c r="BN30" i="11"/>
  <c r="BE30" i="11"/>
  <c r="AU30" i="11"/>
  <c r="CF29" i="11"/>
  <c r="CE29" i="11"/>
  <c r="BW29" i="11"/>
  <c r="BN29" i="11"/>
  <c r="BE29" i="11"/>
  <c r="AU29" i="11"/>
  <c r="CF28" i="11"/>
  <c r="CE28" i="11"/>
  <c r="BW28" i="11"/>
  <c r="BN28" i="11"/>
  <c r="BE28" i="11"/>
  <c r="AU28" i="11"/>
  <c r="CF27" i="11"/>
  <c r="CE27" i="11"/>
  <c r="BW27" i="11"/>
  <c r="BV27" i="11"/>
  <c r="BN27" i="11"/>
  <c r="BM27" i="11"/>
  <c r="BE27" i="11"/>
  <c r="AU27" i="11"/>
  <c r="CF26" i="11"/>
  <c r="CE26" i="11"/>
  <c r="BW26" i="11"/>
  <c r="BV26" i="11"/>
  <c r="BN26" i="11"/>
  <c r="BM26" i="11"/>
  <c r="BE26" i="11"/>
  <c r="AU26" i="11"/>
  <c r="CF25" i="11"/>
  <c r="BW25" i="11"/>
  <c r="BV25" i="11"/>
  <c r="BN25" i="11"/>
  <c r="BM25" i="11"/>
  <c r="BE25" i="11"/>
  <c r="AU25" i="11"/>
  <c r="CF24" i="11"/>
  <c r="BW24" i="11"/>
  <c r="BV24" i="11"/>
  <c r="BN24" i="11"/>
  <c r="BM24" i="11"/>
  <c r="BE24" i="11"/>
  <c r="AU24" i="11"/>
  <c r="CF23" i="11"/>
  <c r="BW23" i="11"/>
  <c r="BV23" i="11"/>
  <c r="BN23" i="11"/>
  <c r="BM23" i="11"/>
  <c r="BE23" i="11"/>
  <c r="AU23" i="11"/>
  <c r="CF22" i="11"/>
  <c r="BW22" i="11"/>
  <c r="BV22" i="11"/>
  <c r="BN22" i="11"/>
  <c r="BM22" i="11"/>
  <c r="BE22" i="11"/>
  <c r="AU22" i="11"/>
  <c r="CF21" i="11"/>
  <c r="BW21" i="11"/>
  <c r="BV21" i="11"/>
  <c r="BN21" i="11"/>
  <c r="BM21" i="11"/>
  <c r="BE21" i="11"/>
  <c r="AU21" i="11"/>
  <c r="CF20" i="11"/>
  <c r="BW20" i="11"/>
  <c r="BV20" i="11"/>
  <c r="BN20" i="11"/>
  <c r="BM20" i="11"/>
  <c r="BE20" i="11"/>
  <c r="AU20" i="11"/>
  <c r="CF19" i="11"/>
  <c r="BW19" i="11"/>
  <c r="BN19" i="11"/>
  <c r="BM19" i="11"/>
  <c r="BE19" i="11"/>
  <c r="AU19" i="11"/>
  <c r="CF18" i="11"/>
  <c r="BW18" i="11"/>
  <c r="BN18" i="11"/>
  <c r="BM18" i="11"/>
  <c r="BE18" i="11"/>
  <c r="AU18" i="11"/>
  <c r="CF17" i="11"/>
  <c r="BW17" i="11"/>
  <c r="BN17" i="11"/>
  <c r="BM17" i="11"/>
  <c r="BE17" i="11"/>
  <c r="AU17" i="11"/>
  <c r="CF16" i="11"/>
  <c r="BW16" i="11"/>
  <c r="BN16" i="11"/>
  <c r="BM16" i="11"/>
  <c r="BE16" i="11"/>
  <c r="AU16" i="11"/>
  <c r="CF15" i="11"/>
  <c r="BW15" i="11"/>
  <c r="BN15" i="11"/>
  <c r="BM15" i="11"/>
  <c r="BE15" i="11"/>
  <c r="AU15" i="11"/>
  <c r="CF14" i="11"/>
  <c r="BW14" i="11"/>
  <c r="BN14" i="11"/>
  <c r="BM14" i="11"/>
  <c r="BE14" i="11"/>
  <c r="AU14" i="11"/>
  <c r="CF13" i="11"/>
  <c r="BW13" i="11"/>
  <c r="BN13" i="11"/>
  <c r="BM13" i="11"/>
  <c r="BE13" i="11"/>
  <c r="AU13" i="11"/>
  <c r="CF12" i="11"/>
  <c r="BW12" i="11"/>
  <c r="BN12" i="11"/>
  <c r="BM12" i="11"/>
  <c r="BE12" i="11"/>
  <c r="AU12" i="11"/>
  <c r="CF11" i="11"/>
  <c r="BW11" i="11"/>
  <c r="BN11" i="11"/>
  <c r="BM11" i="11"/>
  <c r="BE11" i="11"/>
  <c r="AU11" i="11"/>
  <c r="CF10" i="11"/>
  <c r="BW10" i="11"/>
  <c r="BN10" i="11"/>
  <c r="BM10" i="11"/>
  <c r="BE10" i="11"/>
  <c r="AU10" i="11"/>
  <c r="CF9" i="11"/>
  <c r="BW9" i="11"/>
  <c r="BN9" i="11"/>
  <c r="BM9" i="11"/>
  <c r="BE9" i="11"/>
  <c r="AU9" i="11"/>
  <c r="CF8" i="11"/>
  <c r="BW8" i="11"/>
  <c r="BN8" i="11"/>
  <c r="BM8" i="11"/>
  <c r="BE8" i="11"/>
  <c r="AU8" i="11"/>
  <c r="CF7" i="11"/>
  <c r="BW7" i="11"/>
  <c r="BN7" i="11"/>
  <c r="BM7" i="11"/>
  <c r="BE7" i="11"/>
  <c r="AU7" i="11"/>
  <c r="CF6" i="11"/>
  <c r="BW6" i="11"/>
  <c r="BN6" i="11"/>
  <c r="BM6" i="11"/>
  <c r="BE6" i="11"/>
  <c r="AU6" i="11"/>
  <c r="CF5" i="11"/>
  <c r="BW5" i="11"/>
  <c r="BN5" i="11"/>
  <c r="BM5" i="11"/>
  <c r="BF5" i="11" a="1"/>
  <c r="BF5" i="11" s="1"/>
  <c r="BE5" i="11"/>
  <c r="AU5" i="11"/>
  <c r="AE33" i="1"/>
  <c r="AE32" i="1" a="1"/>
  <c r="AE32" i="1" s="1"/>
  <c r="AD32" i="1" s="1"/>
  <c r="AE31" i="1"/>
  <c r="AD31" i="1"/>
  <c r="AE15" i="1" a="1"/>
  <c r="AE15" i="1" s="1"/>
  <c r="AD15" i="1" s="1"/>
  <c r="AE14" i="1" a="1"/>
  <c r="AE14" i="1" s="1"/>
  <c r="AD14" i="1" s="1"/>
  <c r="B41" i="4"/>
  <c r="B57" i="4"/>
  <c r="B56" i="4"/>
  <c r="B67" i="4"/>
  <c r="B66" i="4"/>
  <c r="B62" i="4"/>
  <c r="B61" i="4"/>
  <c r="D106" i="4"/>
  <c r="N59" i="4"/>
  <c r="B59" i="4"/>
  <c r="B60" i="4"/>
  <c r="N58" i="4"/>
  <c r="AA15" i="6" a="1"/>
  <c r="AA15" i="6" s="1"/>
  <c r="AA32" i="6" s="1"/>
  <c r="Z32" i="6" s="1"/>
  <c r="AA14" i="6" a="1"/>
  <c r="AA14" i="6" s="1"/>
  <c r="Z14" i="6" s="1"/>
  <c r="C27" i="10" a="1"/>
  <c r="C27" i="10" s="1"/>
  <c r="C29" i="10" a="1"/>
  <c r="C29" i="10" s="1"/>
  <c r="C22" i="10" a="1"/>
  <c r="C22" i="10" s="1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X11" i="10"/>
  <c r="Y11" i="10"/>
  <c r="Z11" i="10"/>
  <c r="AA11" i="10"/>
  <c r="AB11" i="10"/>
  <c r="AC11" i="10"/>
  <c r="AD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C4" i="10"/>
  <c r="C14" i="10" a="1"/>
  <c r="C14" i="10" s="1"/>
  <c r="C13" i="10" a="1"/>
  <c r="C13" i="10" s="1"/>
  <c r="C12" i="10" a="1"/>
  <c r="C12" i="10" s="1"/>
  <c r="C7" i="10" a="1"/>
  <c r="C7" i="10" s="1"/>
  <c r="C5" i="10" a="1"/>
  <c r="C5" i="10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3" i="1" a="1"/>
  <c r="G3" i="1" s="1"/>
  <c r="P3" i="1" a="1"/>
  <c r="P3" i="1" s="1"/>
  <c r="P4" i="1" a="1"/>
  <c r="P4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" i="1" a="1"/>
  <c r="P2" i="1" s="1"/>
  <c r="B100" i="4"/>
  <c r="N100" i="4"/>
  <c r="N19" i="4"/>
  <c r="AA33" i="6" a="1"/>
  <c r="AA33" i="6" s="1"/>
  <c r="Z33" i="6" s="1"/>
  <c r="P3" i="4"/>
  <c r="V3" i="4" s="1"/>
  <c r="N4" i="4"/>
  <c r="H3" i="8" s="1" a="1"/>
  <c r="H3" i="8" s="1"/>
  <c r="L3" i="8" s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1" i="4"/>
  <c r="L7" i="7"/>
  <c r="W7" i="7" s="1"/>
  <c r="K7" i="7"/>
  <c r="V7" i="7" s="1"/>
  <c r="J7" i="7"/>
  <c r="U7" i="7" s="1"/>
  <c r="I7" i="7"/>
  <c r="T7" i="7" s="1"/>
  <c r="H7" i="7"/>
  <c r="S7" i="7" s="1"/>
  <c r="G7" i="7"/>
  <c r="R7" i="7" s="1"/>
  <c r="F7" i="7"/>
  <c r="Q7" i="7" s="1"/>
  <c r="E7" i="7"/>
  <c r="P7" i="7" s="1"/>
  <c r="D7" i="7"/>
  <c r="O7" i="7" s="1"/>
  <c r="C7" i="7"/>
  <c r="N7" i="7" s="1"/>
  <c r="L5" i="7"/>
  <c r="W5" i="7" s="1"/>
  <c r="K5" i="7"/>
  <c r="V5" i="7" s="1"/>
  <c r="J5" i="7"/>
  <c r="U5" i="7" s="1"/>
  <c r="I5" i="7"/>
  <c r="T5" i="7" s="1"/>
  <c r="H5" i="7"/>
  <c r="S5" i="7" s="1"/>
  <c r="G5" i="7"/>
  <c r="R5" i="7" s="1"/>
  <c r="F5" i="7"/>
  <c r="Q5" i="7" s="1"/>
  <c r="E5" i="7"/>
  <c r="P5" i="7" s="1"/>
  <c r="D5" i="7"/>
  <c r="O5" i="7" s="1"/>
  <c r="C5" i="7"/>
  <c r="N5" i="7" s="1"/>
  <c r="L10" i="7"/>
  <c r="W10" i="7" s="1"/>
  <c r="K10" i="7"/>
  <c r="V10" i="7" s="1"/>
  <c r="J10" i="7"/>
  <c r="U10" i="7" s="1"/>
  <c r="I10" i="7"/>
  <c r="T10" i="7" s="1"/>
  <c r="H10" i="7"/>
  <c r="S10" i="7" s="1"/>
  <c r="G10" i="7"/>
  <c r="R10" i="7" s="1"/>
  <c r="F10" i="7"/>
  <c r="Q10" i="7" s="1"/>
  <c r="E10" i="7"/>
  <c r="P10" i="7" s="1"/>
  <c r="D10" i="7"/>
  <c r="O10" i="7" s="1"/>
  <c r="C10" i="7"/>
  <c r="N10" i="7" s="1"/>
  <c r="L9" i="7"/>
  <c r="W9" i="7" s="1"/>
  <c r="K9" i="7"/>
  <c r="V9" i="7" s="1"/>
  <c r="J9" i="7"/>
  <c r="U9" i="7" s="1"/>
  <c r="I9" i="7"/>
  <c r="T9" i="7" s="1"/>
  <c r="H9" i="7"/>
  <c r="S9" i="7" s="1"/>
  <c r="G9" i="7"/>
  <c r="R9" i="7" s="1"/>
  <c r="F9" i="7"/>
  <c r="Q9" i="7" s="1"/>
  <c r="E9" i="7"/>
  <c r="P9" i="7" s="1"/>
  <c r="D9" i="7"/>
  <c r="O9" i="7" s="1"/>
  <c r="C9" i="7"/>
  <c r="N9" i="7" s="1"/>
  <c r="L8" i="7"/>
  <c r="W8" i="7" s="1"/>
  <c r="K8" i="7"/>
  <c r="V8" i="7" s="1"/>
  <c r="J8" i="7"/>
  <c r="U8" i="7" s="1"/>
  <c r="I8" i="7"/>
  <c r="T8" i="7" s="1"/>
  <c r="H8" i="7"/>
  <c r="S8" i="7" s="1"/>
  <c r="G8" i="7"/>
  <c r="R8" i="7" s="1"/>
  <c r="F8" i="7"/>
  <c r="Q8" i="7" s="1"/>
  <c r="E8" i="7"/>
  <c r="P8" i="7" s="1"/>
  <c r="D8" i="7"/>
  <c r="O8" i="7" s="1"/>
  <c r="C8" i="7"/>
  <c r="N8" i="7" s="1"/>
  <c r="L6" i="7"/>
  <c r="W6" i="7" s="1"/>
  <c r="K6" i="7"/>
  <c r="V6" i="7" s="1"/>
  <c r="J6" i="7"/>
  <c r="U6" i="7" s="1"/>
  <c r="I6" i="7"/>
  <c r="T6" i="7" s="1"/>
  <c r="H6" i="7"/>
  <c r="S6" i="7" s="1"/>
  <c r="G6" i="7"/>
  <c r="R6" i="7" s="1"/>
  <c r="F6" i="7"/>
  <c r="Q6" i="7" s="1"/>
  <c r="E6" i="7"/>
  <c r="P6" i="7" s="1"/>
  <c r="D6" i="7"/>
  <c r="O6" i="7" s="1"/>
  <c r="C6" i="7"/>
  <c r="N6" i="7" s="1"/>
  <c r="L4" i="7"/>
  <c r="W4" i="7" s="1"/>
  <c r="K4" i="7"/>
  <c r="V4" i="7" s="1"/>
  <c r="J4" i="7"/>
  <c r="U4" i="7" s="1"/>
  <c r="I4" i="7"/>
  <c r="T4" i="7" s="1"/>
  <c r="H4" i="7"/>
  <c r="S4" i="7" s="1"/>
  <c r="G4" i="7"/>
  <c r="R4" i="7" s="1"/>
  <c r="F4" i="7"/>
  <c r="Q4" i="7" s="1"/>
  <c r="E4" i="7"/>
  <c r="P4" i="7" s="1"/>
  <c r="D4" i="7"/>
  <c r="O4" i="7" s="1"/>
  <c r="C4" i="7"/>
  <c r="N4" i="7" s="1"/>
  <c r="AV5" i="11" l="1" a="1"/>
  <c r="AE16" i="1"/>
  <c r="C20" i="10" a="1"/>
  <c r="C20" i="10" s="1"/>
  <c r="B3" i="8" a="1"/>
  <c r="B3" i="8" s="1"/>
  <c r="F3" i="8" s="1"/>
  <c r="C28" i="10" a="1"/>
  <c r="C28" i="10" s="1"/>
  <c r="H3" i="9" a="1"/>
  <c r="R37" i="9" s="1"/>
  <c r="P4" i="4" a="1"/>
  <c r="P4" i="4" s="1"/>
  <c r="V4" i="4" a="1"/>
  <c r="AF23" i="4" s="1"/>
  <c r="L52" i="8"/>
  <c r="L36" i="8"/>
  <c r="L20" i="8"/>
  <c r="L4" i="8"/>
  <c r="L35" i="8"/>
  <c r="L65" i="8"/>
  <c r="L49" i="8"/>
  <c r="L33" i="8"/>
  <c r="L17" i="8"/>
  <c r="L48" i="8"/>
  <c r="L63" i="8"/>
  <c r="L47" i="8"/>
  <c r="L31" i="8"/>
  <c r="L15" i="8"/>
  <c r="L62" i="8"/>
  <c r="L46" i="8"/>
  <c r="L30" i="8"/>
  <c r="L14" i="8"/>
  <c r="L61" i="8"/>
  <c r="L45" i="8"/>
  <c r="L29" i="8"/>
  <c r="L13" i="8"/>
  <c r="L60" i="8"/>
  <c r="L44" i="8"/>
  <c r="L28" i="8"/>
  <c r="L12" i="8"/>
  <c r="L59" i="8"/>
  <c r="L43" i="8"/>
  <c r="L27" i="8"/>
  <c r="L11" i="8"/>
  <c r="L58" i="8"/>
  <c r="L42" i="8"/>
  <c r="L26" i="8"/>
  <c r="L10" i="8"/>
  <c r="L53" i="8"/>
  <c r="L37" i="8"/>
  <c r="L21" i="8"/>
  <c r="L5" i="8"/>
  <c r="L51" i="8"/>
  <c r="L19" i="8"/>
  <c r="L57" i="8"/>
  <c r="L41" i="8"/>
  <c r="L25" i="8"/>
  <c r="L9" i="8"/>
  <c r="L56" i="8"/>
  <c r="L40" i="8"/>
  <c r="L24" i="8"/>
  <c r="L8" i="8"/>
  <c r="L32" i="8"/>
  <c r="B3" i="9" a="1"/>
  <c r="B3" i="9" s="1"/>
  <c r="L55" i="8"/>
  <c r="L39" i="8"/>
  <c r="L23" i="8"/>
  <c r="L7" i="8"/>
  <c r="L67" i="8"/>
  <c r="L66" i="8"/>
  <c r="L50" i="8"/>
  <c r="L34" i="8"/>
  <c r="L18" i="8"/>
  <c r="L64" i="8"/>
  <c r="L16" i="8"/>
  <c r="L54" i="8"/>
  <c r="L38" i="8"/>
  <c r="L22" i="8"/>
  <c r="L6" i="8"/>
  <c r="AA34" i="6"/>
  <c r="R59" i="8"/>
  <c r="O54" i="8"/>
  <c r="R40" i="8"/>
  <c r="O35" i="8"/>
  <c r="R24" i="8"/>
  <c r="O19" i="8"/>
  <c r="R12" i="8"/>
  <c r="O6" i="8"/>
  <c r="O64" i="8"/>
  <c r="R53" i="8"/>
  <c r="R49" i="8"/>
  <c r="O45" i="8"/>
  <c r="R34" i="8"/>
  <c r="O29" i="8"/>
  <c r="R18" i="8"/>
  <c r="O12" i="8"/>
  <c r="O61" i="8"/>
  <c r="O47" i="8"/>
  <c r="O26" i="8"/>
  <c r="O66" i="8"/>
  <c r="O36" i="8"/>
  <c r="R65" i="8"/>
  <c r="O41" i="8"/>
  <c r="R6" i="8"/>
  <c r="O46" i="8"/>
  <c r="R9" i="8"/>
  <c r="R64" i="8"/>
  <c r="O59" i="8"/>
  <c r="R45" i="8"/>
  <c r="O40" i="8"/>
  <c r="R29" i="8"/>
  <c r="O24" i="8"/>
  <c r="R15" i="8"/>
  <c r="O9" i="8"/>
  <c r="R58" i="8"/>
  <c r="O53" i="8"/>
  <c r="O49" i="8"/>
  <c r="R39" i="8"/>
  <c r="O34" i="8"/>
  <c r="R23" i="8"/>
  <c r="O15" i="8"/>
  <c r="R5" i="8"/>
  <c r="R63" i="8"/>
  <c r="O58" i="8"/>
  <c r="R44" i="8"/>
  <c r="O39" i="8"/>
  <c r="R28" i="8"/>
  <c r="O23" i="8"/>
  <c r="O18" i="8"/>
  <c r="R8" i="8"/>
  <c r="R66" i="8"/>
  <c r="O42" i="8"/>
  <c r="R13" i="8"/>
  <c r="R55" i="8"/>
  <c r="O31" i="8"/>
  <c r="R16" i="8"/>
  <c r="O10" i="8"/>
  <c r="O55" i="8"/>
  <c r="R41" i="8"/>
  <c r="O20" i="8"/>
  <c r="O13" i="8"/>
  <c r="O60" i="8"/>
  <c r="R50" i="8"/>
  <c r="R30" i="8"/>
  <c r="O16" i="8"/>
  <c r="R54" i="8"/>
  <c r="R35" i="8"/>
  <c r="R19" i="8"/>
  <c r="R68" i="8"/>
  <c r="O63" i="8"/>
  <c r="O44" i="8"/>
  <c r="R33" i="8"/>
  <c r="O28" i="8"/>
  <c r="R11" i="8"/>
  <c r="O5" i="8"/>
  <c r="O68" i="8"/>
  <c r="R57" i="8"/>
  <c r="R52" i="8"/>
  <c r="R48" i="8"/>
  <c r="R38" i="8"/>
  <c r="O33" i="8"/>
  <c r="R22" i="8"/>
  <c r="R14" i="8"/>
  <c r="O8" i="8"/>
  <c r="R62" i="8"/>
  <c r="O57" i="8"/>
  <c r="O52" i="8"/>
  <c r="O48" i="8"/>
  <c r="R43" i="8"/>
  <c r="O38" i="8"/>
  <c r="R27" i="8"/>
  <c r="O22" i="8"/>
  <c r="R17" i="8"/>
  <c r="O11" i="8"/>
  <c r="R67" i="8"/>
  <c r="O62" i="8"/>
  <c r="O43" i="8"/>
  <c r="R32" i="8"/>
  <c r="O27" i="8"/>
  <c r="O14" i="8"/>
  <c r="R4" i="8"/>
  <c r="O67" i="8"/>
  <c r="R56" i="8"/>
  <c r="R37" i="8"/>
  <c r="O32" i="8"/>
  <c r="R21" i="8"/>
  <c r="O17" i="8"/>
  <c r="R7" i="8"/>
  <c r="R61" i="8"/>
  <c r="O56" i="8"/>
  <c r="R51" i="8"/>
  <c r="R47" i="8"/>
  <c r="R42" i="8"/>
  <c r="O37" i="8"/>
  <c r="R26" i="8"/>
  <c r="O21" i="8"/>
  <c r="R10" i="8"/>
  <c r="O4" i="8"/>
  <c r="O51" i="8"/>
  <c r="R31" i="8"/>
  <c r="O7" i="8"/>
  <c r="R36" i="8"/>
  <c r="R20" i="8"/>
  <c r="R60" i="8"/>
  <c r="R25" i="8"/>
  <c r="R46" i="8"/>
  <c r="O25" i="8"/>
  <c r="O65" i="8"/>
  <c r="O50" i="8"/>
  <c r="O30" i="8"/>
  <c r="CL42" i="1" a="1"/>
  <c r="CL42" i="1" s="1"/>
  <c r="CK42" i="1" a="1"/>
  <c r="CK42" i="1" s="1"/>
  <c r="CJ42" i="1" a="1"/>
  <c r="CJ42" i="1" s="1"/>
  <c r="CI42" i="1" a="1"/>
  <c r="CI42" i="1" s="1"/>
  <c r="CH42" i="1" a="1"/>
  <c r="CH42" i="1" s="1"/>
  <c r="CG42" i="1" a="1"/>
  <c r="CG42" i="1" s="1"/>
  <c r="CF42" i="1" a="1"/>
  <c r="CF42" i="1" s="1"/>
  <c r="CE42" i="1" a="1"/>
  <c r="CE42" i="1" s="1"/>
  <c r="CD42" i="1" a="1"/>
  <c r="CD42" i="1" s="1"/>
  <c r="CC42" i="1" a="1"/>
  <c r="CC42" i="1" s="1"/>
  <c r="CB42" i="1" a="1"/>
  <c r="CB42" i="1" s="1"/>
  <c r="CA42" i="1" a="1"/>
  <c r="CA42" i="1" s="1"/>
  <c r="BZ42" i="1" a="1"/>
  <c r="BZ42" i="1" s="1"/>
  <c r="BY42" i="1" a="1"/>
  <c r="BY42" i="1" s="1"/>
  <c r="BX42" i="1" a="1"/>
  <c r="BX42" i="1" s="1"/>
  <c r="BW42" i="1" a="1"/>
  <c r="BW42" i="1" s="1"/>
  <c r="BV42" i="1" a="1"/>
  <c r="BV42" i="1" s="1"/>
  <c r="BU42" i="1" a="1"/>
  <c r="BU42" i="1" s="1"/>
  <c r="BT42" i="1" a="1"/>
  <c r="BT42" i="1" s="1"/>
  <c r="BS42" i="1" a="1"/>
  <c r="BS42" i="1" s="1"/>
  <c r="BR42" i="1" a="1"/>
  <c r="BR42" i="1" s="1"/>
  <c r="BQ42" i="1" a="1"/>
  <c r="BQ42" i="1" s="1"/>
  <c r="BP42" i="1" a="1"/>
  <c r="BP42" i="1" s="1"/>
  <c r="BO42" i="1" a="1"/>
  <c r="BO42" i="1" s="1"/>
  <c r="BN42" i="1" a="1"/>
  <c r="BN42" i="1" s="1"/>
  <c r="BM42" i="1" a="1"/>
  <c r="BM42" i="1" s="1"/>
  <c r="BL42" i="1" a="1"/>
  <c r="BL42" i="1" s="1"/>
  <c r="BK42" i="1" a="1"/>
  <c r="BK42" i="1" s="1"/>
  <c r="BJ42" i="1" a="1"/>
  <c r="BJ42" i="1" s="1"/>
  <c r="BI42" i="1" a="1"/>
  <c r="BI42" i="1" s="1"/>
  <c r="BH42" i="1" a="1"/>
  <c r="BH42" i="1" s="1"/>
  <c r="BG42" i="1" a="1"/>
  <c r="BG42" i="1" s="1"/>
  <c r="BF42" i="1" a="1"/>
  <c r="BF42" i="1" s="1"/>
  <c r="BE42" i="1" a="1"/>
  <c r="BE42" i="1" s="1"/>
  <c r="BD42" i="1" a="1"/>
  <c r="BD42" i="1" s="1"/>
  <c r="BC42" i="1" a="1"/>
  <c r="BC42" i="1" s="1"/>
  <c r="BB42" i="1" a="1"/>
  <c r="BB42" i="1" s="1"/>
  <c r="BA42" i="1" a="1"/>
  <c r="BA42" i="1" s="1"/>
  <c r="AZ42" i="1" a="1"/>
  <c r="AZ42" i="1" s="1"/>
  <c r="AY42" i="1" a="1"/>
  <c r="AY42" i="1" s="1"/>
  <c r="AX42" i="1" a="1"/>
  <c r="AX42" i="1" s="1"/>
  <c r="AW42" i="1" a="1"/>
  <c r="AW42" i="1" s="1"/>
  <c r="AV42" i="1" a="1"/>
  <c r="AV42" i="1" s="1"/>
  <c r="AU42" i="1" a="1"/>
  <c r="AU42" i="1" s="1"/>
  <c r="AT42" i="1" a="1"/>
  <c r="AT42" i="1" s="1"/>
  <c r="AS42" i="1" a="1"/>
  <c r="AS42" i="1" s="1"/>
  <c r="AR42" i="1" a="1"/>
  <c r="AR42" i="1" s="1"/>
  <c r="AQ42" i="1" a="1"/>
  <c r="AQ42" i="1" s="1"/>
  <c r="AP42" i="1" a="1"/>
  <c r="AP42" i="1" s="1"/>
  <c r="AO42" i="1" a="1"/>
  <c r="AO42" i="1" s="1"/>
  <c r="AN42" i="1" a="1"/>
  <c r="AN42" i="1" s="1"/>
  <c r="AM42" i="1" a="1"/>
  <c r="AM42" i="1" s="1"/>
  <c r="AL42" i="1" a="1"/>
  <c r="AL42" i="1" s="1"/>
  <c r="AK42" i="1" a="1"/>
  <c r="AK42" i="1" s="1"/>
  <c r="AJ42" i="1" a="1"/>
  <c r="AJ42" i="1" s="1"/>
  <c r="AI42" i="1" a="1"/>
  <c r="AI42" i="1" s="1"/>
  <c r="AH42" i="1" a="1"/>
  <c r="AH42" i="1" s="1"/>
  <c r="AG42" i="1" a="1"/>
  <c r="AG42" i="1" s="1"/>
  <c r="AF42" i="1" a="1"/>
  <c r="AF42" i="1" s="1"/>
  <c r="AE42" i="1" a="1"/>
  <c r="AE42" i="1" s="1"/>
  <c r="CL25" i="1" a="1"/>
  <c r="CL25" i="1" s="1"/>
  <c r="CK25" i="1" a="1"/>
  <c r="CK25" i="1" s="1"/>
  <c r="CJ25" i="1" a="1"/>
  <c r="CJ25" i="1" s="1"/>
  <c r="CI25" i="1" a="1"/>
  <c r="CI25" i="1" s="1"/>
  <c r="CH25" i="1" a="1"/>
  <c r="CH25" i="1" s="1"/>
  <c r="CG25" i="1" a="1"/>
  <c r="CG25" i="1" s="1"/>
  <c r="CF25" i="1" a="1"/>
  <c r="CF25" i="1" s="1"/>
  <c r="CE25" i="1" a="1"/>
  <c r="CE25" i="1" s="1"/>
  <c r="CD25" i="1" a="1"/>
  <c r="CD25" i="1" s="1"/>
  <c r="CC25" i="1" a="1"/>
  <c r="CC25" i="1" s="1"/>
  <c r="CB25" i="1" a="1"/>
  <c r="CB25" i="1" s="1"/>
  <c r="CA25" i="1" a="1"/>
  <c r="CA25" i="1" s="1"/>
  <c r="BZ25" i="1" a="1"/>
  <c r="BZ25" i="1" s="1"/>
  <c r="BY25" i="1" a="1"/>
  <c r="BY25" i="1" s="1"/>
  <c r="BX25" i="1" a="1"/>
  <c r="BX25" i="1" s="1"/>
  <c r="BW25" i="1" a="1"/>
  <c r="BW25" i="1" s="1"/>
  <c r="BV25" i="1" a="1"/>
  <c r="BV25" i="1" s="1"/>
  <c r="BU25" i="1" a="1"/>
  <c r="BU25" i="1" s="1"/>
  <c r="BT25" i="1" a="1"/>
  <c r="BT25" i="1" s="1"/>
  <c r="BS25" i="1" a="1"/>
  <c r="BS25" i="1" s="1"/>
  <c r="BR25" i="1" a="1"/>
  <c r="BR25" i="1" s="1"/>
  <c r="BQ25" i="1" a="1"/>
  <c r="BQ25" i="1" s="1"/>
  <c r="BP25" i="1" a="1"/>
  <c r="BP25" i="1" s="1"/>
  <c r="BO25" i="1" a="1"/>
  <c r="BO25" i="1" s="1"/>
  <c r="BN25" i="1" a="1"/>
  <c r="BN25" i="1" s="1"/>
  <c r="BM25" i="1" a="1"/>
  <c r="BM25" i="1" s="1"/>
  <c r="BL25" i="1" a="1"/>
  <c r="BL25" i="1" s="1"/>
  <c r="BK25" i="1" a="1"/>
  <c r="BK25" i="1" s="1"/>
  <c r="BJ25" i="1" a="1"/>
  <c r="BJ25" i="1" s="1"/>
  <c r="BI25" i="1" a="1"/>
  <c r="BI25" i="1" s="1"/>
  <c r="BH25" i="1" a="1"/>
  <c r="BH25" i="1" s="1"/>
  <c r="BG25" i="1" a="1"/>
  <c r="BG25" i="1" s="1"/>
  <c r="BF25" i="1" a="1"/>
  <c r="BF25" i="1" s="1"/>
  <c r="BE25" i="1" a="1"/>
  <c r="BE25" i="1" s="1"/>
  <c r="BD25" i="1" a="1"/>
  <c r="BD25" i="1" s="1"/>
  <c r="BC25" i="1" a="1"/>
  <c r="BC25" i="1" s="1"/>
  <c r="BB25" i="1" a="1"/>
  <c r="BB25" i="1" s="1"/>
  <c r="BA25" i="1" a="1"/>
  <c r="BA25" i="1" s="1"/>
  <c r="AZ25" i="1" a="1"/>
  <c r="AZ25" i="1" s="1"/>
  <c r="AY25" i="1" a="1"/>
  <c r="AY25" i="1" s="1"/>
  <c r="AX25" i="1" a="1"/>
  <c r="AX25" i="1" s="1"/>
  <c r="AW25" i="1" a="1"/>
  <c r="AW25" i="1" s="1"/>
  <c r="AV25" i="1" a="1"/>
  <c r="AV25" i="1" s="1"/>
  <c r="AU25" i="1" a="1"/>
  <c r="AU25" i="1" s="1"/>
  <c r="AT25" i="1" a="1"/>
  <c r="AT25" i="1" s="1"/>
  <c r="AS25" i="1" a="1"/>
  <c r="AS25" i="1" s="1"/>
  <c r="AR25" i="1" a="1"/>
  <c r="AR25" i="1" s="1"/>
  <c r="AQ25" i="1" a="1"/>
  <c r="AQ25" i="1" s="1"/>
  <c r="AP25" i="1" a="1"/>
  <c r="AP25" i="1" s="1"/>
  <c r="AO25" i="1" a="1"/>
  <c r="AO25" i="1" s="1"/>
  <c r="AN25" i="1" a="1"/>
  <c r="AN25" i="1" s="1"/>
  <c r="AM25" i="1" a="1"/>
  <c r="AM25" i="1" s="1"/>
  <c r="AL25" i="1" a="1"/>
  <c r="AL25" i="1" s="1"/>
  <c r="AK25" i="1" a="1"/>
  <c r="AK25" i="1" s="1"/>
  <c r="AJ25" i="1" a="1"/>
  <c r="AJ25" i="1" s="1"/>
  <c r="AI25" i="1" a="1"/>
  <c r="AI25" i="1" s="1"/>
  <c r="AH25" i="1" a="1"/>
  <c r="AH25" i="1" s="1"/>
  <c r="AG25" i="1" a="1"/>
  <c r="AG25" i="1" s="1"/>
  <c r="AF25" i="1" a="1"/>
  <c r="AF25" i="1" s="1"/>
  <c r="AE25" i="1" a="1"/>
  <c r="AE25" i="1" s="1"/>
  <c r="CL2" i="1" a="1"/>
  <c r="CL2" i="1" s="1"/>
  <c r="CK2" i="1" a="1"/>
  <c r="CK2" i="1" s="1"/>
  <c r="CJ2" i="1" a="1"/>
  <c r="CJ2" i="1" s="1"/>
  <c r="CI2" i="1" a="1"/>
  <c r="CI2" i="1" s="1"/>
  <c r="CH2" i="1" a="1"/>
  <c r="CH2" i="1" s="1"/>
  <c r="CG2" i="1" a="1"/>
  <c r="CG2" i="1" s="1"/>
  <c r="CF2" i="1" a="1"/>
  <c r="CF2" i="1" s="1"/>
  <c r="CE2" i="1" a="1"/>
  <c r="CE2" i="1" s="1"/>
  <c r="CD2" i="1" a="1"/>
  <c r="CD2" i="1" s="1"/>
  <c r="CC2" i="1" a="1"/>
  <c r="CC2" i="1" s="1"/>
  <c r="CB2" i="1" a="1"/>
  <c r="CB2" i="1" s="1"/>
  <c r="CA2" i="1" a="1"/>
  <c r="CA2" i="1" s="1"/>
  <c r="BZ2" i="1" a="1"/>
  <c r="BZ2" i="1" s="1"/>
  <c r="BY2" i="1" a="1"/>
  <c r="BY2" i="1" s="1"/>
  <c r="BX2" i="1" a="1"/>
  <c r="BX2" i="1" s="1"/>
  <c r="BW2" i="1" a="1"/>
  <c r="BW2" i="1" s="1"/>
  <c r="BV2" i="1" a="1"/>
  <c r="BV2" i="1" s="1"/>
  <c r="BU2" i="1" a="1"/>
  <c r="BU2" i="1" s="1"/>
  <c r="BT2" i="1" a="1"/>
  <c r="BT2" i="1" s="1"/>
  <c r="BS2" i="1" a="1"/>
  <c r="BS2" i="1" s="1"/>
  <c r="BR2" i="1" a="1"/>
  <c r="BR2" i="1" s="1"/>
  <c r="BQ2" i="1" a="1"/>
  <c r="BQ2" i="1" s="1"/>
  <c r="BP2" i="1" a="1"/>
  <c r="BP2" i="1" s="1"/>
  <c r="BO2" i="1" a="1"/>
  <c r="BO2" i="1" s="1"/>
  <c r="BN2" i="1" a="1"/>
  <c r="BN2" i="1" s="1"/>
  <c r="BM2" i="1" a="1"/>
  <c r="BM2" i="1" s="1"/>
  <c r="BL2" i="1" a="1"/>
  <c r="BL2" i="1" s="1"/>
  <c r="BK2" i="1" a="1"/>
  <c r="BK2" i="1" s="1"/>
  <c r="BJ2" i="1" a="1"/>
  <c r="BJ2" i="1" s="1"/>
  <c r="BI2" i="1" a="1"/>
  <c r="BI2" i="1" s="1"/>
  <c r="BH2" i="1" a="1"/>
  <c r="BH2" i="1" s="1"/>
  <c r="BG2" i="1" a="1"/>
  <c r="BG2" i="1" s="1"/>
  <c r="BF2" i="1" a="1"/>
  <c r="BF2" i="1" s="1"/>
  <c r="BE2" i="1" a="1"/>
  <c r="BE2" i="1" s="1"/>
  <c r="BD2" i="1" a="1"/>
  <c r="BD2" i="1" s="1"/>
  <c r="BC2" i="1" a="1"/>
  <c r="BC2" i="1" s="1"/>
  <c r="BB2" i="1" a="1"/>
  <c r="BB2" i="1" s="1"/>
  <c r="BA2" i="1" a="1"/>
  <c r="BA2" i="1" s="1"/>
  <c r="AZ2" i="1" a="1"/>
  <c r="AZ2" i="1" s="1"/>
  <c r="AY2" i="1" a="1"/>
  <c r="AY2" i="1" s="1"/>
  <c r="AX2" i="1" a="1"/>
  <c r="AX2" i="1" s="1"/>
  <c r="AW2" i="1" a="1"/>
  <c r="AW2" i="1" s="1"/>
  <c r="AV2" i="1" a="1"/>
  <c r="AV2" i="1" s="1"/>
  <c r="AU2" i="1" a="1"/>
  <c r="AU2" i="1" s="1"/>
  <c r="AT2" i="1" a="1"/>
  <c r="AT2" i="1" s="1"/>
  <c r="AS2" i="1" a="1"/>
  <c r="AS2" i="1" s="1"/>
  <c r="AR2" i="1" a="1"/>
  <c r="AR2" i="1" s="1"/>
  <c r="AQ2" i="1" a="1"/>
  <c r="AQ2" i="1" s="1"/>
  <c r="AP2" i="1" a="1"/>
  <c r="AP2" i="1" s="1"/>
  <c r="AO2" i="1" a="1"/>
  <c r="AO2" i="1" s="1"/>
  <c r="AN2" i="1" a="1"/>
  <c r="AN2" i="1" s="1"/>
  <c r="AM2" i="1" a="1"/>
  <c r="AM2" i="1" s="1"/>
  <c r="AL2" i="1" a="1"/>
  <c r="AL2" i="1" s="1"/>
  <c r="AK2" i="1" a="1"/>
  <c r="AK2" i="1" s="1"/>
  <c r="AJ2" i="1" a="1"/>
  <c r="AJ2" i="1" s="1"/>
  <c r="AI2" i="1" a="1"/>
  <c r="AI2" i="1" s="1"/>
  <c r="AH2" i="1" a="1"/>
  <c r="AH2" i="1" s="1"/>
  <c r="AG2" i="1" a="1"/>
  <c r="AG2" i="1" s="1"/>
  <c r="AF2" i="1" a="1"/>
  <c r="AF2" i="1" s="1"/>
  <c r="AE2" i="1" a="1"/>
  <c r="AE2" i="1" s="1"/>
  <c r="CH44" i="6" a="1"/>
  <c r="CH44" i="6" s="1"/>
  <c r="CG44" i="6" a="1"/>
  <c r="CG44" i="6" s="1"/>
  <c r="CF44" i="6" a="1"/>
  <c r="CF44" i="6" s="1"/>
  <c r="CE44" i="6" a="1"/>
  <c r="CE44" i="6" s="1"/>
  <c r="CD44" i="6" a="1"/>
  <c r="CD44" i="6" s="1"/>
  <c r="CC44" i="6" a="1"/>
  <c r="CC44" i="6" s="1"/>
  <c r="CB44" i="6" a="1"/>
  <c r="CB44" i="6" s="1"/>
  <c r="CA44" i="6" a="1"/>
  <c r="CA44" i="6" s="1"/>
  <c r="BZ44" i="6" a="1"/>
  <c r="BZ44" i="6" s="1"/>
  <c r="BY44" i="6" a="1"/>
  <c r="BY44" i="6" s="1"/>
  <c r="BX44" i="6" a="1"/>
  <c r="BX44" i="6" s="1"/>
  <c r="BW44" i="6" a="1"/>
  <c r="BW44" i="6" s="1"/>
  <c r="BV44" i="6" a="1"/>
  <c r="BV44" i="6" s="1"/>
  <c r="BU44" i="6" a="1"/>
  <c r="BU44" i="6" s="1"/>
  <c r="BT44" i="6" a="1"/>
  <c r="BT44" i="6" s="1"/>
  <c r="BS44" i="6" a="1"/>
  <c r="BS44" i="6" s="1"/>
  <c r="BR44" i="6" a="1"/>
  <c r="BR44" i="6" s="1"/>
  <c r="BQ44" i="6" a="1"/>
  <c r="BQ44" i="6" s="1"/>
  <c r="BP44" i="6" a="1"/>
  <c r="BP44" i="6" s="1"/>
  <c r="BO44" i="6" a="1"/>
  <c r="BO44" i="6" s="1"/>
  <c r="BN44" i="6" a="1"/>
  <c r="BN44" i="6" s="1"/>
  <c r="BM44" i="6" a="1"/>
  <c r="BM44" i="6" s="1"/>
  <c r="BL44" i="6" a="1"/>
  <c r="BL44" i="6" s="1"/>
  <c r="BK44" i="6" a="1"/>
  <c r="BK44" i="6" s="1"/>
  <c r="BJ44" i="6" a="1"/>
  <c r="BJ44" i="6" s="1"/>
  <c r="BI44" i="6" a="1"/>
  <c r="BI44" i="6" s="1"/>
  <c r="BH44" i="6" a="1"/>
  <c r="BH44" i="6" s="1"/>
  <c r="BG44" i="6" a="1"/>
  <c r="BG44" i="6" s="1"/>
  <c r="BF44" i="6" a="1"/>
  <c r="BF44" i="6" s="1"/>
  <c r="BE44" i="6" a="1"/>
  <c r="BE44" i="6" s="1"/>
  <c r="BD44" i="6" a="1"/>
  <c r="BD44" i="6" s="1"/>
  <c r="BC44" i="6" a="1"/>
  <c r="BC44" i="6" s="1"/>
  <c r="BB44" i="6" a="1"/>
  <c r="BB44" i="6" s="1"/>
  <c r="BA44" i="6" a="1"/>
  <c r="BA44" i="6" s="1"/>
  <c r="AZ44" i="6" a="1"/>
  <c r="AZ44" i="6" s="1"/>
  <c r="AY44" i="6" a="1"/>
  <c r="AY44" i="6" s="1"/>
  <c r="AX44" i="6" a="1"/>
  <c r="AX44" i="6" s="1"/>
  <c r="AW44" i="6" a="1"/>
  <c r="AW44" i="6" s="1"/>
  <c r="AV44" i="6" a="1"/>
  <c r="AV44" i="6" s="1"/>
  <c r="AU44" i="6" a="1"/>
  <c r="AU44" i="6" s="1"/>
  <c r="AT44" i="6" a="1"/>
  <c r="AT44" i="6" s="1"/>
  <c r="AS44" i="6" a="1"/>
  <c r="AS44" i="6" s="1"/>
  <c r="AR44" i="6" a="1"/>
  <c r="AR44" i="6" s="1"/>
  <c r="AQ44" i="6" a="1"/>
  <c r="AQ44" i="6" s="1"/>
  <c r="AP44" i="6" a="1"/>
  <c r="AP44" i="6" s="1"/>
  <c r="AO44" i="6" a="1"/>
  <c r="AO44" i="6" s="1"/>
  <c r="AN44" i="6" a="1"/>
  <c r="AN44" i="6" s="1"/>
  <c r="AM44" i="6" a="1"/>
  <c r="AM44" i="6" s="1"/>
  <c r="AL44" i="6" a="1"/>
  <c r="AL44" i="6" s="1"/>
  <c r="AK44" i="6" a="1"/>
  <c r="AK44" i="6" s="1"/>
  <c r="AJ44" i="6" a="1"/>
  <c r="AJ44" i="6" s="1"/>
  <c r="AI44" i="6" a="1"/>
  <c r="AI44" i="6" s="1"/>
  <c r="AH44" i="6" a="1"/>
  <c r="AH44" i="6" s="1"/>
  <c r="AG44" i="6" a="1"/>
  <c r="AG44" i="6" s="1"/>
  <c r="AF44" i="6" a="1"/>
  <c r="AF44" i="6" s="1"/>
  <c r="AE44" i="6" a="1"/>
  <c r="AE44" i="6" s="1"/>
  <c r="AD44" i="6" a="1"/>
  <c r="AD44" i="6" s="1"/>
  <c r="AC44" i="6" a="1"/>
  <c r="AC44" i="6" s="1"/>
  <c r="AB44" i="6" a="1"/>
  <c r="AB44" i="6" s="1"/>
  <c r="AA44" i="6" a="1"/>
  <c r="AA44" i="6" s="1"/>
  <c r="CH26" i="6" a="1"/>
  <c r="CH26" i="6" s="1"/>
  <c r="CG26" i="6" a="1"/>
  <c r="CG26" i="6" s="1"/>
  <c r="CF26" i="6" a="1"/>
  <c r="CF26" i="6" s="1"/>
  <c r="CE26" i="6" a="1"/>
  <c r="CE26" i="6" s="1"/>
  <c r="CD26" i="6" a="1"/>
  <c r="CD26" i="6" s="1"/>
  <c r="CC26" i="6" a="1"/>
  <c r="CC26" i="6" s="1"/>
  <c r="CB26" i="6" a="1"/>
  <c r="CB26" i="6" s="1"/>
  <c r="CA26" i="6" a="1"/>
  <c r="CA26" i="6" s="1"/>
  <c r="BZ26" i="6" a="1"/>
  <c r="BZ26" i="6" s="1"/>
  <c r="BY26" i="6" a="1"/>
  <c r="BY26" i="6" s="1"/>
  <c r="BX26" i="6" a="1"/>
  <c r="BX26" i="6" s="1"/>
  <c r="BW26" i="6" a="1"/>
  <c r="BW26" i="6" s="1"/>
  <c r="BV26" i="6" a="1"/>
  <c r="BV26" i="6" s="1"/>
  <c r="BU26" i="6" a="1"/>
  <c r="BU26" i="6" s="1"/>
  <c r="BT26" i="6" a="1"/>
  <c r="BT26" i="6" s="1"/>
  <c r="BS26" i="6" a="1"/>
  <c r="BS26" i="6" s="1"/>
  <c r="BR26" i="6" a="1"/>
  <c r="BR26" i="6" s="1"/>
  <c r="BQ26" i="6" a="1"/>
  <c r="BQ26" i="6" s="1"/>
  <c r="BP26" i="6" a="1"/>
  <c r="BP26" i="6" s="1"/>
  <c r="BO26" i="6" a="1"/>
  <c r="BO26" i="6" s="1"/>
  <c r="BN26" i="6" a="1"/>
  <c r="BN26" i="6" s="1"/>
  <c r="BM26" i="6" a="1"/>
  <c r="BM26" i="6" s="1"/>
  <c r="BL26" i="6" a="1"/>
  <c r="BL26" i="6" s="1"/>
  <c r="BK26" i="6" a="1"/>
  <c r="BK26" i="6" s="1"/>
  <c r="BJ26" i="6" a="1"/>
  <c r="BJ26" i="6" s="1"/>
  <c r="BI26" i="6" a="1"/>
  <c r="BI26" i="6" s="1"/>
  <c r="BH26" i="6" a="1"/>
  <c r="BH26" i="6" s="1"/>
  <c r="BG26" i="6" a="1"/>
  <c r="BG26" i="6" s="1"/>
  <c r="BF26" i="6" a="1"/>
  <c r="BF26" i="6" s="1"/>
  <c r="BE26" i="6" a="1"/>
  <c r="BE26" i="6" s="1"/>
  <c r="BD26" i="6" a="1"/>
  <c r="BD26" i="6" s="1"/>
  <c r="BC26" i="6" a="1"/>
  <c r="BC26" i="6" s="1"/>
  <c r="BB26" i="6" a="1"/>
  <c r="BB26" i="6" s="1"/>
  <c r="BA26" i="6" a="1"/>
  <c r="BA26" i="6" s="1"/>
  <c r="AZ26" i="6" a="1"/>
  <c r="AZ26" i="6" s="1"/>
  <c r="AY26" i="6" a="1"/>
  <c r="AY26" i="6" s="1"/>
  <c r="AX26" i="6" a="1"/>
  <c r="AX26" i="6" s="1"/>
  <c r="AW26" i="6" a="1"/>
  <c r="AW26" i="6" s="1"/>
  <c r="AV26" i="6" a="1"/>
  <c r="AV26" i="6" s="1"/>
  <c r="AU26" i="6" a="1"/>
  <c r="AU26" i="6" s="1"/>
  <c r="AT26" i="6" a="1"/>
  <c r="AT26" i="6" s="1"/>
  <c r="AS26" i="6" a="1"/>
  <c r="AS26" i="6" s="1"/>
  <c r="AR26" i="6" a="1"/>
  <c r="AR26" i="6" s="1"/>
  <c r="AQ26" i="6" a="1"/>
  <c r="AQ26" i="6" s="1"/>
  <c r="AP26" i="6" a="1"/>
  <c r="AP26" i="6" s="1"/>
  <c r="AO26" i="6" a="1"/>
  <c r="AO26" i="6" s="1"/>
  <c r="AN26" i="6" a="1"/>
  <c r="AN26" i="6" s="1"/>
  <c r="AM26" i="6" a="1"/>
  <c r="AM26" i="6" s="1"/>
  <c r="AL26" i="6" a="1"/>
  <c r="AL26" i="6" s="1"/>
  <c r="AK26" i="6" a="1"/>
  <c r="AK26" i="6" s="1"/>
  <c r="AJ26" i="6" a="1"/>
  <c r="AJ26" i="6" s="1"/>
  <c r="AI26" i="6" a="1"/>
  <c r="AI26" i="6" s="1"/>
  <c r="AH26" i="6" a="1"/>
  <c r="AH26" i="6" s="1"/>
  <c r="AG26" i="6" a="1"/>
  <c r="AG26" i="6" s="1"/>
  <c r="AF26" i="6" a="1"/>
  <c r="AF26" i="6" s="1"/>
  <c r="AE26" i="6" a="1"/>
  <c r="AE26" i="6" s="1"/>
  <c r="AD26" i="6" a="1"/>
  <c r="AD26" i="6" s="1"/>
  <c r="AC26" i="6" a="1"/>
  <c r="AC26" i="6" s="1"/>
  <c r="AB26" i="6" a="1"/>
  <c r="AB26" i="6" s="1"/>
  <c r="AA26" i="6" a="1"/>
  <c r="AA26" i="6" s="1"/>
  <c r="AB2" i="6" a="1"/>
  <c r="AB2" i="6" s="1"/>
  <c r="AC2" i="6" a="1"/>
  <c r="AC2" i="6" s="1"/>
  <c r="AD2" i="6" a="1"/>
  <c r="AD2" i="6" s="1"/>
  <c r="AE2" i="6" a="1"/>
  <c r="AE2" i="6" s="1"/>
  <c r="AF2" i="6" a="1"/>
  <c r="AF2" i="6" s="1"/>
  <c r="AG2" i="6" a="1"/>
  <c r="AG2" i="6" s="1"/>
  <c r="AH2" i="6" a="1"/>
  <c r="AH2" i="6" s="1"/>
  <c r="AI2" i="6" a="1"/>
  <c r="AI2" i="6" s="1"/>
  <c r="AJ2" i="6" a="1"/>
  <c r="AJ2" i="6" s="1"/>
  <c r="AK2" i="6" a="1"/>
  <c r="AK2" i="6" s="1"/>
  <c r="AL2" i="6" a="1"/>
  <c r="AL2" i="6" s="1"/>
  <c r="AM2" i="6" a="1"/>
  <c r="AM2" i="6" s="1"/>
  <c r="AN2" i="6" a="1"/>
  <c r="AN2" i="6" s="1"/>
  <c r="AO2" i="6" a="1"/>
  <c r="AO2" i="6" s="1"/>
  <c r="AP2" i="6" a="1"/>
  <c r="AP2" i="6" s="1"/>
  <c r="AQ2" i="6" a="1"/>
  <c r="AQ2" i="6" s="1"/>
  <c r="AR2" i="6" a="1"/>
  <c r="AR2" i="6" s="1"/>
  <c r="AS2" i="6" a="1"/>
  <c r="AS2" i="6" s="1"/>
  <c r="AT2" i="6" a="1"/>
  <c r="AT2" i="6" s="1"/>
  <c r="AU2" i="6" a="1"/>
  <c r="AU2" i="6" s="1"/>
  <c r="AV2" i="6" a="1"/>
  <c r="AV2" i="6" s="1"/>
  <c r="AW2" i="6" a="1"/>
  <c r="AW2" i="6" s="1"/>
  <c r="AX2" i="6" a="1"/>
  <c r="AX2" i="6" s="1"/>
  <c r="AY2" i="6" a="1"/>
  <c r="AY2" i="6" s="1"/>
  <c r="AZ2" i="6" a="1"/>
  <c r="AZ2" i="6" s="1"/>
  <c r="BA2" i="6" a="1"/>
  <c r="BA2" i="6" s="1"/>
  <c r="BB2" i="6" a="1"/>
  <c r="BB2" i="6" s="1"/>
  <c r="BC2" i="6" a="1"/>
  <c r="BC2" i="6" s="1"/>
  <c r="BD2" i="6" a="1"/>
  <c r="BD2" i="6" s="1"/>
  <c r="BE2" i="6" a="1"/>
  <c r="BE2" i="6" s="1"/>
  <c r="BF2" i="6" a="1"/>
  <c r="BF2" i="6" s="1"/>
  <c r="BG2" i="6" a="1"/>
  <c r="BG2" i="6" s="1"/>
  <c r="BH2" i="6" a="1"/>
  <c r="BH2" i="6" s="1"/>
  <c r="BI2" i="6" a="1"/>
  <c r="BI2" i="6" s="1"/>
  <c r="BJ2" i="6" a="1"/>
  <c r="BJ2" i="6" s="1"/>
  <c r="BK2" i="6" a="1"/>
  <c r="BK2" i="6" s="1"/>
  <c r="BL2" i="6" a="1"/>
  <c r="BL2" i="6" s="1"/>
  <c r="BM2" i="6" a="1"/>
  <c r="BM2" i="6" s="1"/>
  <c r="BN2" i="6" a="1"/>
  <c r="BN2" i="6" s="1"/>
  <c r="BO2" i="6" a="1"/>
  <c r="BO2" i="6" s="1"/>
  <c r="BP2" i="6" a="1"/>
  <c r="BP2" i="6" s="1"/>
  <c r="BQ2" i="6" a="1"/>
  <c r="BQ2" i="6" s="1"/>
  <c r="BR2" i="6" a="1"/>
  <c r="BR2" i="6" s="1"/>
  <c r="BS2" i="6" a="1"/>
  <c r="BS2" i="6" s="1"/>
  <c r="BT2" i="6" a="1"/>
  <c r="BT2" i="6" s="1"/>
  <c r="BU2" i="6" a="1"/>
  <c r="BU2" i="6" s="1"/>
  <c r="BV2" i="6" a="1"/>
  <c r="BV2" i="6" s="1"/>
  <c r="BW2" i="6" a="1"/>
  <c r="BW2" i="6" s="1"/>
  <c r="BX2" i="6" a="1"/>
  <c r="BX2" i="6" s="1"/>
  <c r="BY2" i="6" a="1"/>
  <c r="BY2" i="6" s="1"/>
  <c r="BZ2" i="6" a="1"/>
  <c r="BZ2" i="6" s="1"/>
  <c r="CA2" i="6" a="1"/>
  <c r="CA2" i="6" s="1"/>
  <c r="CB2" i="6" a="1"/>
  <c r="CB2" i="6" s="1"/>
  <c r="CC2" i="6" a="1"/>
  <c r="CC2" i="6" s="1"/>
  <c r="CD2" i="6" a="1"/>
  <c r="CD2" i="6" s="1"/>
  <c r="CE2" i="6" a="1"/>
  <c r="CE2" i="6" s="1"/>
  <c r="CF2" i="6" a="1"/>
  <c r="CF2" i="6" s="1"/>
  <c r="CG2" i="6" a="1"/>
  <c r="CG2" i="6" s="1"/>
  <c r="CH2" i="6" a="1"/>
  <c r="CH2" i="6" s="1"/>
  <c r="AA2" i="6" a="1"/>
  <c r="AA2" i="6" s="1"/>
  <c r="G14" i="6" a="1"/>
  <c r="G14" i="6" s="1"/>
  <c r="L37" i="6"/>
  <c r="G6" i="6" a="1"/>
  <c r="G6" i="6" s="1"/>
  <c r="BY3" i="6"/>
  <c r="F43" i="5"/>
  <c r="F38" i="5"/>
  <c r="F41" i="5"/>
  <c r="F42" i="5"/>
  <c r="F39" i="5"/>
  <c r="F40" i="5"/>
  <c r="F37" i="5"/>
  <c r="K8" i="5"/>
  <c r="R8" i="5" s="1"/>
  <c r="K7" i="5"/>
  <c r="R7" i="5" s="1"/>
  <c r="K6" i="5"/>
  <c r="K5" i="5"/>
  <c r="K4" i="5"/>
  <c r="R4" i="5" s="1"/>
  <c r="K3" i="5"/>
  <c r="R3" i="5" s="1"/>
  <c r="K2" i="5"/>
  <c r="K73" i="5"/>
  <c r="N60" i="5"/>
  <c r="N59" i="5"/>
  <c r="N58" i="5"/>
  <c r="N57" i="5"/>
  <c r="N56" i="5"/>
  <c r="N55" i="5"/>
  <c r="N54" i="5"/>
  <c r="N53" i="5"/>
  <c r="N52" i="5"/>
  <c r="V33" i="5"/>
  <c r="S33" i="5"/>
  <c r="Q33" i="5"/>
  <c r="O33" i="5"/>
  <c r="J33" i="5"/>
  <c r="V32" i="5"/>
  <c r="S32" i="5"/>
  <c r="Q32" i="5"/>
  <c r="J32" i="5"/>
  <c r="V31" i="5"/>
  <c r="T31" i="5"/>
  <c r="S31" i="5"/>
  <c r="Q31" i="5"/>
  <c r="O31" i="5"/>
  <c r="L31" i="5"/>
  <c r="J31" i="5"/>
  <c r="V30" i="5"/>
  <c r="T30" i="5"/>
  <c r="S30" i="5"/>
  <c r="Q30" i="5"/>
  <c r="O30" i="5"/>
  <c r="L30" i="5"/>
  <c r="J30" i="5"/>
  <c r="V29" i="5"/>
  <c r="T29" i="5"/>
  <c r="S29" i="5"/>
  <c r="Q29" i="5"/>
  <c r="O29" i="5"/>
  <c r="L29" i="5"/>
  <c r="J29" i="5"/>
  <c r="V28" i="5"/>
  <c r="T28" i="5"/>
  <c r="S28" i="5"/>
  <c r="Q28" i="5"/>
  <c r="O28" i="5"/>
  <c r="L28" i="5"/>
  <c r="J28" i="5"/>
  <c r="T27" i="5"/>
  <c r="S27" i="5"/>
  <c r="Q27" i="5"/>
  <c r="O27" i="5"/>
  <c r="L27" i="5"/>
  <c r="J27" i="5"/>
  <c r="V26" i="5"/>
  <c r="T26" i="5"/>
  <c r="S26" i="5"/>
  <c r="Q26" i="5"/>
  <c r="O26" i="5"/>
  <c r="L26" i="5"/>
  <c r="J26" i="5"/>
  <c r="V25" i="5"/>
  <c r="T25" i="5"/>
  <c r="S25" i="5"/>
  <c r="Q25" i="5"/>
  <c r="O25" i="5"/>
  <c r="L25" i="5"/>
  <c r="J25" i="5"/>
  <c r="T24" i="5"/>
  <c r="S24" i="5"/>
  <c r="Q24" i="5"/>
  <c r="O24" i="5"/>
  <c r="L24" i="5"/>
  <c r="J24" i="5"/>
  <c r="U23" i="5"/>
  <c r="V24" i="5" s="1"/>
  <c r="W24" i="5" s="1"/>
  <c r="B55" i="4"/>
  <c r="B54" i="4"/>
  <c r="B53" i="4"/>
  <c r="B52" i="4"/>
  <c r="B51" i="4"/>
  <c r="B50" i="4"/>
  <c r="B49" i="4"/>
  <c r="A113" i="4"/>
  <c r="C109" i="4"/>
  <c r="D109" i="4" s="1"/>
  <c r="D108" i="4"/>
  <c r="C108" i="4"/>
  <c r="D105" i="4"/>
  <c r="C105" i="4"/>
  <c r="D104" i="4"/>
  <c r="C104" i="4"/>
  <c r="X35" i="1"/>
  <c r="CB3" i="1"/>
  <c r="CA3" i="1"/>
  <c r="BZ3" i="1"/>
  <c r="BY3" i="1"/>
  <c r="BX3" i="1"/>
  <c r="BW3" i="1"/>
  <c r="BV3" i="1"/>
  <c r="BU3" i="1"/>
  <c r="BC56" i="11" l="1"/>
  <c r="BA41" i="11"/>
  <c r="BC34" i="11"/>
  <c r="BA32" i="11"/>
  <c r="BA30" i="11"/>
  <c r="BA28" i="11"/>
  <c r="BA18" i="11"/>
  <c r="BA8" i="11"/>
  <c r="BC58" i="11"/>
  <c r="BA56" i="11"/>
  <c r="BC42" i="11"/>
  <c r="BA34" i="11"/>
  <c r="BA58" i="11"/>
  <c r="BC54" i="11"/>
  <c r="BC61" i="11"/>
  <c r="BA61" i="11"/>
  <c r="CG5" i="11" s="1" a="1"/>
  <c r="CG5" i="11" s="1"/>
  <c r="BC62" i="11"/>
  <c r="BC41" i="11"/>
  <c r="BC24" i="11"/>
  <c r="BC21" i="11"/>
  <c r="BA9" i="11"/>
  <c r="BA62" i="11"/>
  <c r="BC52" i="11"/>
  <c r="BC50" i="11"/>
  <c r="BC48" i="11"/>
  <c r="BC46" i="11"/>
  <c r="BC44" i="11"/>
  <c r="BC29" i="11"/>
  <c r="BA24" i="11"/>
  <c r="BA21" i="11"/>
  <c r="BC12" i="11"/>
  <c r="BA52" i="11"/>
  <c r="BA50" i="11"/>
  <c r="BA48" i="11"/>
  <c r="BA46" i="11"/>
  <c r="BA44" i="11"/>
  <c r="BC31" i="11"/>
  <c r="BA29" i="11"/>
  <c r="BC27" i="11"/>
  <c r="BC18" i="11"/>
  <c r="BA12" i="11"/>
  <c r="BC7" i="11"/>
  <c r="BC55" i="11"/>
  <c r="BA39" i="11"/>
  <c r="BA35" i="11"/>
  <c r="BC22" i="11"/>
  <c r="BC13" i="11"/>
  <c r="BA31" i="11"/>
  <c r="BA27" i="11"/>
  <c r="BC15" i="11"/>
  <c r="BA7" i="11"/>
  <c r="BA42" i="11"/>
  <c r="BA15" i="11"/>
  <c r="BA37" i="11"/>
  <c r="BA33" i="11"/>
  <c r="BA25" i="11"/>
  <c r="BA22" i="11"/>
  <c r="BC39" i="11"/>
  <c r="BC37" i="11"/>
  <c r="BC35" i="11"/>
  <c r="BC33" i="11"/>
  <c r="BC17" i="11"/>
  <c r="BC10" i="11"/>
  <c r="BC25" i="11"/>
  <c r="BA17" i="11"/>
  <c r="BA10" i="11"/>
  <c r="BC59" i="11"/>
  <c r="BA55" i="11"/>
  <c r="BA43" i="11"/>
  <c r="BA19" i="11"/>
  <c r="BC14" i="11"/>
  <c r="BA6" i="11"/>
  <c r="BC45" i="11"/>
  <c r="BA14" i="11"/>
  <c r="BA13" i="11"/>
  <c r="BA23" i="11"/>
  <c r="BC5" i="11"/>
  <c r="BA54" i="11"/>
  <c r="BA45" i="11"/>
  <c r="BC36" i="11"/>
  <c r="BC11" i="11"/>
  <c r="BA11" i="11"/>
  <c r="BA53" i="11"/>
  <c r="BC40" i="11"/>
  <c r="BA20" i="11"/>
  <c r="BA63" i="11"/>
  <c r="BC60" i="11"/>
  <c r="BC16" i="11"/>
  <c r="BC51" i="11"/>
  <c r="BC38" i="11"/>
  <c r="BA51" i="11"/>
  <c r="BC9" i="11"/>
  <c r="BC28" i="11"/>
  <c r="BA40" i="11"/>
  <c r="BC23" i="11"/>
  <c r="BC47" i="11"/>
  <c r="BA26" i="11"/>
  <c r="BC20" i="11"/>
  <c r="BA59" i="11"/>
  <c r="BC57" i="11"/>
  <c r="BA47" i="11"/>
  <c r="BC30" i="11"/>
  <c r="BA57" i="11"/>
  <c r="BA60" i="11"/>
  <c r="BC49" i="11"/>
  <c r="BA16" i="11"/>
  <c r="BC53" i="11"/>
  <c r="BC26" i="11"/>
  <c r="BA49" i="11"/>
  <c r="BA36" i="11"/>
  <c r="BA38" i="11"/>
  <c r="BC6" i="11"/>
  <c r="BC43" i="11"/>
  <c r="BC8" i="11"/>
  <c r="BC19" i="11"/>
  <c r="AV5" i="11"/>
  <c r="F13" i="8"/>
  <c r="F18" i="8"/>
  <c r="F6" i="8"/>
  <c r="F9" i="8"/>
  <c r="F19" i="8"/>
  <c r="F8" i="8"/>
  <c r="F16" i="8"/>
  <c r="F10" i="8"/>
  <c r="N19" i="8"/>
  <c r="F11" i="8"/>
  <c r="F7" i="8"/>
  <c r="F14" i="8"/>
  <c r="F15" i="8"/>
  <c r="F4" i="8"/>
  <c r="F12" i="8"/>
  <c r="F5" i="8"/>
  <c r="F17" i="8"/>
  <c r="AF39" i="4"/>
  <c r="AF14" i="4"/>
  <c r="AC38" i="4"/>
  <c r="AF25" i="4"/>
  <c r="AC7" i="4"/>
  <c r="AC23" i="4"/>
  <c r="AF7" i="4"/>
  <c r="AF35" i="4"/>
  <c r="AF33" i="4"/>
  <c r="AF65" i="4"/>
  <c r="AC31" i="4"/>
  <c r="AF53" i="4"/>
  <c r="AF54" i="4"/>
  <c r="AF49" i="4"/>
  <c r="AF37" i="4"/>
  <c r="AF44" i="4"/>
  <c r="AF16" i="4"/>
  <c r="AC14" i="4"/>
  <c r="AC29" i="4"/>
  <c r="AC49" i="4"/>
  <c r="AF13" i="4"/>
  <c r="AF64" i="4"/>
  <c r="V4" i="4"/>
  <c r="AF41" i="4"/>
  <c r="AC43" i="4"/>
  <c r="AF8" i="4"/>
  <c r="AF69" i="4"/>
  <c r="AF55" i="4"/>
  <c r="AC8" i="4"/>
  <c r="AC35" i="4"/>
  <c r="AC21" i="4"/>
  <c r="AC47" i="4"/>
  <c r="AC9" i="4"/>
  <c r="AC51" i="4"/>
  <c r="AC60" i="4"/>
  <c r="AC63" i="4"/>
  <c r="AC15" i="4"/>
  <c r="AC67" i="4"/>
  <c r="AF31" i="4"/>
  <c r="AF34" i="4"/>
  <c r="AC16" i="4"/>
  <c r="AC68" i="4"/>
  <c r="AC61" i="4"/>
  <c r="AF50" i="4"/>
  <c r="AC18" i="4"/>
  <c r="AC26" i="4"/>
  <c r="AF32" i="4"/>
  <c r="AC19" i="4"/>
  <c r="AF61" i="4"/>
  <c r="AC46" i="4"/>
  <c r="AC44" i="4"/>
  <c r="AC22" i="4"/>
  <c r="AC6" i="4"/>
  <c r="AC50" i="4"/>
  <c r="AF22" i="4"/>
  <c r="AC59" i="4"/>
  <c r="AC58" i="4"/>
  <c r="AF63" i="4"/>
  <c r="AC37" i="4"/>
  <c r="AC55" i="4"/>
  <c r="AF17" i="4"/>
  <c r="AF48" i="4"/>
  <c r="AC57" i="4"/>
  <c r="AC24" i="4"/>
  <c r="AF18" i="4"/>
  <c r="AC62" i="4"/>
  <c r="AF28" i="4"/>
  <c r="AF43" i="4"/>
  <c r="AF19" i="4"/>
  <c r="AC34" i="4"/>
  <c r="AF67" i="4"/>
  <c r="AF45" i="4"/>
  <c r="AF60" i="4"/>
  <c r="AF6" i="4"/>
  <c r="AF21" i="4"/>
  <c r="AF38" i="4"/>
  <c r="AF46" i="4"/>
  <c r="AC30" i="4"/>
  <c r="O32" i="9"/>
  <c r="R33" i="9"/>
  <c r="R63" i="9"/>
  <c r="R15" i="9"/>
  <c r="O47" i="9"/>
  <c r="O52" i="9"/>
  <c r="R64" i="9"/>
  <c r="O35" i="9"/>
  <c r="R11" i="9"/>
  <c r="R7" i="9"/>
  <c r="R17" i="9"/>
  <c r="R58" i="9"/>
  <c r="O28" i="9"/>
  <c r="R6" i="9"/>
  <c r="R30" i="9"/>
  <c r="R10" i="9"/>
  <c r="O64" i="9"/>
  <c r="O66" i="9"/>
  <c r="O62" i="9"/>
  <c r="R59" i="9"/>
  <c r="R16" i="9"/>
  <c r="R8" i="9"/>
  <c r="R28" i="9"/>
  <c r="O29" i="9"/>
  <c r="R21" i="9"/>
  <c r="R20" i="9"/>
  <c r="O60" i="9"/>
  <c r="O25" i="9"/>
  <c r="O51" i="9"/>
  <c r="O39" i="9"/>
  <c r="O44" i="9"/>
  <c r="R40" i="9"/>
  <c r="O19" i="9"/>
  <c r="R54" i="9"/>
  <c r="O36" i="9"/>
  <c r="R34" i="9"/>
  <c r="R46" i="9"/>
  <c r="R9" i="9"/>
  <c r="R14" i="9"/>
  <c r="O42" i="9"/>
  <c r="O58" i="9"/>
  <c r="R22" i="9"/>
  <c r="O40" i="9"/>
  <c r="R49" i="9"/>
  <c r="O41" i="9"/>
  <c r="R12" i="9"/>
  <c r="O26" i="9"/>
  <c r="O55" i="9"/>
  <c r="R25" i="9"/>
  <c r="R56" i="9"/>
  <c r="R4" i="9"/>
  <c r="R67" i="9"/>
  <c r="O31" i="9"/>
  <c r="O10" i="9"/>
  <c r="R32" i="9"/>
  <c r="R24" i="9"/>
  <c r="O46" i="9"/>
  <c r="R51" i="9"/>
  <c r="R13" i="9"/>
  <c r="O16" i="9"/>
  <c r="R43" i="9"/>
  <c r="O54" i="9"/>
  <c r="R5" i="9"/>
  <c r="O8" i="9"/>
  <c r="R35" i="9"/>
  <c r="O38" i="9"/>
  <c r="R52" i="9"/>
  <c r="O56" i="9"/>
  <c r="O45" i="9"/>
  <c r="R27" i="9"/>
  <c r="R53" i="9"/>
  <c r="R44" i="9"/>
  <c r="O48" i="9"/>
  <c r="O37" i="9"/>
  <c r="R65" i="9"/>
  <c r="H3" i="9"/>
  <c r="R3" i="9" s="1"/>
  <c r="O27" i="9"/>
  <c r="R38" i="9"/>
  <c r="O14" i="9"/>
  <c r="O34" i="9"/>
  <c r="O61" i="9"/>
  <c r="O23" i="9"/>
  <c r="R48" i="9"/>
  <c r="R36" i="9"/>
  <c r="O59" i="9"/>
  <c r="O5" i="9"/>
  <c r="O50" i="9"/>
  <c r="R26" i="9"/>
  <c r="R29" i="9"/>
  <c r="O63" i="9"/>
  <c r="O65" i="9"/>
  <c r="R60" i="9"/>
  <c r="R68" i="9"/>
  <c r="O67" i="9"/>
  <c r="O13" i="9"/>
  <c r="R18" i="9"/>
  <c r="R42" i="9"/>
  <c r="R45" i="9"/>
  <c r="O9" i="9"/>
  <c r="O6" i="9"/>
  <c r="O21" i="9"/>
  <c r="R23" i="9"/>
  <c r="R50" i="9"/>
  <c r="R66" i="9"/>
  <c r="R61" i="9"/>
  <c r="O17" i="9"/>
  <c r="O18" i="9"/>
  <c r="O53" i="9"/>
  <c r="R39" i="9"/>
  <c r="O11" i="9"/>
  <c r="O7" i="9"/>
  <c r="O22" i="9"/>
  <c r="R31" i="9"/>
  <c r="R41" i="9"/>
  <c r="O33" i="9"/>
  <c r="O4" i="9"/>
  <c r="R55" i="9"/>
  <c r="O15" i="9"/>
  <c r="O20" i="9"/>
  <c r="O30" i="9"/>
  <c r="R47" i="9"/>
  <c r="R57" i="9"/>
  <c r="O57" i="9"/>
  <c r="O12" i="9"/>
  <c r="O24" i="9"/>
  <c r="R19" i="9"/>
  <c r="AC5" i="4"/>
  <c r="AC10" i="4"/>
  <c r="AC39" i="4"/>
  <c r="AC20" i="4"/>
  <c r="AC53" i="4"/>
  <c r="AF51" i="4"/>
  <c r="AF29" i="4"/>
  <c r="AF66" i="4"/>
  <c r="AF5" i="4"/>
  <c r="AF10" i="4"/>
  <c r="AF20" i="4"/>
  <c r="AF42" i="4"/>
  <c r="AC36" i="4"/>
  <c r="AF57" i="4"/>
  <c r="AC65" i="4"/>
  <c r="AC27" i="4"/>
  <c r="AC32" i="4"/>
  <c r="AF9" i="4"/>
  <c r="AC11" i="4"/>
  <c r="AF36" i="4"/>
  <c r="AC40" i="4"/>
  <c r="AC52" i="4"/>
  <c r="AF58" i="4"/>
  <c r="AF24" i="4"/>
  <c r="AF62" i="4"/>
  <c r="AC48" i="4"/>
  <c r="AF11" i="4"/>
  <c r="AC12" i="4"/>
  <c r="AF52" i="4"/>
  <c r="AF27" i="4"/>
  <c r="AF26" i="4"/>
  <c r="AC56" i="4"/>
  <c r="AF40" i="4"/>
  <c r="AF47" i="4"/>
  <c r="AC64" i="4"/>
  <c r="AF12" i="4"/>
  <c r="AC13" i="4"/>
  <c r="AF68" i="4"/>
  <c r="AC41" i="4"/>
  <c r="AC25" i="4"/>
  <c r="AF59" i="4"/>
  <c r="AF56" i="4"/>
  <c r="AC45" i="4"/>
  <c r="AF15" i="4"/>
  <c r="AC17" i="4"/>
  <c r="AC66" i="4"/>
  <c r="AF30" i="4"/>
  <c r="AC28" i="4"/>
  <c r="AC42" i="4"/>
  <c r="AC54" i="4"/>
  <c r="AC33" i="4"/>
  <c r="O49" i="9"/>
  <c r="R62" i="9"/>
  <c r="O43" i="9"/>
  <c r="N4" i="9"/>
  <c r="N7" i="9"/>
  <c r="N14" i="9"/>
  <c r="Q17" i="9"/>
  <c r="Q9" i="9"/>
  <c r="N16" i="9"/>
  <c r="N8" i="9"/>
  <c r="Q5" i="9"/>
  <c r="Q16" i="9"/>
  <c r="Q18" i="9"/>
  <c r="N11" i="9"/>
  <c r="N19" i="9"/>
  <c r="N6" i="9"/>
  <c r="Q4" i="9"/>
  <c r="Q10" i="9"/>
  <c r="Q15" i="9"/>
  <c r="N10" i="9"/>
  <c r="N13" i="9"/>
  <c r="Q11" i="9"/>
  <c r="N17" i="9"/>
  <c r="N5" i="9"/>
  <c r="Q7" i="9"/>
  <c r="N9" i="9"/>
  <c r="N12" i="9"/>
  <c r="N15" i="9"/>
  <c r="Q13" i="9"/>
  <c r="Q6" i="9"/>
  <c r="Q8" i="9"/>
  <c r="N18" i="9"/>
  <c r="Q12" i="9"/>
  <c r="Q14" i="9"/>
  <c r="Q3" i="9"/>
  <c r="N3" i="9"/>
  <c r="Q9" i="8"/>
  <c r="Q15" i="8"/>
  <c r="Q10" i="8"/>
  <c r="Q13" i="8"/>
  <c r="Q16" i="8"/>
  <c r="N16" i="8"/>
  <c r="Q12" i="8"/>
  <c r="N6" i="8"/>
  <c r="N9" i="8"/>
  <c r="Q18" i="8"/>
  <c r="N12" i="8"/>
  <c r="Q5" i="8"/>
  <c r="N4" i="8"/>
  <c r="Q6" i="8"/>
  <c r="N15" i="8"/>
  <c r="N18" i="8"/>
  <c r="Q8" i="8"/>
  <c r="Q11" i="8"/>
  <c r="N5" i="8"/>
  <c r="Q14" i="8"/>
  <c r="N8" i="8"/>
  <c r="Q17" i="8"/>
  <c r="N11" i="8"/>
  <c r="N14" i="8"/>
  <c r="Q4" i="8"/>
  <c r="N17" i="8"/>
  <c r="Q7" i="8"/>
  <c r="N7" i="8"/>
  <c r="N10" i="8"/>
  <c r="N13" i="8"/>
  <c r="R3" i="8"/>
  <c r="O3" i="8"/>
  <c r="Z37" i="6"/>
  <c r="W32" i="5"/>
  <c r="W30" i="5"/>
  <c r="W33" i="5"/>
  <c r="W28" i="5"/>
  <c r="W26" i="5"/>
  <c r="V27" i="5"/>
  <c r="W27" i="5" s="1"/>
  <c r="W25" i="5"/>
  <c r="W29" i="5"/>
  <c r="W31" i="5"/>
  <c r="BO5" i="11" l="1" a="1"/>
  <c r="BV17" i="11" s="1"/>
  <c r="BX5" i="11" a="1"/>
  <c r="BA5" i="11"/>
  <c r="AC4" i="4"/>
  <c r="AF4" i="4"/>
  <c r="O3" i="9"/>
  <c r="Z38" i="6"/>
  <c r="N3" i="8"/>
  <c r="Q3" i="8"/>
  <c r="AB5" i="4"/>
  <c r="AE5" i="4"/>
  <c r="AB8" i="4"/>
  <c r="AE10" i="4"/>
  <c r="AB6" i="4"/>
  <c r="AE6" i="4"/>
  <c r="AE8" i="4"/>
  <c r="AE9" i="4"/>
  <c r="AE11" i="4"/>
  <c r="AE13" i="4"/>
  <c r="AB14" i="4"/>
  <c r="AE14" i="4"/>
  <c r="AE15" i="4"/>
  <c r="AE16" i="4"/>
  <c r="AE17" i="4"/>
  <c r="AE18" i="4"/>
  <c r="AE19" i="4"/>
  <c r="AB7" i="4"/>
  <c r="AE7" i="4"/>
  <c r="AB9" i="4"/>
  <c r="AB10" i="4"/>
  <c r="AB11" i="4"/>
  <c r="AB12" i="4"/>
  <c r="AE12" i="4"/>
  <c r="AB13" i="4"/>
  <c r="AB15" i="4"/>
  <c r="AB16" i="4"/>
  <c r="AB17" i="4"/>
  <c r="AB18" i="4"/>
  <c r="AB19" i="4"/>
  <c r="BV6" i="11" l="1"/>
  <c r="BV11" i="11"/>
  <c r="BV12" i="11"/>
  <c r="BV18" i="11"/>
  <c r="BV14" i="11"/>
  <c r="BV19" i="11"/>
  <c r="BV7" i="11"/>
  <c r="BV9" i="11"/>
  <c r="BV15" i="11"/>
  <c r="BV8" i="11"/>
  <c r="BV16" i="11"/>
  <c r="BV13" i="11"/>
  <c r="BO5" i="11"/>
  <c r="BV5" i="11" s="1"/>
  <c r="BV10" i="11"/>
  <c r="CE25" i="11"/>
  <c r="CE22" i="11"/>
  <c r="CE13" i="11"/>
  <c r="CE6" i="11"/>
  <c r="CE16" i="11"/>
  <c r="CE8" i="11"/>
  <c r="BX5" i="11"/>
  <c r="CE5" i="11" s="1"/>
  <c r="CE20" i="11"/>
  <c r="CE14" i="11"/>
  <c r="CE23" i="11"/>
  <c r="CE11" i="11"/>
  <c r="CE9" i="11"/>
  <c r="CE7" i="11"/>
  <c r="CE24" i="11"/>
  <c r="CE19" i="11"/>
  <c r="CE15" i="11"/>
  <c r="CE12" i="11"/>
  <c r="CE10" i="11"/>
  <c r="CE18" i="11"/>
  <c r="CE17" i="11"/>
  <c r="CE21" i="11"/>
  <c r="Z39" i="6"/>
  <c r="AA42" i="6" s="1"/>
  <c r="AA41" i="6"/>
  <c r="CB46" i="6" s="1"/>
  <c r="CB5" i="6" s="1"/>
  <c r="AB4" i="4"/>
  <c r="AE4" i="4"/>
  <c r="AO46" i="6" l="1"/>
  <c r="AO5" i="6" s="1"/>
  <c r="BE46" i="6"/>
  <c r="BE5" i="6" s="1"/>
  <c r="AP46" i="6"/>
  <c r="AP5" i="6" s="1"/>
  <c r="BF46" i="6"/>
  <c r="BF5" i="6" s="1"/>
  <c r="BV46" i="6"/>
  <c r="BV5" i="6" s="1"/>
  <c r="AQ46" i="6"/>
  <c r="AQ5" i="6" s="1"/>
  <c r="AS46" i="6"/>
  <c r="AS5" i="6" s="1"/>
  <c r="BY46" i="6"/>
  <c r="BY5" i="6" s="1"/>
  <c r="BP46" i="6"/>
  <c r="BP5" i="6" s="1"/>
  <c r="BZ46" i="6"/>
  <c r="BZ5" i="6" s="1"/>
  <c r="BQ46" i="6"/>
  <c r="BQ5" i="6" s="1"/>
  <c r="AU46" i="6"/>
  <c r="AU5" i="6" s="1"/>
  <c r="BK46" i="6"/>
  <c r="BK5" i="6" s="1"/>
  <c r="AN46" i="6"/>
  <c r="AN5" i="6" s="1"/>
  <c r="BL46" i="6"/>
  <c r="BL5" i="6" s="1"/>
  <c r="BD46" i="6"/>
  <c r="BD5" i="6" s="1"/>
  <c r="AJ46" i="6"/>
  <c r="AJ5" i="6" s="1"/>
  <c r="BT46" i="6"/>
  <c r="BT5" i="6" s="1"/>
  <c r="AM46" i="6"/>
  <c r="AM5" i="6" s="1"/>
  <c r="AL46" i="6"/>
  <c r="AL5" i="6" s="1"/>
  <c r="BW46" i="6"/>
  <c r="BW5" i="6" s="1"/>
  <c r="AG46" i="6"/>
  <c r="AG5" i="6" s="1"/>
  <c r="AB46" i="6"/>
  <c r="AB5" i="6" s="1"/>
  <c r="AW46" i="6"/>
  <c r="AW5" i="6" s="1"/>
  <c r="AR46" i="6"/>
  <c r="AR5" i="6" s="1"/>
  <c r="BM46" i="6"/>
  <c r="BM5" i="6" s="1"/>
  <c r="BG46" i="6"/>
  <c r="BG5" i="6" s="1"/>
  <c r="AZ46" i="6"/>
  <c r="AZ5" i="6" s="1"/>
  <c r="AK46" i="6"/>
  <c r="AK5" i="6" s="1"/>
  <c r="AC46" i="6"/>
  <c r="AC5" i="6" s="1"/>
  <c r="BO46" i="6"/>
  <c r="BO5" i="6" s="1"/>
  <c r="CG46" i="6"/>
  <c r="CG5" i="6" s="1"/>
  <c r="CC46" i="6"/>
  <c r="CC5" i="6" s="1"/>
  <c r="BC46" i="6"/>
  <c r="BC5" i="6" s="1"/>
  <c r="BR46" i="6"/>
  <c r="BR5" i="6" s="1"/>
  <c r="AH46" i="6"/>
  <c r="AH5" i="6" s="1"/>
  <c r="CE46" i="6"/>
  <c r="CE5" i="6" s="1"/>
  <c r="AD46" i="6"/>
  <c r="AD5" i="6" s="1"/>
  <c r="AX46" i="6"/>
  <c r="AX5" i="6" s="1"/>
  <c r="BA46" i="6"/>
  <c r="BA5" i="6" s="1"/>
  <c r="AT46" i="6"/>
  <c r="AT5" i="6" s="1"/>
  <c r="AA46" i="6"/>
  <c r="AA5" i="6" s="1"/>
  <c r="BJ46" i="6"/>
  <c r="BJ5" i="6" s="1"/>
  <c r="BN46" i="6"/>
  <c r="BN5" i="6" s="1"/>
  <c r="BU46" i="6"/>
  <c r="BU5" i="6" s="1"/>
  <c r="BH46" i="6"/>
  <c r="BH5" i="6" s="1"/>
  <c r="BS46" i="6"/>
  <c r="BS5" i="6" s="1"/>
  <c r="CD46" i="6"/>
  <c r="CD5" i="6" s="1"/>
  <c r="CF46" i="6"/>
  <c r="CF5" i="6" s="1"/>
  <c r="BX46" i="6"/>
  <c r="BX5" i="6" s="1"/>
  <c r="Z41" i="6"/>
  <c r="CH46" i="6"/>
  <c r="CH5" i="6" s="1"/>
  <c r="AI46" i="6"/>
  <c r="AI5" i="6" s="1"/>
  <c r="AE46" i="6"/>
  <c r="AE5" i="6" s="1"/>
  <c r="AJ47" i="6"/>
  <c r="AJ6" i="6" s="1"/>
  <c r="CH47" i="6"/>
  <c r="CH6" i="6" s="1"/>
  <c r="BO47" i="6"/>
  <c r="BO6" i="6" s="1"/>
  <c r="BM47" i="6"/>
  <c r="BM6" i="6" s="1"/>
  <c r="BZ47" i="6"/>
  <c r="BZ6" i="6" s="1"/>
  <c r="BJ47" i="6"/>
  <c r="BJ6" i="6" s="1"/>
  <c r="AI47" i="6"/>
  <c r="AI6" i="6" s="1"/>
  <c r="BA47" i="6"/>
  <c r="BA6" i="6" s="1"/>
  <c r="AV47" i="6"/>
  <c r="AV6" i="6" s="1"/>
  <c r="BI47" i="6"/>
  <c r="BI6" i="6" s="1"/>
  <c r="Z42" i="6"/>
  <c r="BN47" i="6"/>
  <c r="BN6" i="6" s="1"/>
  <c r="BV47" i="6"/>
  <c r="BV6" i="6" s="1"/>
  <c r="AE47" i="6"/>
  <c r="AE6" i="6" s="1"/>
  <c r="BR47" i="6"/>
  <c r="BR6" i="6" s="1"/>
  <c r="AY47" i="6"/>
  <c r="AY6" i="6" s="1"/>
  <c r="AW47" i="6"/>
  <c r="AW6" i="6" s="1"/>
  <c r="BB47" i="6"/>
  <c r="BB6" i="6" s="1"/>
  <c r="AT47" i="6"/>
  <c r="AT6" i="6" s="1"/>
  <c r="AL47" i="6"/>
  <c r="AL6" i="6" s="1"/>
  <c r="CB47" i="6"/>
  <c r="CB6" i="6" s="1"/>
  <c r="AD47" i="6"/>
  <c r="AD6" i="6" s="1"/>
  <c r="BQ47" i="6"/>
  <c r="BQ6" i="6" s="1"/>
  <c r="BL47" i="6"/>
  <c r="BL6" i="6" s="1"/>
  <c r="AM47" i="6"/>
  <c r="AM6" i="6" s="1"/>
  <c r="CE47" i="6"/>
  <c r="CE6" i="6" s="1"/>
  <c r="AF47" i="6"/>
  <c r="AF6" i="6" s="1"/>
  <c r="AS47" i="6"/>
  <c r="AS6" i="6" s="1"/>
  <c r="AU47" i="6"/>
  <c r="AU6" i="6" s="1"/>
  <c r="AH47" i="6"/>
  <c r="AH6" i="6" s="1"/>
  <c r="BG47" i="6"/>
  <c r="BG6" i="6" s="1"/>
  <c r="AG47" i="6"/>
  <c r="AG6" i="6" s="1"/>
  <c r="BT47" i="6"/>
  <c r="BT6" i="6" s="1"/>
  <c r="BP47" i="6"/>
  <c r="BP6" i="6" s="1"/>
  <c r="CD47" i="6"/>
  <c r="CD6" i="6" s="1"/>
  <c r="AQ47" i="6"/>
  <c r="AQ6" i="6" s="1"/>
  <c r="BE47" i="6"/>
  <c r="BE6" i="6" s="1"/>
  <c r="BF47" i="6"/>
  <c r="BF6" i="6" s="1"/>
  <c r="BY47" i="6"/>
  <c r="BY6" i="6" s="1"/>
  <c r="BK47" i="6"/>
  <c r="BK6" i="6" s="1"/>
  <c r="AX47" i="6"/>
  <c r="AX6" i="6" s="1"/>
  <c r="AC47" i="6"/>
  <c r="AC6" i="6" s="1"/>
  <c r="CA47" i="6"/>
  <c r="CA6" i="6" s="1"/>
  <c r="BW47" i="6"/>
  <c r="BW6" i="6" s="1"/>
  <c r="AK47" i="6"/>
  <c r="AK6" i="6" s="1"/>
  <c r="CG47" i="6"/>
  <c r="CG6" i="6" s="1"/>
  <c r="BX47" i="6"/>
  <c r="BX6" i="6" s="1"/>
  <c r="AO47" i="6"/>
  <c r="AO6" i="6" s="1"/>
  <c r="AA47" i="6"/>
  <c r="AA6" i="6" s="1"/>
  <c r="BH47" i="6"/>
  <c r="BH6" i="6" s="1"/>
  <c r="BS47" i="6"/>
  <c r="BS6" i="6" s="1"/>
  <c r="BD47" i="6"/>
  <c r="BD6" i="6" s="1"/>
  <c r="BU47" i="6"/>
  <c r="BU6" i="6" s="1"/>
  <c r="AR47" i="6"/>
  <c r="AR6" i="6" s="1"/>
  <c r="CF47" i="6"/>
  <c r="CF6" i="6" s="1"/>
  <c r="BC47" i="6"/>
  <c r="BC6" i="6" s="1"/>
  <c r="AN47" i="6"/>
  <c r="AN6" i="6" s="1"/>
  <c r="AB47" i="6"/>
  <c r="AB6" i="6" s="1"/>
  <c r="AZ47" i="6"/>
  <c r="AZ6" i="6" s="1"/>
  <c r="AP47" i="6"/>
  <c r="AP6" i="6" s="1"/>
  <c r="CC47" i="6"/>
  <c r="CC6" i="6" s="1"/>
  <c r="BI46" i="6"/>
  <c r="BI5" i="6" s="1"/>
  <c r="AV46" i="6"/>
  <c r="AV5" i="6" s="1"/>
  <c r="AF46" i="6"/>
  <c r="AF5" i="6" s="1"/>
  <c r="BB46" i="6"/>
  <c r="BB5" i="6" s="1"/>
  <c r="AY46" i="6"/>
  <c r="AY5" i="6" s="1"/>
  <c r="CA46" i="6"/>
  <c r="CA5" i="6" s="1"/>
  <c r="AA16" i="6"/>
  <c r="Z19" i="6" s="1"/>
  <c r="AA11" i="6" l="1"/>
  <c r="AA10" i="6"/>
  <c r="AA9" i="6"/>
  <c r="Z15" i="6"/>
  <c r="Z20" i="6"/>
  <c r="AA23" i="6" l="1"/>
  <c r="Z21" i="6"/>
  <c r="AA24" i="6" s="1"/>
  <c r="BS28" i="6" l="1"/>
  <c r="CA28" i="6"/>
  <c r="AV28" i="6"/>
  <c r="AR28" i="6"/>
  <c r="AN28" i="6"/>
  <c r="AC28" i="6"/>
  <c r="AB28" i="6"/>
  <c r="BX28" i="6"/>
  <c r="AM28" i="6"/>
  <c r="AX28" i="6"/>
  <c r="BK28" i="6"/>
  <c r="BZ28" i="6"/>
  <c r="CD28" i="6"/>
  <c r="BE28" i="6"/>
  <c r="AH28" i="6"/>
  <c r="AZ28" i="6"/>
  <c r="AD28" i="6"/>
  <c r="BN28" i="6"/>
  <c r="CE28" i="6"/>
  <c r="AA28" i="6"/>
  <c r="AS28" i="6"/>
  <c r="BI28" i="6"/>
  <c r="CF28" i="6"/>
  <c r="BF28" i="6"/>
  <c r="AY28" i="6"/>
  <c r="CC28" i="6"/>
  <c r="BA28" i="6"/>
  <c r="BW28" i="6"/>
  <c r="AO28" i="6"/>
  <c r="BC28" i="6"/>
  <c r="BT28" i="6"/>
  <c r="BB28" i="6"/>
  <c r="CG28" i="6"/>
  <c r="BH28" i="6"/>
  <c r="CB28" i="6"/>
  <c r="BO28" i="6"/>
  <c r="BD28" i="6"/>
  <c r="BL28" i="6"/>
  <c r="AQ28" i="6"/>
  <c r="AE28" i="6"/>
  <c r="BU28" i="6"/>
  <c r="BR28" i="6"/>
  <c r="AT28" i="6"/>
  <c r="AI28" i="6"/>
  <c r="BV28" i="6"/>
  <c r="AW28" i="6"/>
  <c r="Z24" i="6"/>
  <c r="AF28" i="6"/>
  <c r="AK28" i="6"/>
  <c r="AJ28" i="6"/>
  <c r="AU28" i="6"/>
  <c r="AG28" i="6"/>
  <c r="BM28" i="6"/>
  <c r="BQ28" i="6"/>
  <c r="BJ28" i="6"/>
  <c r="BY28" i="6"/>
  <c r="AL28" i="6"/>
  <c r="AP28" i="6"/>
  <c r="BP28" i="6"/>
  <c r="CH28" i="6"/>
  <c r="BG28" i="6"/>
  <c r="BQ27" i="6"/>
  <c r="BQ45" i="6" s="1"/>
  <c r="BQ4" i="6" s="1"/>
  <c r="AS27" i="6"/>
  <c r="AS45" i="6" s="1"/>
  <c r="AS4" i="6" s="1"/>
  <c r="BZ27" i="6"/>
  <c r="BZ45" i="6" s="1"/>
  <c r="BZ4" i="6" s="1"/>
  <c r="BD27" i="6"/>
  <c r="BD45" i="6" s="1"/>
  <c r="BD4" i="6" s="1"/>
  <c r="AR27" i="6"/>
  <c r="AR45" i="6" s="1"/>
  <c r="AR4" i="6" s="1"/>
  <c r="AY27" i="6"/>
  <c r="AY45" i="6" s="1"/>
  <c r="AY4" i="6" s="1"/>
  <c r="BW27" i="6"/>
  <c r="BW45" i="6" s="1"/>
  <c r="BW4" i="6" s="1"/>
  <c r="CA27" i="6"/>
  <c r="CA45" i="6" s="1"/>
  <c r="CA4" i="6" s="1"/>
  <c r="Z23" i="6"/>
  <c r="AU27" i="6"/>
  <c r="AU45" i="6" s="1"/>
  <c r="AU4" i="6" s="1"/>
  <c r="CG27" i="6"/>
  <c r="BP27" i="6"/>
  <c r="BP45" i="6" s="1"/>
  <c r="BP4" i="6" s="1"/>
  <c r="BN27" i="6"/>
  <c r="BN45" i="6" s="1"/>
  <c r="BN4" i="6" s="1"/>
  <c r="BS27" i="6"/>
  <c r="BS45" i="6" s="1"/>
  <c r="BS4" i="6" s="1"/>
  <c r="BA27" i="6"/>
  <c r="BA45" i="6" s="1"/>
  <c r="BA4" i="6" s="1"/>
  <c r="AC27" i="6"/>
  <c r="AC45" i="6" s="1"/>
  <c r="AC4" i="6" s="1"/>
  <c r="AO27" i="6"/>
  <c r="AO45" i="6" s="1"/>
  <c r="AO4" i="6" s="1"/>
  <c r="AH27" i="6"/>
  <c r="AH45" i="6" s="1"/>
  <c r="AH4" i="6" s="1"/>
  <c r="CH27" i="6"/>
  <c r="AD27" i="6"/>
  <c r="AD45" i="6" s="1"/>
  <c r="AD4" i="6" s="1"/>
  <c r="AW27" i="6"/>
  <c r="AW45" i="6" s="1"/>
  <c r="AW4" i="6" s="1"/>
  <c r="CF27" i="6"/>
  <c r="CF45" i="6" s="1"/>
  <c r="CF4" i="6" s="1"/>
  <c r="BI27" i="6"/>
  <c r="BI45" i="6" s="1"/>
  <c r="BI4" i="6" s="1"/>
  <c r="AT27" i="6"/>
  <c r="AT45" i="6" s="1"/>
  <c r="AT4" i="6" s="1"/>
  <c r="BY27" i="6"/>
  <c r="BY45" i="6" s="1"/>
  <c r="BY4" i="6" s="1"/>
  <c r="BV27" i="6"/>
  <c r="BV45" i="6" s="1"/>
  <c r="BV4" i="6" s="1"/>
  <c r="BU27" i="6"/>
  <c r="BU45" i="6" s="1"/>
  <c r="BU4" i="6" s="1"/>
  <c r="CC27" i="6"/>
  <c r="CC45" i="6" s="1"/>
  <c r="CC4" i="6" s="1"/>
  <c r="AF27" i="6"/>
  <c r="AF45" i="6" s="1"/>
  <c r="AF4" i="6" s="1"/>
  <c r="CE27" i="6"/>
  <c r="CE45" i="6" s="1"/>
  <c r="CE4" i="6" s="1"/>
  <c r="BF27" i="6"/>
  <c r="BF45" i="6" s="1"/>
  <c r="BF4" i="6" s="1"/>
  <c r="AM27" i="6"/>
  <c r="AM45" i="6" s="1"/>
  <c r="AM4" i="6" s="1"/>
  <c r="AJ27" i="6"/>
  <c r="AJ45" i="6" s="1"/>
  <c r="AJ4" i="6" s="1"/>
  <c r="BB27" i="6"/>
  <c r="BB45" i="6" s="1"/>
  <c r="BB4" i="6" s="1"/>
  <c r="BM27" i="6"/>
  <c r="BM45" i="6" s="1"/>
  <c r="BM4" i="6" s="1"/>
  <c r="AQ27" i="6"/>
  <c r="AQ45" i="6" s="1"/>
  <c r="AQ4" i="6" s="1"/>
  <c r="BJ27" i="6"/>
  <c r="BJ45" i="6" s="1"/>
  <c r="BJ4" i="6" s="1"/>
  <c r="AB27" i="6"/>
  <c r="AB45" i="6" s="1"/>
  <c r="AB4" i="6" s="1"/>
  <c r="CD27" i="6"/>
  <c r="CD45" i="6" s="1"/>
  <c r="CD4" i="6" s="1"/>
  <c r="AK27" i="6"/>
  <c r="AK45" i="6" s="1"/>
  <c r="AK4" i="6" s="1"/>
  <c r="BT27" i="6"/>
  <c r="BT45" i="6" s="1"/>
  <c r="BT4" i="6" s="1"/>
  <c r="BH27" i="6"/>
  <c r="BH45" i="6" s="1"/>
  <c r="BH4" i="6" s="1"/>
  <c r="AG27" i="6"/>
  <c r="AG45" i="6" s="1"/>
  <c r="AG4" i="6" s="1"/>
  <c r="CB27" i="6"/>
  <c r="CB45" i="6" s="1"/>
  <c r="CB4" i="6" s="1"/>
  <c r="AP27" i="6"/>
  <c r="AP45" i="6" s="1"/>
  <c r="AP4" i="6" s="1"/>
  <c r="AE27" i="6"/>
  <c r="AE45" i="6" s="1"/>
  <c r="AE4" i="6" s="1"/>
  <c r="AA27" i="6"/>
  <c r="AA45" i="6" s="1"/>
  <c r="AA4" i="6" s="1"/>
  <c r="BL27" i="6"/>
  <c r="BL45" i="6" s="1"/>
  <c r="BL4" i="6" s="1"/>
  <c r="AX27" i="6"/>
  <c r="AX45" i="6" s="1"/>
  <c r="AX4" i="6" s="1"/>
  <c r="BO27" i="6"/>
  <c r="BO45" i="6" s="1"/>
  <c r="BO4" i="6" s="1"/>
  <c r="BR27" i="6"/>
  <c r="BR45" i="6" s="1"/>
  <c r="BR4" i="6" s="1"/>
  <c r="BE27" i="6"/>
  <c r="BE45" i="6" s="1"/>
  <c r="BE4" i="6" s="1"/>
  <c r="BC27" i="6"/>
  <c r="BC45" i="6" s="1"/>
  <c r="BC4" i="6" s="1"/>
  <c r="BX27" i="6"/>
  <c r="BX45" i="6" s="1"/>
  <c r="BX4" i="6" s="1"/>
  <c r="AN27" i="6"/>
  <c r="AN45" i="6" s="1"/>
  <c r="AN4" i="6" s="1"/>
  <c r="BG27" i="6"/>
  <c r="BG45" i="6" s="1"/>
  <c r="BG4" i="6" s="1"/>
  <c r="AV27" i="6"/>
  <c r="AV45" i="6" s="1"/>
  <c r="AV4" i="6" s="1"/>
  <c r="AL27" i="6"/>
  <c r="AL45" i="6" s="1"/>
  <c r="AL4" i="6" s="1"/>
  <c r="AZ27" i="6"/>
  <c r="AZ45" i="6" s="1"/>
  <c r="AZ4" i="6" s="1"/>
  <c r="AI27" i="6"/>
  <c r="AI45" i="6" s="1"/>
  <c r="AI4" i="6" s="1"/>
  <c r="BK27" i="6"/>
  <c r="BK45" i="6" s="1"/>
  <c r="BK4" i="6" s="1"/>
  <c r="CH45" i="6" l="1"/>
  <c r="CH4" i="6" s="1"/>
  <c r="CG45" i="6"/>
  <c r="CG4" i="6" s="1"/>
  <c r="AD18" i="1" l="1"/>
  <c r="AD35" i="1"/>
  <c r="AD36" i="1" l="1"/>
  <c r="AD19" i="1"/>
  <c r="AD20" i="1" l="1"/>
  <c r="AE23" i="1" s="1"/>
  <c r="AD37" i="1"/>
  <c r="AE40" i="1" s="1"/>
  <c r="AE22" i="1"/>
  <c r="AE39" i="1"/>
  <c r="BG45" i="1" l="1"/>
  <c r="BG6" i="1" s="1"/>
  <c r="AY45" i="1"/>
  <c r="AY6" i="1" s="1"/>
  <c r="CB45" i="1"/>
  <c r="CB6" i="1" s="1"/>
  <c r="BY45" i="1"/>
  <c r="BY6" i="1" s="1"/>
  <c r="AQ45" i="1"/>
  <c r="AQ6" i="1" s="1"/>
  <c r="AF45" i="1"/>
  <c r="AF6" i="1" s="1"/>
  <c r="CK45" i="1"/>
  <c r="CK6" i="1" s="1"/>
  <c r="CJ45" i="1"/>
  <c r="CJ6" i="1" s="1"/>
  <c r="BN45" i="1"/>
  <c r="BN6" i="1" s="1"/>
  <c r="CE45" i="1"/>
  <c r="CE6" i="1" s="1"/>
  <c r="BD45" i="1"/>
  <c r="BD6" i="1" s="1"/>
  <c r="AI45" i="1"/>
  <c r="AI6" i="1" s="1"/>
  <c r="BL45" i="1"/>
  <c r="BL6" i="1" s="1"/>
  <c r="BI45" i="1"/>
  <c r="BI6" i="1" s="1"/>
  <c r="BT45" i="1"/>
  <c r="BT6" i="1" s="1"/>
  <c r="AV45" i="1"/>
  <c r="AV6" i="1" s="1"/>
  <c r="BM45" i="1"/>
  <c r="BM6" i="1" s="1"/>
  <c r="AS45" i="1"/>
  <c r="AS6" i="1" s="1"/>
  <c r="CH45" i="1"/>
  <c r="CH6" i="1" s="1"/>
  <c r="AD40" i="1"/>
  <c r="CA45" i="1"/>
  <c r="CA6" i="1" s="1"/>
  <c r="BK45" i="1"/>
  <c r="BK6" i="1" s="1"/>
  <c r="AK45" i="1"/>
  <c r="AK6" i="1" s="1"/>
  <c r="AT45" i="1"/>
  <c r="AT6" i="1" s="1"/>
  <c r="AZ45" i="1"/>
  <c r="AZ6" i="1" s="1"/>
  <c r="CC45" i="1"/>
  <c r="CC6" i="1" s="1"/>
  <c r="AJ45" i="1"/>
  <c r="AJ6" i="1" s="1"/>
  <c r="BR45" i="1"/>
  <c r="BR6" i="1" s="1"/>
  <c r="BX45" i="1"/>
  <c r="BX6" i="1" s="1"/>
  <c r="AU45" i="1"/>
  <c r="AU6" i="1" s="1"/>
  <c r="BW45" i="1"/>
  <c r="BW6" i="1" s="1"/>
  <c r="BU45" i="1"/>
  <c r="BU6" i="1" s="1"/>
  <c r="BZ45" i="1"/>
  <c r="BZ6" i="1" s="1"/>
  <c r="AN45" i="1"/>
  <c r="AN6" i="1" s="1"/>
  <c r="BP45" i="1"/>
  <c r="BP6" i="1" s="1"/>
  <c r="CI45" i="1"/>
  <c r="CI6" i="1" s="1"/>
  <c r="AX45" i="1"/>
  <c r="AX6" i="1" s="1"/>
  <c r="AG45" i="1"/>
  <c r="AG6" i="1" s="1"/>
  <c r="BC45" i="1"/>
  <c r="BC6" i="1" s="1"/>
  <c r="BB45" i="1"/>
  <c r="BB6" i="1" s="1"/>
  <c r="AE45" i="1"/>
  <c r="AE6" i="1" s="1"/>
  <c r="CL45" i="1"/>
  <c r="CL6" i="1" s="1"/>
  <c r="BE45" i="1"/>
  <c r="BE6" i="1" s="1"/>
  <c r="BH45" i="1"/>
  <c r="BH6" i="1" s="1"/>
  <c r="CD45" i="1"/>
  <c r="CD6" i="1" s="1"/>
  <c r="AW45" i="1"/>
  <c r="AW6" i="1" s="1"/>
  <c r="AL45" i="1"/>
  <c r="AL6" i="1" s="1"/>
  <c r="CG45" i="1"/>
  <c r="CG6" i="1" s="1"/>
  <c r="AR45" i="1"/>
  <c r="AR6" i="1" s="1"/>
  <c r="BV45" i="1"/>
  <c r="BV6" i="1" s="1"/>
  <c r="AO45" i="1"/>
  <c r="AO6" i="1" s="1"/>
  <c r="BQ45" i="1"/>
  <c r="BQ6" i="1" s="1"/>
  <c r="BF45" i="1"/>
  <c r="BF6" i="1" s="1"/>
  <c r="BA45" i="1"/>
  <c r="BA6" i="1" s="1"/>
  <c r="CF45" i="1"/>
  <c r="CF6" i="1" s="1"/>
  <c r="BJ45" i="1"/>
  <c r="BJ6" i="1" s="1"/>
  <c r="AP45" i="1"/>
  <c r="AP6" i="1" s="1"/>
  <c r="BS45" i="1"/>
  <c r="BS6" i="1" s="1"/>
  <c r="BO45" i="1"/>
  <c r="BO6" i="1" s="1"/>
  <c r="AM45" i="1"/>
  <c r="AM6" i="1" s="1"/>
  <c r="AH45" i="1"/>
  <c r="AH6" i="1" s="1"/>
  <c r="BH27" i="1"/>
  <c r="BO27" i="1"/>
  <c r="AQ27" i="1"/>
  <c r="BA27" i="1"/>
  <c r="BW27" i="1"/>
  <c r="AE27" i="1"/>
  <c r="AH27" i="1"/>
  <c r="AW27" i="1"/>
  <c r="BZ27" i="1"/>
  <c r="BP27" i="1"/>
  <c r="BB27" i="1"/>
  <c r="BT27" i="1"/>
  <c r="AY27" i="1"/>
  <c r="AS27" i="1"/>
  <c r="CD27" i="1"/>
  <c r="AU27" i="1"/>
  <c r="BQ27" i="1"/>
  <c r="BJ27" i="1"/>
  <c r="AL27" i="1"/>
  <c r="CA27" i="1"/>
  <c r="AR27" i="1"/>
  <c r="BD27" i="1"/>
  <c r="BV27" i="1"/>
  <c r="CI27" i="1"/>
  <c r="BF27" i="1"/>
  <c r="BL27" i="1"/>
  <c r="CH27" i="1"/>
  <c r="AF27" i="1"/>
  <c r="AN27" i="1"/>
  <c r="AO27" i="1"/>
  <c r="CL27" i="1"/>
  <c r="CE27" i="1"/>
  <c r="AJ27" i="1"/>
  <c r="AD23" i="1"/>
  <c r="CK27" i="1"/>
  <c r="BX27" i="1"/>
  <c r="BM27" i="1"/>
  <c r="BC27" i="1"/>
  <c r="BE27" i="1"/>
  <c r="CB27" i="1"/>
  <c r="CC27" i="1"/>
  <c r="BS27" i="1"/>
  <c r="AK27" i="1"/>
  <c r="AG27" i="1"/>
  <c r="BY27" i="1"/>
  <c r="BI27" i="1"/>
  <c r="AX27" i="1"/>
  <c r="CF27" i="1"/>
  <c r="AP27" i="1"/>
  <c r="AZ27" i="1"/>
  <c r="BR27" i="1"/>
  <c r="AI27" i="1"/>
  <c r="BU27" i="1"/>
  <c r="AV27" i="1"/>
  <c r="AT27" i="1"/>
  <c r="CJ27" i="1"/>
  <c r="AM27" i="1"/>
  <c r="CG27" i="1"/>
  <c r="BG27" i="1"/>
  <c r="BN27" i="1"/>
  <c r="BK27" i="1"/>
  <c r="AT26" i="1"/>
  <c r="AT43" i="1" s="1"/>
  <c r="AT4" i="1" s="1"/>
  <c r="BY26" i="1"/>
  <c r="BY43" i="1" s="1"/>
  <c r="BY4" i="1" s="1"/>
  <c r="CH26" i="1"/>
  <c r="CH43" i="1" s="1"/>
  <c r="CH4" i="1" s="1"/>
  <c r="AV26" i="1"/>
  <c r="AV43" i="1" s="1"/>
  <c r="AV4" i="1" s="1"/>
  <c r="AZ26" i="1"/>
  <c r="AZ43" i="1" s="1"/>
  <c r="AZ4" i="1" s="1"/>
  <c r="AX26" i="1"/>
  <c r="AX43" i="1" s="1"/>
  <c r="AX4" i="1" s="1"/>
  <c r="CL26" i="1"/>
  <c r="BW26" i="1"/>
  <c r="BW43" i="1" s="1"/>
  <c r="BW4" i="1" s="1"/>
  <c r="CI26" i="1"/>
  <c r="CI43" i="1" s="1"/>
  <c r="CI4" i="1" s="1"/>
  <c r="AE26" i="1"/>
  <c r="AE43" i="1" s="1"/>
  <c r="AE4" i="1" s="1"/>
  <c r="BU26" i="1"/>
  <c r="BU43" i="1" s="1"/>
  <c r="BU4" i="1" s="1"/>
  <c r="AM26" i="1"/>
  <c r="AM43" i="1" s="1"/>
  <c r="AM4" i="1" s="1"/>
  <c r="AI26" i="1"/>
  <c r="AI43" i="1" s="1"/>
  <c r="AI4" i="1" s="1"/>
  <c r="BN26" i="1"/>
  <c r="BN43" i="1" s="1"/>
  <c r="BN4" i="1" s="1"/>
  <c r="AW26" i="1"/>
  <c r="AW43" i="1" s="1"/>
  <c r="AW4" i="1" s="1"/>
  <c r="AG26" i="1"/>
  <c r="AG43" i="1" s="1"/>
  <c r="AG4" i="1" s="1"/>
  <c r="BI26" i="1"/>
  <c r="BI43" i="1" s="1"/>
  <c r="BI4" i="1" s="1"/>
  <c r="BX26" i="1"/>
  <c r="BX43" i="1" s="1"/>
  <c r="BX4" i="1" s="1"/>
  <c r="BR26" i="1"/>
  <c r="BR43" i="1" s="1"/>
  <c r="BR4" i="1" s="1"/>
  <c r="AH26" i="1"/>
  <c r="AH43" i="1" s="1"/>
  <c r="AH4" i="1" s="1"/>
  <c r="AS26" i="1"/>
  <c r="AS43" i="1" s="1"/>
  <c r="AS4" i="1" s="1"/>
  <c r="BF26" i="1"/>
  <c r="BF43" i="1" s="1"/>
  <c r="BF4" i="1" s="1"/>
  <c r="AF26" i="1"/>
  <c r="AF43" i="1" s="1"/>
  <c r="AF4" i="1" s="1"/>
  <c r="BV26" i="1"/>
  <c r="BV43" i="1" s="1"/>
  <c r="BV4" i="1" s="1"/>
  <c r="BH26" i="1"/>
  <c r="BH43" i="1" s="1"/>
  <c r="BH4" i="1" s="1"/>
  <c r="BB26" i="1"/>
  <c r="BB43" i="1" s="1"/>
  <c r="BB4" i="1" s="1"/>
  <c r="AD22" i="1"/>
  <c r="BS26" i="1"/>
  <c r="BS43" i="1" s="1"/>
  <c r="BS4" i="1" s="1"/>
  <c r="AK26" i="1"/>
  <c r="AK43" i="1" s="1"/>
  <c r="AK4" i="1" s="1"/>
  <c r="BJ26" i="1"/>
  <c r="BJ43" i="1" s="1"/>
  <c r="BJ4" i="1" s="1"/>
  <c r="CK26" i="1"/>
  <c r="BL26" i="1"/>
  <c r="BL43" i="1" s="1"/>
  <c r="BL4" i="1" s="1"/>
  <c r="AR26" i="1"/>
  <c r="AR43" i="1" s="1"/>
  <c r="AR4" i="1" s="1"/>
  <c r="AL26" i="1"/>
  <c r="AL43" i="1" s="1"/>
  <c r="AL4" i="1" s="1"/>
  <c r="BQ26" i="1"/>
  <c r="BQ43" i="1" s="1"/>
  <c r="BQ4" i="1" s="1"/>
  <c r="BK26" i="1"/>
  <c r="BK43" i="1" s="1"/>
  <c r="BK4" i="1" s="1"/>
  <c r="CE26" i="1"/>
  <c r="CE43" i="1" s="1"/>
  <c r="CE4" i="1" s="1"/>
  <c r="BD26" i="1"/>
  <c r="BD43" i="1" s="1"/>
  <c r="BD4" i="1" s="1"/>
  <c r="CB26" i="1"/>
  <c r="CB43" i="1" s="1"/>
  <c r="CB4" i="1" s="1"/>
  <c r="AY26" i="1"/>
  <c r="AY43" i="1" s="1"/>
  <c r="AY4" i="1" s="1"/>
  <c r="BG26" i="1"/>
  <c r="BG43" i="1" s="1"/>
  <c r="BG4" i="1" s="1"/>
  <c r="AP26" i="1"/>
  <c r="AP43" i="1" s="1"/>
  <c r="AP4" i="1" s="1"/>
  <c r="CJ26" i="1"/>
  <c r="CJ43" i="1" s="1"/>
  <c r="CJ4" i="1" s="1"/>
  <c r="BE26" i="1"/>
  <c r="BE43" i="1" s="1"/>
  <c r="BE4" i="1" s="1"/>
  <c r="CG26" i="1"/>
  <c r="CG43" i="1" s="1"/>
  <c r="CG4" i="1" s="1"/>
  <c r="CA26" i="1"/>
  <c r="CA43" i="1" s="1"/>
  <c r="CA4" i="1" s="1"/>
  <c r="AO26" i="1"/>
  <c r="AO43" i="1" s="1"/>
  <c r="AO4" i="1" s="1"/>
  <c r="BA26" i="1"/>
  <c r="BA43" i="1" s="1"/>
  <c r="BA4" i="1" s="1"/>
  <c r="CF26" i="1"/>
  <c r="CF43" i="1" s="1"/>
  <c r="CF4" i="1" s="1"/>
  <c r="BO26" i="1"/>
  <c r="BO43" i="1" s="1"/>
  <c r="BO4" i="1" s="1"/>
  <c r="AQ26" i="1"/>
  <c r="AQ43" i="1" s="1"/>
  <c r="AQ4" i="1" s="1"/>
  <c r="BT26" i="1"/>
  <c r="BT43" i="1" s="1"/>
  <c r="BT4" i="1" s="1"/>
  <c r="BZ26" i="1"/>
  <c r="BZ43" i="1" s="1"/>
  <c r="BZ4" i="1" s="1"/>
  <c r="AN26" i="1"/>
  <c r="AN43" i="1" s="1"/>
  <c r="AN4" i="1" s="1"/>
  <c r="BP26" i="1"/>
  <c r="BP43" i="1" s="1"/>
  <c r="BP4" i="1" s="1"/>
  <c r="BC26" i="1"/>
  <c r="BC43" i="1" s="1"/>
  <c r="BC4" i="1" s="1"/>
  <c r="AJ26" i="1"/>
  <c r="AJ43" i="1" s="1"/>
  <c r="AJ4" i="1" s="1"/>
  <c r="CD26" i="1"/>
  <c r="CD43" i="1" s="1"/>
  <c r="CD4" i="1" s="1"/>
  <c r="BM26" i="1"/>
  <c r="BM43" i="1" s="1"/>
  <c r="BM4" i="1" s="1"/>
  <c r="AU26" i="1"/>
  <c r="AU43" i="1" s="1"/>
  <c r="AU4" i="1" s="1"/>
  <c r="CC26" i="1"/>
  <c r="CC43" i="1" s="1"/>
  <c r="CC4" i="1" s="1"/>
  <c r="AV44" i="1"/>
  <c r="AV5" i="1" s="1"/>
  <c r="BJ44" i="1"/>
  <c r="BJ5" i="1" s="1"/>
  <c r="CE44" i="1"/>
  <c r="CE5" i="1" s="1"/>
  <c r="CK44" i="1"/>
  <c r="CK5" i="1" s="1"/>
  <c r="CF44" i="1"/>
  <c r="CF5" i="1" s="1"/>
  <c r="BH44" i="1"/>
  <c r="BH5" i="1" s="1"/>
  <c r="BA44" i="1"/>
  <c r="BA5" i="1" s="1"/>
  <c r="BR44" i="1"/>
  <c r="BR5" i="1" s="1"/>
  <c r="BM44" i="1"/>
  <c r="BM5" i="1" s="1"/>
  <c r="BV44" i="1"/>
  <c r="BV5" i="1" s="1"/>
  <c r="BI44" i="1"/>
  <c r="BI5" i="1" s="1"/>
  <c r="AF44" i="1"/>
  <c r="AF5" i="1" s="1"/>
  <c r="AT44" i="1"/>
  <c r="AT5" i="1" s="1"/>
  <c r="BC44" i="1"/>
  <c r="BC5" i="1" s="1"/>
  <c r="BO44" i="1"/>
  <c r="BO5" i="1" s="1"/>
  <c r="BK44" i="1"/>
  <c r="BK5" i="1" s="1"/>
  <c r="AD39" i="1"/>
  <c r="BP44" i="1"/>
  <c r="BP5" i="1" s="1"/>
  <c r="AN44" i="1"/>
  <c r="AN5" i="1" s="1"/>
  <c r="CA44" i="1"/>
  <c r="CA5" i="1" s="1"/>
  <c r="AY44" i="1"/>
  <c r="AY5" i="1" s="1"/>
  <c r="AE44" i="1"/>
  <c r="AE5" i="1" s="1"/>
  <c r="BX44" i="1"/>
  <c r="BX5" i="1" s="1"/>
  <c r="BU44" i="1"/>
  <c r="BU5" i="1" s="1"/>
  <c r="AM44" i="1"/>
  <c r="AM5" i="1" s="1"/>
  <c r="BT44" i="1"/>
  <c r="BT5" i="1" s="1"/>
  <c r="AU44" i="1"/>
  <c r="AU5" i="1" s="1"/>
  <c r="BE44" i="1"/>
  <c r="BE5" i="1" s="1"/>
  <c r="BF44" i="1"/>
  <c r="BF5" i="1" s="1"/>
  <c r="AR44" i="1"/>
  <c r="AR5" i="1" s="1"/>
  <c r="BY44" i="1"/>
  <c r="BY5" i="1" s="1"/>
  <c r="AO44" i="1"/>
  <c r="AO5" i="1" s="1"/>
  <c r="AI44" i="1"/>
  <c r="AI5" i="1" s="1"/>
  <c r="AX44" i="1"/>
  <c r="AX5" i="1" s="1"/>
  <c r="BQ44" i="1"/>
  <c r="BQ5" i="1" s="1"/>
  <c r="AK44" i="1"/>
  <c r="AK5" i="1" s="1"/>
  <c r="AW44" i="1"/>
  <c r="AW5" i="1" s="1"/>
  <c r="CG44" i="1"/>
  <c r="CG5" i="1" s="1"/>
  <c r="AQ44" i="1"/>
  <c r="AQ5" i="1" s="1"/>
  <c r="CD44" i="1"/>
  <c r="CD5" i="1" s="1"/>
  <c r="BW44" i="1"/>
  <c r="BW5" i="1" s="1"/>
  <c r="BS44" i="1"/>
  <c r="BS5" i="1" s="1"/>
  <c r="BN44" i="1"/>
  <c r="BN5" i="1" s="1"/>
  <c r="AZ44" i="1"/>
  <c r="AZ5" i="1" s="1"/>
  <c r="BG44" i="1"/>
  <c r="BG5" i="1" s="1"/>
  <c r="AJ44" i="1"/>
  <c r="AJ5" i="1" s="1"/>
  <c r="AH44" i="1"/>
  <c r="AH5" i="1" s="1"/>
  <c r="BD44" i="1"/>
  <c r="BD5" i="1" s="1"/>
  <c r="CH44" i="1"/>
  <c r="CH5" i="1" s="1"/>
  <c r="CC44" i="1"/>
  <c r="CC5" i="1" s="1"/>
  <c r="CI44" i="1"/>
  <c r="CI5" i="1" s="1"/>
  <c r="BB44" i="1"/>
  <c r="BB5" i="1" s="1"/>
  <c r="CB44" i="1"/>
  <c r="CB5" i="1" s="1"/>
  <c r="CJ44" i="1"/>
  <c r="CJ5" i="1" s="1"/>
  <c r="AG44" i="1"/>
  <c r="AG5" i="1" s="1"/>
  <c r="BL44" i="1"/>
  <c r="BL5" i="1" s="1"/>
  <c r="BZ44" i="1"/>
  <c r="BZ5" i="1" s="1"/>
  <c r="AP44" i="1"/>
  <c r="AP5" i="1" s="1"/>
  <c r="AS44" i="1"/>
  <c r="AS5" i="1" s="1"/>
  <c r="CL44" i="1"/>
  <c r="CL5" i="1" s="1"/>
  <c r="AL44" i="1"/>
  <c r="AL5" i="1" s="1"/>
  <c r="AE11" i="1" l="1"/>
  <c r="AE9" i="1"/>
  <c r="AE10" i="1"/>
  <c r="CK43" i="1"/>
  <c r="CK4" i="1" s="1"/>
  <c r="CL43" i="1"/>
  <c r="CL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3" authorId="0" shapeId="0" xr:uid="{EAABF884-53D8-4D4F-BE4E-A6C4EE3977C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en</t>
        </r>
      </text>
    </comment>
    <comment ref="B38" authorId="0" shapeId="0" xr:uid="{7064EBD8-DE63-49FF-862B-215B263EF7E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et̚</t>
        </r>
      </text>
    </comment>
    <comment ref="B43" authorId="0" shapeId="0" xr:uid="{7CC9423E-A21D-4CE2-A9A9-D06CA303914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ək̚</t>
        </r>
      </text>
    </comment>
    <comment ref="B56" authorId="0" shapeId="0" xr:uid="{D80585E8-8B9E-4889-AEE4-B9F999BBEF5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</t>
        </r>
      </text>
    </comment>
    <comment ref="B72" authorId="0" shapeId="0" xr:uid="{06824495-0962-4CDB-B1C3-35BF2005B0A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</t>
        </r>
      </text>
    </comment>
    <comment ref="B73" authorId="0" shapeId="0" xr:uid="{604E5D06-CAB9-4851-A909-B5B35520943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10" authorId="0" shapeId="0" xr:uid="{49A0636B-B1AF-4057-8B4F-B9AF7D57580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</t>
        </r>
      </text>
    </comment>
    <comment ref="U10" authorId="0" shapeId="0" xr:uid="{FF25A841-DC14-4FF5-AD6A-E54A4C3DB04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ək̚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<sst xmlns="http://schemas.openxmlformats.org/spreadsheetml/2006/main" count="4074" uniqueCount="1348">
  <si>
    <t>huan_ciat_tps</t>
    <phoneticPr fontId="3" type="noConversion"/>
  </si>
  <si>
    <t>序號</t>
    <phoneticPr fontId="3" type="noConversion"/>
  </si>
  <si>
    <t>序號</t>
  </si>
  <si>
    <t>台羅拼音</t>
  </si>
  <si>
    <t>字典編碼</t>
  </si>
  <si>
    <t>按鍵</t>
  </si>
  <si>
    <t>注音符號</t>
  </si>
  <si>
    <t>b</t>
  </si>
  <si>
    <t>!</t>
  </si>
  <si>
    <t>ㆠ</t>
  </si>
  <si>
    <t>a</t>
  </si>
  <si>
    <t>8</t>
  </si>
  <si>
    <t>ㄚ</t>
  </si>
  <si>
    <t>:</t>
  </si>
  <si>
    <t>一</t>
  </si>
  <si>
    <t>台羅拼音</t>
    <phoneticPr fontId="3" type="noConversion"/>
  </si>
  <si>
    <t>b</t>
    <phoneticPr fontId="3" type="noConversion"/>
  </si>
  <si>
    <t>p</t>
    <phoneticPr fontId="3" type="noConversion"/>
  </si>
  <si>
    <t>ph</t>
    <phoneticPr fontId="3" type="noConversion"/>
  </si>
  <si>
    <t>m</t>
    <phoneticPr fontId="3" type="noConversion"/>
  </si>
  <si>
    <t>n</t>
    <phoneticPr fontId="3" type="noConversion"/>
  </si>
  <si>
    <t>t</t>
    <phoneticPr fontId="3" type="noConversion"/>
  </si>
  <si>
    <t>th</t>
    <phoneticPr fontId="3" type="noConversion"/>
  </si>
  <si>
    <t>l</t>
    <phoneticPr fontId="3" type="noConversion"/>
  </si>
  <si>
    <t>g</t>
    <phoneticPr fontId="3" type="noConversion"/>
  </si>
  <si>
    <t>k</t>
    <phoneticPr fontId="3" type="noConversion"/>
  </si>
  <si>
    <t>kh</t>
    <phoneticPr fontId="3" type="noConversion"/>
  </si>
  <si>
    <t>ng</t>
    <phoneticPr fontId="3" type="noConversion"/>
  </si>
  <si>
    <t>j</t>
    <phoneticPr fontId="3" type="noConversion"/>
  </si>
  <si>
    <t>z(ts)</t>
    <phoneticPr fontId="3" type="noConversion"/>
  </si>
  <si>
    <t>c(tsh)</t>
    <phoneticPr fontId="3" type="noConversion"/>
  </si>
  <si>
    <t>s</t>
    <phoneticPr fontId="3" type="noConversion"/>
  </si>
  <si>
    <t>h</t>
    <phoneticPr fontId="3" type="noConversion"/>
  </si>
  <si>
    <t>j(i)</t>
    <phoneticPr fontId="3" type="noConversion"/>
  </si>
  <si>
    <t>z(i)</t>
    <phoneticPr fontId="3" type="noConversion"/>
  </si>
  <si>
    <t>c(i)</t>
    <phoneticPr fontId="3" type="noConversion"/>
  </si>
  <si>
    <t>s(i)</t>
    <phoneticPr fontId="3" type="noConversion"/>
  </si>
  <si>
    <t>a</t>
    <phoneticPr fontId="3" type="noConversion"/>
  </si>
  <si>
    <t>i</t>
    <phoneticPr fontId="3" type="noConversion"/>
  </si>
  <si>
    <t>ir</t>
    <phoneticPr fontId="3" type="noConversion"/>
  </si>
  <si>
    <t>u</t>
    <phoneticPr fontId="3" type="noConversion"/>
  </si>
  <si>
    <t>e</t>
    <phoneticPr fontId="3" type="noConversion"/>
  </si>
  <si>
    <t>oo</t>
    <phoneticPr fontId="3" type="noConversion"/>
  </si>
  <si>
    <t>o</t>
    <phoneticPr fontId="3" type="noConversion"/>
  </si>
  <si>
    <t>-m</t>
    <phoneticPr fontId="3" type="noConversion"/>
  </si>
  <si>
    <t>-n</t>
    <phoneticPr fontId="3" type="noConversion"/>
  </si>
  <si>
    <t>-ng</t>
    <phoneticPr fontId="3" type="noConversion"/>
  </si>
  <si>
    <t>-p</t>
    <phoneticPr fontId="3" type="noConversion"/>
  </si>
  <si>
    <t>-t</t>
    <phoneticPr fontId="3" type="noConversion"/>
  </si>
  <si>
    <t>-k</t>
    <phoneticPr fontId="3" type="noConversion"/>
  </si>
  <si>
    <t>-h</t>
    <phoneticPr fontId="3" type="noConversion"/>
  </si>
  <si>
    <t>ai</t>
    <phoneticPr fontId="3" type="noConversion"/>
  </si>
  <si>
    <t>au</t>
    <phoneticPr fontId="3" type="noConversion"/>
  </si>
  <si>
    <t>am</t>
    <phoneticPr fontId="3" type="noConversion"/>
  </si>
  <si>
    <t>an</t>
    <phoneticPr fontId="3" type="noConversion"/>
  </si>
  <si>
    <t>ang</t>
    <phoneticPr fontId="3" type="noConversion"/>
  </si>
  <si>
    <t>om</t>
    <phoneticPr fontId="3" type="noConversion"/>
  </si>
  <si>
    <t>ong</t>
    <phoneticPr fontId="3" type="noConversion"/>
  </si>
  <si>
    <t>Ø</t>
    <phoneticPr fontId="3" type="noConversion"/>
  </si>
  <si>
    <t>p</t>
  </si>
  <si>
    <t>1</t>
  </si>
  <si>
    <t>ㄅ</t>
  </si>
  <si>
    <t>i</t>
  </si>
  <si>
    <t>u</t>
  </si>
  <si>
    <t>ㄧ</t>
  </si>
  <si>
    <t>七</t>
  </si>
  <si>
    <t>字典編碼</t>
    <phoneticPr fontId="3" type="noConversion"/>
  </si>
  <si>
    <t>P</t>
  </si>
  <si>
    <t>m</t>
  </si>
  <si>
    <t>n</t>
  </si>
  <si>
    <t>t</t>
  </si>
  <si>
    <t>T</t>
  </si>
  <si>
    <t>l</t>
  </si>
  <si>
    <t>g</t>
  </si>
  <si>
    <t>K</t>
  </si>
  <si>
    <t>ŋ</t>
  </si>
  <si>
    <t>j</t>
  </si>
  <si>
    <t>z</t>
    <phoneticPr fontId="3" type="noConversion"/>
  </si>
  <si>
    <t>c</t>
  </si>
  <si>
    <t>s</t>
  </si>
  <si>
    <t>h</t>
  </si>
  <si>
    <t>J</t>
  </si>
  <si>
    <t>C</t>
  </si>
  <si>
    <t>S</t>
  </si>
  <si>
    <t>w</t>
  </si>
  <si>
    <t>e</t>
  </si>
  <si>
    <t>O</t>
  </si>
  <si>
    <t>ə</t>
  </si>
  <si>
    <t>M</t>
  </si>
  <si>
    <t>N</t>
  </si>
  <si>
    <t>G</t>
  </si>
  <si>
    <t>R</t>
  </si>
  <si>
    <t>F</t>
  </si>
  <si>
    <t>V</t>
  </si>
  <si>
    <t>I</t>
  </si>
  <si>
    <t>U</t>
  </si>
  <si>
    <t>@</t>
  </si>
  <si>
    <t>A</t>
  </si>
  <si>
    <t>W</t>
  </si>
  <si>
    <t>d</t>
    <phoneticPr fontId="3" type="noConversion"/>
  </si>
  <si>
    <t>r</t>
  </si>
  <si>
    <t>x</t>
  </si>
  <si>
    <t>L</t>
  </si>
  <si>
    <t>ph</t>
  </si>
  <si>
    <t>q</t>
  </si>
  <si>
    <t>ㄆ</t>
  </si>
  <si>
    <t>ir</t>
  </si>
  <si>
    <t>ㆨ</t>
  </si>
  <si>
    <t>三</t>
  </si>
  <si>
    <t>鍵盤按鍵</t>
    <phoneticPr fontId="3" type="noConversion"/>
  </si>
  <si>
    <t>2</t>
  </si>
  <si>
    <t>E</t>
  </si>
  <si>
    <t>d</t>
  </si>
  <si>
    <t>N</t>
    <phoneticPr fontId="3" type="noConversion"/>
  </si>
  <si>
    <t>Y</t>
  </si>
  <si>
    <t>y</t>
  </si>
  <si>
    <t>f</t>
  </si>
  <si>
    <t>v</t>
  </si>
  <si>
    <t>,</t>
  </si>
  <si>
    <t>k</t>
  </si>
  <si>
    <t>/</t>
  </si>
  <si>
    <t>z</t>
  </si>
  <si>
    <t>9</t>
  </si>
  <si>
    <t>0</t>
  </si>
  <si>
    <t>;</t>
  </si>
  <si>
    <t>o</t>
  </si>
  <si>
    <t>*</t>
  </si>
  <si>
    <t>&lt;</t>
  </si>
  <si>
    <t>(</t>
  </si>
  <si>
    <t>=</t>
    <phoneticPr fontId="3" type="noConversion"/>
  </si>
  <si>
    <t>"</t>
    <phoneticPr fontId="3" type="noConversion"/>
  </si>
  <si>
    <t>]</t>
  </si>
  <si>
    <t>[</t>
  </si>
  <si>
    <t>ㄇ</t>
  </si>
  <si>
    <t>ㄨ</t>
  </si>
  <si>
    <t>二</t>
  </si>
  <si>
    <t>注音符號</t>
    <phoneticPr fontId="3" type="noConversion"/>
  </si>
  <si>
    <t>ㄋ</t>
  </si>
  <si>
    <t>ㄉ</t>
  </si>
  <si>
    <t>ㄊ</t>
  </si>
  <si>
    <t>ㄌ</t>
  </si>
  <si>
    <t>ㆣ</t>
  </si>
  <si>
    <t>ㄍ</t>
  </si>
  <si>
    <t>ㄎ</t>
  </si>
  <si>
    <t>ㄫ</t>
  </si>
  <si>
    <t>ㆡ</t>
  </si>
  <si>
    <t>ㄗ</t>
  </si>
  <si>
    <t>ㄘ</t>
  </si>
  <si>
    <t>ㄙ</t>
  </si>
  <si>
    <t>ㄏ</t>
  </si>
  <si>
    <t>ㆢ</t>
  </si>
  <si>
    <t>ㄐ</t>
  </si>
  <si>
    <t>ㄑ</t>
  </si>
  <si>
    <t>ㄒ</t>
  </si>
  <si>
    <t>ㆤ</t>
  </si>
  <si>
    <t>ㆦ</t>
  </si>
  <si>
    <t>ㄜ</t>
  </si>
  <si>
    <t>ㆬ</t>
  </si>
  <si>
    <t>ㄣ</t>
  </si>
  <si>
    <t>ㆭ</t>
  </si>
  <si>
    <t>ㆴ</t>
  </si>
  <si>
    <t>ㆵ</t>
  </si>
  <si>
    <t>ㆻ</t>
  </si>
  <si>
    <t>ㆷ</t>
  </si>
  <si>
    <t>ㄞ</t>
  </si>
  <si>
    <t>ㄠ</t>
  </si>
  <si>
    <t>ㆰ</t>
  </si>
  <si>
    <t>ㄢ</t>
  </si>
  <si>
    <t>ㄤ</t>
  </si>
  <si>
    <t>ㆱ</t>
  </si>
  <si>
    <t>ㆲ</t>
  </si>
  <si>
    <t>ㆩ</t>
  </si>
  <si>
    <t>ㆪ</t>
  </si>
  <si>
    <t>ㆫ</t>
  </si>
  <si>
    <t>ㆥ</t>
  </si>
  <si>
    <t>ㆧ</t>
  </si>
  <si>
    <t>ㆮ</t>
  </si>
  <si>
    <t>ㆯ</t>
  </si>
  <si>
    <t>ㄥ</t>
  </si>
  <si>
    <t>Ø</t>
  </si>
  <si>
    <t>五</t>
  </si>
  <si>
    <t>八</t>
  </si>
  <si>
    <t>四</t>
  </si>
  <si>
    <t>入</t>
  </si>
  <si>
    <t>oo</t>
  </si>
  <si>
    <t>speller</t>
    <phoneticPr fontId="3" type="noConversion"/>
  </si>
  <si>
    <t>th</t>
  </si>
  <si>
    <t>./alphabet</t>
    <phoneticPr fontId="3" type="noConversion"/>
  </si>
  <si>
    <t>-m</t>
  </si>
  <si>
    <t>./initials</t>
    <phoneticPr fontId="3" type="noConversion"/>
  </si>
  <si>
    <t>-n</t>
  </si>
  <si>
    <t>./finals</t>
    <phoneticPr fontId="3" type="noConversion"/>
  </si>
  <si>
    <t>-ng</t>
  </si>
  <si>
    <t>ⁿ</t>
  </si>
  <si>
    <t>U+207F</t>
  </si>
  <si>
    <t>kh</t>
  </si>
  <si>
    <t>-p</t>
  </si>
  <si>
    <t>algebra:</t>
    <phoneticPr fontId="3" type="noConversion"/>
  </si>
  <si>
    <t>ng</t>
  </si>
  <si>
    <t>-t</t>
  </si>
  <si>
    <t>-k</t>
  </si>
  <si>
    <t>Q</t>
  </si>
  <si>
    <t>z(ts)</t>
  </si>
  <si>
    <t>-h</t>
  </si>
  <si>
    <t>第1個 |：</t>
    <phoneticPr fontId="3" type="noConversion"/>
  </si>
  <si>
    <t>c(tsh)</t>
  </si>
  <si>
    <t>ai</t>
  </si>
  <si>
    <t>第2個 |：</t>
  </si>
  <si>
    <t>au</t>
  </si>
  <si>
    <t>第3個 |：</t>
  </si>
  <si>
    <t>am</t>
  </si>
  <si>
    <t>j(i)</t>
  </si>
  <si>
    <t>an</t>
  </si>
  <si>
    <t>z(i)</t>
  </si>
  <si>
    <t>Z</t>
  </si>
  <si>
    <t>ang</t>
  </si>
  <si>
    <t>按鍵</t>
    <phoneticPr fontId="3" type="noConversion"/>
  </si>
  <si>
    <t>c(i)</t>
  </si>
  <si>
    <t>om</t>
  </si>
  <si>
    <t>s(i)</t>
  </si>
  <si>
    <t>ong</t>
  </si>
  <si>
    <t>H</t>
  </si>
  <si>
    <t>aⁿ</t>
  </si>
  <si>
    <t>iⁿ</t>
  </si>
  <si>
    <t>uⁿ</t>
  </si>
  <si>
    <t>eⁿ</t>
  </si>
  <si>
    <t>oⁿ</t>
  </si>
  <si>
    <t>preedit_format:</t>
    <phoneticPr fontId="3" type="noConversion"/>
  </si>
  <si>
    <t>aiⁿ</t>
  </si>
  <si>
    <t>auⁿ</t>
  </si>
  <si>
    <t>鍵盤按鍵</t>
  </si>
  <si>
    <t>-</t>
  </si>
  <si>
    <t>=</t>
  </si>
  <si>
    <t>ts</t>
  </si>
  <si>
    <t>ts</t>
    <phoneticPr fontId="3" type="noConversion"/>
  </si>
  <si>
    <t>tsh</t>
  </si>
  <si>
    <t>tsh</t>
    <phoneticPr fontId="3" type="noConversion"/>
  </si>
  <si>
    <t>識別號</t>
  </si>
  <si>
    <t>序號</t>
    <phoneticPr fontId="19" type="noConversion"/>
  </si>
  <si>
    <t>國際音標</t>
  </si>
  <si>
    <t>台語音標</t>
  </si>
  <si>
    <t>閩拼方案</t>
  </si>
  <si>
    <t>白話字</t>
  </si>
  <si>
    <t>方音符號</t>
  </si>
  <si>
    <t>台語注音</t>
  </si>
  <si>
    <t>十五音</t>
  </si>
  <si>
    <t>漢字例</t>
  </si>
  <si>
    <t>備註</t>
  </si>
  <si>
    <t>s1</t>
    <phoneticPr fontId="19" type="noConversion"/>
  </si>
  <si>
    <t>s2</t>
    <phoneticPr fontId="19" type="noConversion"/>
  </si>
  <si>
    <t>s3</t>
    <phoneticPr fontId="19" type="noConversion"/>
  </si>
  <si>
    <t>英</t>
  </si>
  <si>
    <t>以</t>
  </si>
  <si>
    <t>Ø</t>
    <phoneticPr fontId="19" type="noConversion"/>
  </si>
  <si>
    <t>bbn</t>
  </si>
  <si>
    <t>毛</t>
  </si>
  <si>
    <t xml:space="preserve">b/m 本不分，此處分門/毛 </t>
  </si>
  <si>
    <t>m</t>
    <phoneticPr fontId="19" type="noConversion"/>
  </si>
  <si>
    <t>bbn</t>
    <phoneticPr fontId="19" type="noConversion"/>
  </si>
  <si>
    <t>bb</t>
  </si>
  <si>
    <t>ㄪ</t>
  </si>
  <si>
    <t>門</t>
  </si>
  <si>
    <t>美</t>
  </si>
  <si>
    <t>bb</t>
    <phoneticPr fontId="19" type="noConversion"/>
  </si>
  <si>
    <t>邊</t>
  </si>
  <si>
    <t>比</t>
  </si>
  <si>
    <t>b</t>
    <phoneticPr fontId="19" type="noConversion"/>
  </si>
  <si>
    <t>pʰ</t>
  </si>
  <si>
    <t>頗</t>
  </si>
  <si>
    <t>鄙</t>
  </si>
  <si>
    <t>p</t>
    <phoneticPr fontId="19" type="noConversion"/>
  </si>
  <si>
    <t>ln</t>
  </si>
  <si>
    <t>耐</t>
  </si>
  <si>
    <t xml:space="preserve">l/n 本不分，此處分柳/耐 </t>
  </si>
  <si>
    <t>n</t>
    <phoneticPr fontId="19" type="noConversion"/>
  </si>
  <si>
    <t>ln</t>
    <phoneticPr fontId="19" type="noConversion"/>
  </si>
  <si>
    <t>柳</t>
  </si>
  <si>
    <t>理</t>
  </si>
  <si>
    <t>l</t>
    <phoneticPr fontId="19" type="noConversion"/>
  </si>
  <si>
    <t>地</t>
  </si>
  <si>
    <t>底</t>
  </si>
  <si>
    <t>d</t>
    <phoneticPr fontId="19" type="noConversion"/>
  </si>
  <si>
    <t>tʰ</t>
  </si>
  <si>
    <t>他</t>
  </si>
  <si>
    <t>恥</t>
  </si>
  <si>
    <t>t</t>
    <phoneticPr fontId="19" type="noConversion"/>
  </si>
  <si>
    <t>ggn</t>
  </si>
  <si>
    <t xml:space="preserve">⁰ㄫ </t>
  </si>
  <si>
    <t>雅</t>
  </si>
  <si>
    <t xml:space="preserve">g/ng 本不分，此處分語/雅 </t>
  </si>
  <si>
    <t>ng</t>
    <phoneticPr fontId="19" type="noConversion"/>
  </si>
  <si>
    <t>ggn</t>
    <phoneticPr fontId="19" type="noConversion"/>
  </si>
  <si>
    <t>ɡ</t>
  </si>
  <si>
    <t>gg</t>
  </si>
  <si>
    <t>語</t>
  </si>
  <si>
    <t>禦</t>
  </si>
  <si>
    <t>gg</t>
    <phoneticPr fontId="19" type="noConversion"/>
  </si>
  <si>
    <t>求</t>
  </si>
  <si>
    <t>己</t>
  </si>
  <si>
    <t>g</t>
    <phoneticPr fontId="19" type="noConversion"/>
  </si>
  <si>
    <t>kʰ</t>
  </si>
  <si>
    <t>去</t>
  </si>
  <si>
    <t>起</t>
  </si>
  <si>
    <t>k</t>
    <phoneticPr fontId="19" type="noConversion"/>
  </si>
  <si>
    <t>ʣ</t>
  </si>
  <si>
    <t>zz</t>
  </si>
  <si>
    <t>ㄖ</t>
  </si>
  <si>
    <t>熱</t>
  </si>
  <si>
    <t>zz</t>
    <phoneticPr fontId="19" type="noConversion"/>
  </si>
  <si>
    <t>ʦ</t>
  </si>
  <si>
    <t>ch</t>
  </si>
  <si>
    <t>曾</t>
  </si>
  <si>
    <t>阻</t>
  </si>
  <si>
    <t>z</t>
    <phoneticPr fontId="19" type="noConversion"/>
  </si>
  <si>
    <t>ʦʰ</t>
  </si>
  <si>
    <t>chh</t>
  </si>
  <si>
    <t>ㄘ</t>
    <phoneticPr fontId="19" type="noConversion"/>
  </si>
  <si>
    <t>出</t>
  </si>
  <si>
    <t>取</t>
  </si>
  <si>
    <t>c</t>
    <phoneticPr fontId="19" type="noConversion"/>
  </si>
  <si>
    <t>ㄙ</t>
    <phoneticPr fontId="19" type="noConversion"/>
  </si>
  <si>
    <t>時</t>
  </si>
  <si>
    <t>詞</t>
  </si>
  <si>
    <t>s</t>
    <phoneticPr fontId="19" type="noConversion"/>
  </si>
  <si>
    <t>ʥ</t>
  </si>
  <si>
    <t>ji</t>
  </si>
  <si>
    <t>jj</t>
    <phoneticPr fontId="19" type="noConversion"/>
  </si>
  <si>
    <t>zzi</t>
  </si>
  <si>
    <t>ㆢ = ㆡㄧ</t>
    <phoneticPr fontId="19" type="noConversion"/>
  </si>
  <si>
    <t>jji</t>
    <phoneticPr fontId="19" type="noConversion"/>
  </si>
  <si>
    <t>zzi</t>
    <phoneticPr fontId="19" type="noConversion"/>
  </si>
  <si>
    <t>ʨ</t>
  </si>
  <si>
    <t>tsi</t>
  </si>
  <si>
    <t>zi</t>
  </si>
  <si>
    <t>j</t>
    <phoneticPr fontId="19" type="noConversion"/>
  </si>
  <si>
    <t>chi</t>
  </si>
  <si>
    <t>ㄐ</t>
    <phoneticPr fontId="19" type="noConversion"/>
  </si>
  <si>
    <t>止</t>
  </si>
  <si>
    <t>ㄐ = ㄗㄧ</t>
    <phoneticPr fontId="19" type="noConversion"/>
  </si>
  <si>
    <t>ji</t>
    <phoneticPr fontId="19" type="noConversion"/>
  </si>
  <si>
    <t>zi</t>
    <phoneticPr fontId="19" type="noConversion"/>
  </si>
  <si>
    <t>ʨʰ</t>
  </si>
  <si>
    <t>tshi</t>
  </si>
  <si>
    <t>ci</t>
  </si>
  <si>
    <t>ch</t>
    <phoneticPr fontId="19" type="noConversion"/>
  </si>
  <si>
    <t>chhi</t>
  </si>
  <si>
    <t>ㄑ</t>
    <phoneticPr fontId="19" type="noConversion"/>
  </si>
  <si>
    <t>測</t>
  </si>
  <si>
    <t>ㄑ = ㄘㄧ</t>
    <phoneticPr fontId="19" type="noConversion"/>
  </si>
  <si>
    <t>chi</t>
    <phoneticPr fontId="19" type="noConversion"/>
  </si>
  <si>
    <t>ci</t>
    <phoneticPr fontId="19" type="noConversion"/>
  </si>
  <si>
    <t>ɕ</t>
  </si>
  <si>
    <t>si</t>
  </si>
  <si>
    <t>sh</t>
    <phoneticPr fontId="19" type="noConversion"/>
  </si>
  <si>
    <t>ㄒ</t>
    <phoneticPr fontId="19" type="noConversion"/>
  </si>
  <si>
    <t>惜</t>
  </si>
  <si>
    <t>ㄒ = ㄙㄧ</t>
    <phoneticPr fontId="19" type="noConversion"/>
  </si>
  <si>
    <t>shi</t>
    <phoneticPr fontId="19" type="noConversion"/>
  </si>
  <si>
    <t>si</t>
    <phoneticPr fontId="19" type="noConversion"/>
  </si>
  <si>
    <t>喜</t>
  </si>
  <si>
    <t>h</t>
    <phoneticPr fontId="19" type="noConversion"/>
  </si>
  <si>
    <t>⁰</t>
    <phoneticPr fontId="19" type="noConversion"/>
  </si>
  <si>
    <t>台羅拼音</t>
    <phoneticPr fontId="19" type="noConversion"/>
  </si>
  <si>
    <t>台語音標</t>
    <phoneticPr fontId="19" type="noConversion"/>
  </si>
  <si>
    <t>閩拼方案</t>
    <phoneticPr fontId="19" type="noConversion"/>
  </si>
  <si>
    <t>白話字</t>
    <phoneticPr fontId="19" type="noConversion"/>
  </si>
  <si>
    <t>方音符號</t>
    <phoneticPr fontId="19" type="noConversion"/>
  </si>
  <si>
    <t>U+0301</t>
  </si>
  <si>
    <t>U+0300</t>
  </si>
  <si>
    <t>U+030C</t>
    <phoneticPr fontId="19" type="noConversion"/>
  </si>
  <si>
    <t>U+0301</t>
    <phoneticPr fontId="19" type="noConversion"/>
  </si>
  <si>
    <t>U+0304</t>
  </si>
  <si>
    <t>U+030D</t>
  </si>
  <si>
    <t>U+030B</t>
  </si>
  <si>
    <t>U+030A</t>
  </si>
  <si>
    <t>a</t>
    <phoneticPr fontId="19" type="noConversion"/>
  </si>
  <si>
    <t>aʔ</t>
    <phoneticPr fontId="19" type="noConversion"/>
  </si>
  <si>
    <t>ah</t>
  </si>
  <si>
    <t>ㄚㆷ</t>
  </si>
  <si>
    <t>u</t>
    <phoneticPr fontId="19" type="noConversion"/>
  </si>
  <si>
    <t>o</t>
    <phoneticPr fontId="19" type="noConversion"/>
  </si>
  <si>
    <t>aih</t>
  </si>
  <si>
    <t>aih</t>
    <phoneticPr fontId="19" type="noConversion"/>
  </si>
  <si>
    <r>
      <rPr>
        <sz val="18"/>
        <color rgb="FF000000"/>
        <rFont val="Noto Sans TC"/>
        <family val="2"/>
        <charset val="136"/>
      </rPr>
      <t>ㄞ</t>
    </r>
    <r>
      <rPr>
        <sz val="18"/>
        <color rgb="FF000000"/>
        <rFont val="Microsoft JhengHei"/>
        <family val="2"/>
      </rPr>
      <t>ㄏ</t>
    </r>
    <phoneticPr fontId="19" type="noConversion"/>
  </si>
  <si>
    <t>ainn</t>
  </si>
  <si>
    <t>nai</t>
  </si>
  <si>
    <t>⁰ㄞ</t>
  </si>
  <si>
    <t>ak</t>
  </si>
  <si>
    <t>e</t>
    <phoneticPr fontId="19" type="noConversion"/>
  </si>
  <si>
    <t>am</t>
    <phoneticPr fontId="19" type="noConversion"/>
  </si>
  <si>
    <t>ㄚㄇ</t>
  </si>
  <si>
    <t>an</t>
    <phoneticPr fontId="19" type="noConversion"/>
  </si>
  <si>
    <t>ã</t>
    <phoneticPr fontId="19" type="noConversion"/>
  </si>
  <si>
    <t>ann</t>
  </si>
  <si>
    <t>na</t>
  </si>
  <si>
    <t>⁰ㄚ</t>
  </si>
  <si>
    <t>i</t>
    <phoneticPr fontId="19" type="noConversion"/>
  </si>
  <si>
    <t>ãʔ</t>
    <phoneticPr fontId="19" type="noConversion"/>
  </si>
  <si>
    <t>annh</t>
  </si>
  <si>
    <t>annh</t>
    <phoneticPr fontId="19" type="noConversion"/>
  </si>
  <si>
    <t>nah</t>
    <phoneticPr fontId="19" type="noConversion"/>
  </si>
  <si>
    <t>ㆩㆷ</t>
  </si>
  <si>
    <t>ap</t>
  </si>
  <si>
    <t>at</t>
  </si>
  <si>
    <t>ao</t>
  </si>
  <si>
    <t>auʔ</t>
    <phoneticPr fontId="19" type="noConversion"/>
  </si>
  <si>
    <t>auh</t>
  </si>
  <si>
    <t>aoh</t>
  </si>
  <si>
    <t>e</t>
    <phoneticPr fontId="46" type="noConversion"/>
  </si>
  <si>
    <t>ㄝ</t>
  </si>
  <si>
    <t>ee</t>
    <phoneticPr fontId="19" type="noConversion"/>
  </si>
  <si>
    <t>eeh</t>
    <phoneticPr fontId="19" type="noConversion"/>
  </si>
  <si>
    <t>eʔ</t>
    <phoneticPr fontId="19" type="noConversion"/>
  </si>
  <si>
    <t>eh</t>
  </si>
  <si>
    <t>ㆤㆷ</t>
  </si>
  <si>
    <t>ek</t>
    <phoneticPr fontId="19" type="noConversion"/>
  </si>
  <si>
    <t>eng</t>
    <phoneticPr fontId="19" type="noConversion"/>
  </si>
  <si>
    <t>ẽ</t>
    <phoneticPr fontId="19" type="noConversion"/>
  </si>
  <si>
    <t>enn</t>
  </si>
  <si>
    <t>ne</t>
  </si>
  <si>
    <t>⁰ㄝ</t>
  </si>
  <si>
    <t>ẽʔ</t>
    <phoneticPr fontId="19" type="noConversion"/>
  </si>
  <si>
    <t>ennh</t>
    <phoneticPr fontId="19" type="noConversion"/>
  </si>
  <si>
    <t>ㆥㆷ</t>
    <phoneticPr fontId="19" type="noConversion"/>
  </si>
  <si>
    <t>ia</t>
  </si>
  <si>
    <t>iah</t>
  </si>
  <si>
    <t>iak</t>
  </si>
  <si>
    <t>iam</t>
  </si>
  <si>
    <t>ian</t>
  </si>
  <si>
    <t>iang</t>
  </si>
  <si>
    <t>iann</t>
  </si>
  <si>
    <t>nia</t>
  </si>
  <si>
    <t>iannh</t>
    <phoneticPr fontId="19" type="noConversion"/>
  </si>
  <si>
    <t>iap</t>
  </si>
  <si>
    <t>iat</t>
  </si>
  <si>
    <t>iau</t>
  </si>
  <si>
    <t>iao</t>
  </si>
  <si>
    <t>iauh</t>
  </si>
  <si>
    <t>iaoh</t>
  </si>
  <si>
    <t>iaunn</t>
  </si>
  <si>
    <t>niao</t>
  </si>
  <si>
    <t>iʔ</t>
    <phoneticPr fontId="19" type="noConversion"/>
  </si>
  <si>
    <t>ih</t>
  </si>
  <si>
    <t>ik̚</t>
    <phoneticPr fontId="19" type="noConversion"/>
  </si>
  <si>
    <t>ik</t>
  </si>
  <si>
    <t>iek</t>
    <phoneticPr fontId="19" type="noConversion"/>
  </si>
  <si>
    <t>ek</t>
  </si>
  <si>
    <t>im</t>
    <phoneticPr fontId="19" type="noConversion"/>
  </si>
  <si>
    <t>im</t>
  </si>
  <si>
    <t>in</t>
    <phoneticPr fontId="19" type="noConversion"/>
  </si>
  <si>
    <t>in</t>
  </si>
  <si>
    <t>ing</t>
  </si>
  <si>
    <t>eng</t>
  </si>
  <si>
    <t>ĩ</t>
    <phoneticPr fontId="19" type="noConversion"/>
  </si>
  <si>
    <t>inn</t>
  </si>
  <si>
    <t>ni</t>
  </si>
  <si>
    <t>⁰ㄧ</t>
  </si>
  <si>
    <t>io</t>
  </si>
  <si>
    <t>ior</t>
  </si>
  <si>
    <t>ioh</t>
  </si>
  <si>
    <t>iorh</t>
  </si>
  <si>
    <t>iok</t>
  </si>
  <si>
    <t>iook</t>
  </si>
  <si>
    <t>iong</t>
  </si>
  <si>
    <t>ip̚</t>
    <phoneticPr fontId="19" type="noConversion"/>
  </si>
  <si>
    <t>ip</t>
  </si>
  <si>
    <t>it̚</t>
    <phoneticPr fontId="19" type="noConversion"/>
  </si>
  <si>
    <t>it</t>
  </si>
  <si>
    <t>ionn</t>
  </si>
  <si>
    <t>ioonn</t>
  </si>
  <si>
    <t>nioo</t>
  </si>
  <si>
    <t>iu</t>
  </si>
  <si>
    <t>iunn</t>
  </si>
  <si>
    <t>niu</t>
  </si>
  <si>
    <t>iunnh</t>
    <phoneticPr fontId="19" type="noConversion"/>
  </si>
  <si>
    <t>niuh</t>
    <phoneticPr fontId="19" type="noConversion"/>
  </si>
  <si>
    <t>m̩</t>
    <phoneticPr fontId="19" type="noConversion"/>
  </si>
  <si>
    <t>m̩ʔ</t>
  </si>
  <si>
    <t>mh</t>
  </si>
  <si>
    <t>mh</t>
    <phoneticPr fontId="19" type="noConversion"/>
  </si>
  <si>
    <t>ㆬㆷ</t>
    <phoneticPr fontId="19" type="noConversion"/>
  </si>
  <si>
    <t>ngh</t>
  </si>
  <si>
    <t>ngh</t>
    <phoneticPr fontId="19" type="noConversion"/>
  </si>
  <si>
    <t>ㆭㆷ</t>
    <phoneticPr fontId="19" type="noConversion"/>
  </si>
  <si>
    <t>ə</t>
    <phoneticPr fontId="19" type="noConversion"/>
  </si>
  <si>
    <t>or</t>
  </si>
  <si>
    <t>əʔ</t>
    <phoneticPr fontId="19" type="noConversion"/>
  </si>
  <si>
    <t>oh</t>
  </si>
  <si>
    <t>orh</t>
  </si>
  <si>
    <t>ok</t>
  </si>
  <si>
    <t>ㆦㆻ</t>
  </si>
  <si>
    <t>oom</t>
  </si>
  <si>
    <t>ㄛㄇ</t>
  </si>
  <si>
    <t>ㄛㄥ</t>
  </si>
  <si>
    <t>onn</t>
  </si>
  <si>
    <t>oonn</t>
  </si>
  <si>
    <t>noo</t>
  </si>
  <si>
    <t>⁰ㄛ</t>
  </si>
  <si>
    <t>onnh</t>
  </si>
  <si>
    <t>ohnn</t>
  </si>
  <si>
    <t>niuh</t>
  </si>
  <si>
    <t>ㆧㆷ</t>
  </si>
  <si>
    <t>o͘</t>
  </si>
  <si>
    <t>ㄛ</t>
  </si>
  <si>
    <t>ooh</t>
  </si>
  <si>
    <t>ooh</t>
    <phoneticPr fontId="19" type="noConversion"/>
  </si>
  <si>
    <t>o͘h</t>
  </si>
  <si>
    <t>ㆦㆷ</t>
    <phoneticPr fontId="19" type="noConversion"/>
  </si>
  <si>
    <t>op</t>
  </si>
  <si>
    <t>oop</t>
  </si>
  <si>
    <t>ㆦㆴ</t>
  </si>
  <si>
    <t>ua</t>
    <phoneticPr fontId="19" type="noConversion"/>
  </si>
  <si>
    <t>ua</t>
  </si>
  <si>
    <t>oa</t>
  </si>
  <si>
    <t>uaʔ</t>
    <phoneticPr fontId="19" type="noConversion"/>
  </si>
  <si>
    <t>uah</t>
  </si>
  <si>
    <t>oah</t>
  </si>
  <si>
    <t>uai</t>
    <phoneticPr fontId="19" type="noConversion"/>
  </si>
  <si>
    <t>uai</t>
  </si>
  <si>
    <t>oai</t>
  </si>
  <si>
    <t>uãi</t>
    <phoneticPr fontId="19" type="noConversion"/>
  </si>
  <si>
    <t>uainn</t>
  </si>
  <si>
    <t>nuai</t>
  </si>
  <si>
    <t>uaiʔ</t>
    <phoneticPr fontId="19" type="noConversion"/>
  </si>
  <si>
    <t>uaih</t>
  </si>
  <si>
    <t>oaih</t>
  </si>
  <si>
    <t>uãiʔ</t>
    <phoneticPr fontId="19" type="noConversion"/>
  </si>
  <si>
    <t>uainnh</t>
  </si>
  <si>
    <t>uaihnn</t>
  </si>
  <si>
    <t>uainnh</t>
    <phoneticPr fontId="19" type="noConversion"/>
  </si>
  <si>
    <t>uan</t>
    <phoneticPr fontId="19" type="noConversion"/>
  </si>
  <si>
    <t>uan</t>
  </si>
  <si>
    <t>oan</t>
  </si>
  <si>
    <t>uang</t>
  </si>
  <si>
    <t>oang</t>
  </si>
  <si>
    <t>uã</t>
    <phoneticPr fontId="19" type="noConversion"/>
  </si>
  <si>
    <t>uann</t>
  </si>
  <si>
    <t>nua</t>
  </si>
  <si>
    <t>uat̚</t>
    <phoneticPr fontId="19" type="noConversion"/>
  </si>
  <si>
    <t>uat</t>
  </si>
  <si>
    <t>oat</t>
  </si>
  <si>
    <t>ue</t>
    <phoneticPr fontId="19" type="noConversion"/>
  </si>
  <si>
    <t>ue</t>
  </si>
  <si>
    <t>oe</t>
  </si>
  <si>
    <t>ueʔ</t>
    <phoneticPr fontId="19" type="noConversion"/>
  </si>
  <si>
    <t>ueh</t>
  </si>
  <si>
    <t>oeh</t>
  </si>
  <si>
    <t>uʔ</t>
    <phoneticPr fontId="19" type="noConversion"/>
  </si>
  <si>
    <t>uh</t>
  </si>
  <si>
    <t>ui</t>
    <phoneticPr fontId="19" type="noConversion"/>
  </si>
  <si>
    <t>ui</t>
  </si>
  <si>
    <t>uiʔ</t>
    <phoneticPr fontId="19" type="noConversion"/>
  </si>
  <si>
    <t>uih</t>
  </si>
  <si>
    <t>uih</t>
    <phoneticPr fontId="19" type="noConversion"/>
  </si>
  <si>
    <t>uĩ</t>
    <phoneticPr fontId="19" type="noConversion"/>
  </si>
  <si>
    <t>uinn</t>
  </si>
  <si>
    <t>nui</t>
  </si>
  <si>
    <t>un</t>
    <phoneticPr fontId="19" type="noConversion"/>
  </si>
  <si>
    <t>un</t>
  </si>
  <si>
    <t>ut̚</t>
    <phoneticPr fontId="19" type="noConversion"/>
  </si>
  <si>
    <t>ut</t>
  </si>
  <si>
    <t>U+0303</t>
    <phoneticPr fontId="19" type="noConversion"/>
  </si>
  <si>
    <t>U+0294</t>
    <phoneticPr fontId="19" type="noConversion"/>
  </si>
  <si>
    <t>U+0856</t>
    <phoneticPr fontId="19" type="noConversion"/>
  </si>
  <si>
    <t>o͘</t>
    <phoneticPr fontId="19" type="noConversion"/>
  </si>
  <si>
    <t>ㆭ</t>
    <phoneticPr fontId="19" type="noConversion"/>
  </si>
  <si>
    <t>ak̚</t>
  </si>
  <si>
    <t>ap̚</t>
  </si>
  <si>
    <t>at̚</t>
  </si>
  <si>
    <t>台語注音</t>
    <phoneticPr fontId="3" type="noConversion"/>
  </si>
  <si>
    <t>ann</t>
    <phoneticPr fontId="3" type="noConversion"/>
  </si>
  <si>
    <t>inn</t>
    <phoneticPr fontId="3" type="noConversion"/>
  </si>
  <si>
    <t>unn</t>
    <phoneticPr fontId="3" type="noConversion"/>
  </si>
  <si>
    <t>enn</t>
    <phoneticPr fontId="3" type="noConversion"/>
  </si>
  <si>
    <t>onn</t>
    <phoneticPr fontId="3" type="noConversion"/>
  </si>
  <si>
    <t>ainn</t>
    <phoneticPr fontId="3" type="noConversion"/>
  </si>
  <si>
    <t>aunn</t>
    <phoneticPr fontId="3" type="noConversion"/>
  </si>
  <si>
    <t>irn</t>
    <phoneticPr fontId="3" type="noConversion"/>
  </si>
  <si>
    <t>irng</t>
    <phoneticPr fontId="3" type="noConversion"/>
  </si>
  <si>
    <t>irp</t>
    <phoneticPr fontId="3" type="noConversion"/>
  </si>
  <si>
    <t>irt</t>
    <phoneticPr fontId="3" type="noConversion"/>
  </si>
  <si>
    <t>irk</t>
    <phoneticPr fontId="3" type="noConversion"/>
  </si>
  <si>
    <t>irm</t>
    <phoneticPr fontId="3" type="noConversion"/>
  </si>
  <si>
    <t>irh</t>
    <phoneticPr fontId="3" type="noConversion"/>
  </si>
  <si>
    <t>ɯ</t>
    <phoneticPr fontId="3" type="noConversion"/>
  </si>
  <si>
    <t>ㆨ</t>
    <phoneticPr fontId="3" type="noConversion"/>
  </si>
  <si>
    <t>W調名</t>
  </si>
  <si>
    <t>四聲八調</t>
  </si>
  <si>
    <t>調值</t>
  </si>
  <si>
    <t>台羅調號</t>
  </si>
  <si>
    <t>拼音調符編碼</t>
    <phoneticPr fontId="19" type="noConversion"/>
  </si>
  <si>
    <t>羅馬拼音調符</t>
    <phoneticPr fontId="19" type="noConversion"/>
  </si>
  <si>
    <t>漢字</t>
    <phoneticPr fontId="19" type="noConversion"/>
  </si>
  <si>
    <t>注音調符編碼</t>
    <phoneticPr fontId="19" type="noConversion"/>
  </si>
  <si>
    <t>注音調符</t>
  </si>
  <si>
    <t>閩拼調號</t>
    <phoneticPr fontId="19" type="noConversion"/>
  </si>
  <si>
    <t>閩拼上標調號</t>
    <phoneticPr fontId="19" type="noConversion"/>
  </si>
  <si>
    <t>IPA上標調號</t>
    <phoneticPr fontId="19" type="noConversion"/>
  </si>
  <si>
    <t>高音調</t>
  </si>
  <si>
    <t>陰平</t>
  </si>
  <si>
    <t>東</t>
  </si>
  <si>
    <t/>
  </si>
  <si>
    <t>;</t>
    <phoneticPr fontId="19" type="noConversion"/>
  </si>
  <si>
    <t>¹</t>
  </si>
  <si>
    <t>中音調</t>
  </si>
  <si>
    <t>陽去</t>
  </si>
  <si>
    <t>動</t>
  </si>
  <si>
    <t>U+02EB</t>
  </si>
  <si>
    <t>⁶</t>
  </si>
  <si>
    <t>⁷</t>
  </si>
  <si>
    <t>低音調</t>
  </si>
  <si>
    <t>陰去</t>
  </si>
  <si>
    <t>U+0300</t>
    <phoneticPr fontId="19" type="noConversion"/>
  </si>
  <si>
    <t>棟</t>
  </si>
  <si>
    <t>U+02EA</t>
  </si>
  <si>
    <t>_</t>
  </si>
  <si>
    <t>⁵</t>
  </si>
  <si>
    <t>³</t>
  </si>
  <si>
    <t>高降調</t>
  </si>
  <si>
    <t>陰上</t>
    <phoneticPr fontId="19" type="noConversion"/>
  </si>
  <si>
    <t>董</t>
  </si>
  <si>
    <t>\</t>
  </si>
  <si>
    <t>²</t>
  </si>
  <si>
    <t>低升調</t>
  </si>
  <si>
    <t>陽平</t>
  </si>
  <si>
    <t>同</t>
  </si>
  <si>
    <t>低促調</t>
  </si>
  <si>
    <t>陰入</t>
  </si>
  <si>
    <t>督</t>
  </si>
  <si>
    <t>⁴</t>
  </si>
  <si>
    <t>高促調</t>
  </si>
  <si>
    <t>陽入</t>
  </si>
  <si>
    <t>U+030D</t>
    <phoneticPr fontId="19" type="noConversion"/>
  </si>
  <si>
    <t>獨</t>
  </si>
  <si>
    <t>U+02D9</t>
  </si>
  <si>
    <t>⁸</t>
  </si>
  <si>
    <t>注音調符編碼</t>
  </si>
  <si>
    <t>漢字</t>
  </si>
  <si>
    <t>ㄉㆲ</t>
  </si>
  <si>
    <t>:</t>
    <phoneticPr fontId="19" type="noConversion"/>
  </si>
  <si>
    <t>ㄚ˫</t>
  </si>
  <si>
    <t>ㄉㆲ˫</t>
  </si>
  <si>
    <t>ㄚ˪</t>
  </si>
  <si>
    <t>ㄉㆲ˪</t>
  </si>
  <si>
    <t>陰上</t>
  </si>
  <si>
    <t>ㄚ̀</t>
  </si>
  <si>
    <t>ㄉㆲ̀</t>
  </si>
  <si>
    <t>ㄚ́</t>
  </si>
  <si>
    <t>ㄉㆲ́</t>
  </si>
  <si>
    <t>ㄉㆦㆻ</t>
  </si>
  <si>
    <t>ㄚㆷ˙</t>
  </si>
  <si>
    <t>ㄉㆦㆻ˙</t>
  </si>
  <si>
    <t>Charis</t>
    <phoneticPr fontId="19" type="noConversion"/>
  </si>
  <si>
    <t>調名</t>
    <phoneticPr fontId="19" type="noConversion"/>
  </si>
  <si>
    <t>調號</t>
  </si>
  <si>
    <t>台羅調符編碼</t>
    <phoneticPr fontId="19" type="noConversion"/>
  </si>
  <si>
    <t>閩拼調符編碼</t>
    <phoneticPr fontId="19" type="noConversion"/>
  </si>
  <si>
    <t>方音調符編碼</t>
    <phoneticPr fontId="19" type="noConversion"/>
  </si>
  <si>
    <t>上平</t>
    <phoneticPr fontId="19" type="noConversion"/>
  </si>
  <si>
    <t>'</t>
    <phoneticPr fontId="19" type="noConversion"/>
  </si>
  <si>
    <t>上聲</t>
    <phoneticPr fontId="19" type="noConversion"/>
  </si>
  <si>
    <t>\</t>
    <phoneticPr fontId="19" type="noConversion"/>
  </si>
  <si>
    <t>上去</t>
    <phoneticPr fontId="19" type="noConversion"/>
  </si>
  <si>
    <t>U+02EA</t>
    <phoneticPr fontId="19" type="noConversion"/>
  </si>
  <si>
    <t>上入</t>
    <phoneticPr fontId="19" type="noConversion"/>
  </si>
  <si>
    <t>[</t>
    <phoneticPr fontId="19" type="noConversion"/>
  </si>
  <si>
    <t>U+0304</t>
    <phoneticPr fontId="19" type="noConversion"/>
  </si>
  <si>
    <t>下平</t>
    <phoneticPr fontId="19" type="noConversion"/>
  </si>
  <si>
    <t>下入</t>
    <phoneticPr fontId="19" type="noConversion"/>
  </si>
  <si>
    <t>-</t>
    <phoneticPr fontId="19" type="noConversion"/>
  </si>
  <si>
    <t>U+0302</t>
    <phoneticPr fontId="19" type="noConversion"/>
  </si>
  <si>
    <t>U+02EB</t>
    <phoneticPr fontId="19" type="noConversion"/>
  </si>
  <si>
    <t>下去</t>
    <phoneticPr fontId="19" type="noConversion"/>
  </si>
  <si>
    <t>]</t>
    <phoneticPr fontId="19" type="noConversion"/>
  </si>
  <si>
    <t>U+02D9</t>
    <phoneticPr fontId="19" type="noConversion"/>
  </si>
  <si>
    <t>輕聲</t>
    <phoneticPr fontId="19" type="noConversion"/>
  </si>
  <si>
    <t xml:space="preserve">    - xform/o͘1/o͘/</t>
  </si>
  <si>
    <t>ó͘</t>
  </si>
  <si>
    <t xml:space="preserve">    - xform/o͘2/ó͘/</t>
  </si>
  <si>
    <t>ò͘</t>
  </si>
  <si>
    <t xml:space="preserve">    - xform/o͘3/ò͘/</t>
  </si>
  <si>
    <t xml:space="preserve">    - xform/o͘4/o͘/</t>
  </si>
  <si>
    <t>ǒ͘</t>
  </si>
  <si>
    <t xml:space="preserve">    - xform/o͘5/ǒ͘/</t>
  </si>
  <si>
    <t xml:space="preserve">    - xform/o͘6/ó͘/</t>
  </si>
  <si>
    <t>ō͘</t>
  </si>
  <si>
    <t xml:space="preserve">    - xform/o͘7/ō͘/</t>
  </si>
  <si>
    <t>o̍͘</t>
  </si>
  <si>
    <t xml:space="preserve">    - xform/o͘8/o̍͘/</t>
  </si>
  <si>
    <t>ő͘</t>
  </si>
  <si>
    <t xml:space="preserve">    - xform/o͘9/ő͘/</t>
  </si>
  <si>
    <t>o̊͘</t>
  </si>
  <si>
    <t xml:space="preserve">    - xform/o͘0/o̊͘/</t>
  </si>
  <si>
    <t>#</t>
    <phoneticPr fontId="19" type="noConversion"/>
  </si>
  <si>
    <t>按鍵</t>
    <phoneticPr fontId="19" type="noConversion"/>
  </si>
  <si>
    <t>調符編碼</t>
    <phoneticPr fontId="19" type="noConversion"/>
  </si>
  <si>
    <t>一</t>
    <phoneticPr fontId="19" type="noConversion"/>
  </si>
  <si>
    <t>二</t>
    <phoneticPr fontId="19" type="noConversion"/>
  </si>
  <si>
    <t>三</t>
    <phoneticPr fontId="19" type="noConversion"/>
  </si>
  <si>
    <t>四</t>
    <phoneticPr fontId="19" type="noConversion"/>
  </si>
  <si>
    <t>五</t>
    <phoneticPr fontId="19" type="noConversion"/>
  </si>
  <si>
    <t>六</t>
    <phoneticPr fontId="19" type="noConversion"/>
  </si>
  <si>
    <t>七</t>
    <phoneticPr fontId="19" type="noConversion"/>
  </si>
  <si>
    <t>八</t>
    <phoneticPr fontId="19" type="noConversion"/>
  </si>
  <si>
    <t>入</t>
    <phoneticPr fontId="19" type="noConversion"/>
  </si>
  <si>
    <t>入聲</t>
    <phoneticPr fontId="19" type="noConversion"/>
  </si>
  <si>
    <t>十五音調號</t>
    <phoneticPr fontId="19" type="noConversion"/>
  </si>
  <si>
    <t>四聲八調名</t>
    <phoneticPr fontId="19" type="noConversion"/>
  </si>
  <si>
    <t>U+00AF</t>
    <phoneticPr fontId="19" type="noConversion"/>
  </si>
  <si>
    <t>tong</t>
  </si>
  <si>
    <t>ā</t>
  </si>
  <si>
    <t>tōng</t>
  </si>
  <si>
    <t>à</t>
  </si>
  <si>
    <t>tòng</t>
  </si>
  <si>
    <t>á</t>
  </si>
  <si>
    <t>tóng</t>
  </si>
  <si>
    <t>ǎ</t>
  </si>
  <si>
    <t>tǒng</t>
  </si>
  <si>
    <t>tok</t>
  </si>
  <si>
    <t>a̍h</t>
  </si>
  <si>
    <t>to̍k</t>
  </si>
  <si>
    <t>́</t>
    <phoneticPr fontId="3" type="noConversion"/>
  </si>
  <si>
    <t>ˊ</t>
  </si>
  <si>
    <t>ˋ</t>
  </si>
  <si>
    <t>˫</t>
  </si>
  <si>
    <t>˪</t>
  </si>
  <si>
    <t>˙</t>
  </si>
  <si>
    <t>閩拼方案</t>
    <phoneticPr fontId="3" type="noConversion"/>
  </si>
  <si>
    <t>閩拼調號</t>
    <phoneticPr fontId="3" type="noConversion"/>
  </si>
  <si>
    <t>閩拼調符</t>
    <phoneticPr fontId="3" type="noConversion"/>
  </si>
  <si>
    <t>U+030C</t>
  </si>
  <si>
    <t>āh</t>
  </si>
  <si>
    <t>U+0302</t>
  </si>
  <si>
    <t>â</t>
  </si>
  <si>
    <t>áh</t>
  </si>
  <si>
    <t>Unicode</t>
    <phoneticPr fontId="3" type="noConversion"/>
  </si>
  <si>
    <t>⁰ㄨ</t>
  </si>
  <si>
    <t>⁰ㄠ</t>
  </si>
  <si>
    <t>B</t>
  </si>
  <si>
    <t>Ğ</t>
  </si>
  <si>
    <t>方音符號</t>
    <phoneticPr fontId="3" type="noConversion"/>
  </si>
  <si>
    <t>注音二式</t>
    <phoneticPr fontId="3" type="noConversion"/>
  </si>
  <si>
    <t>bb</t>
    <phoneticPr fontId="3" type="noConversion"/>
  </si>
  <si>
    <t>gg</t>
    <phoneticPr fontId="3" type="noConversion"/>
  </si>
  <si>
    <t>zz</t>
    <phoneticPr fontId="3" type="noConversion"/>
  </si>
  <si>
    <t>c</t>
    <phoneticPr fontId="3" type="noConversion"/>
  </si>
  <si>
    <t>jj</t>
    <phoneticPr fontId="3" type="noConversion"/>
  </si>
  <si>
    <t>ch</t>
    <phoneticPr fontId="3" type="noConversion"/>
  </si>
  <si>
    <t>sh</t>
    <phoneticPr fontId="3" type="noConversion"/>
  </si>
  <si>
    <t>D</t>
  </si>
  <si>
    <t>oonn</t>
    <phoneticPr fontId="3" type="noConversion"/>
  </si>
  <si>
    <t>台語注音二式</t>
    <phoneticPr fontId="3" type="noConversion"/>
  </si>
  <si>
    <r>
      <rPr>
        <sz val="16"/>
        <color theme="1"/>
        <rFont val="Segoe UI"/>
        <family val="2"/>
      </rPr>
      <t>響度優先次第：</t>
    </r>
    <r>
      <rPr>
        <sz val="16"/>
        <color theme="1"/>
        <rFont val="Cascadia Code"/>
        <family val="3"/>
      </rPr>
      <t xml:space="preserve"> a &gt; oo &gt; (e = o) &gt; (i = u)</t>
    </r>
    <r>
      <rPr>
        <sz val="16"/>
        <color theme="1"/>
        <rFont val="Segoe UI"/>
        <family val="2"/>
      </rPr>
      <t>〈低元音</t>
    </r>
    <r>
      <rPr>
        <sz val="16"/>
        <color theme="1"/>
        <rFont val="Cascadia Code"/>
        <family val="3"/>
      </rPr>
      <t> &gt; </t>
    </r>
    <r>
      <rPr>
        <sz val="16"/>
        <color theme="1"/>
        <rFont val="Segoe UI"/>
        <family val="2"/>
      </rPr>
      <t>高元音</t>
    </r>
    <r>
      <rPr>
        <sz val="16"/>
        <color theme="1"/>
        <rFont val="Cascadia Code"/>
        <family val="3"/>
      </rPr>
      <t> &gt; </t>
    </r>
    <r>
      <rPr>
        <sz val="16"/>
        <color theme="1"/>
        <rFont val="Segoe UI"/>
        <family val="2"/>
      </rPr>
      <t>無擦通音</t>
    </r>
    <r>
      <rPr>
        <sz val="16"/>
        <color theme="1"/>
        <rFont val="Cascadia Code"/>
        <family val="3"/>
      </rPr>
      <t> &gt; </t>
    </r>
    <r>
      <rPr>
        <sz val="16"/>
        <color theme="1"/>
        <rFont val="Segoe UI"/>
        <family val="2"/>
      </rPr>
      <t>擦音</t>
    </r>
    <r>
      <rPr>
        <sz val="16"/>
        <color theme="1"/>
        <rFont val="Cascadia Code"/>
        <family val="3"/>
      </rPr>
      <t> &gt; </t>
    </r>
    <r>
      <rPr>
        <sz val="16"/>
        <color theme="1"/>
        <rFont val="Segoe UI"/>
        <family val="2"/>
      </rPr>
      <t>塞音〉</t>
    </r>
  </si>
  <si>
    <r>
      <rPr>
        <sz val="12"/>
        <color theme="1"/>
        <rFont val="Noto Sans TC SemiBold"/>
        <family val="2"/>
        <charset val="136"/>
      </rPr>
      <t>ㄏ</t>
    </r>
    <phoneticPr fontId="19" type="noConversion"/>
  </si>
  <si>
    <r>
      <rPr>
        <b/>
        <sz val="18"/>
        <color rgb="FF000000"/>
        <rFont val="微軟正黑體"/>
        <family val="2"/>
        <charset val="136"/>
      </rPr>
      <t>序號</t>
    </r>
    <phoneticPr fontId="19" type="noConversion"/>
  </si>
  <si>
    <r>
      <rPr>
        <b/>
        <sz val="18"/>
        <color rgb="FF000000"/>
        <rFont val="微軟正黑體"/>
        <family val="2"/>
        <charset val="136"/>
      </rPr>
      <t>國際音標</t>
    </r>
    <phoneticPr fontId="19" type="noConversion"/>
  </si>
  <si>
    <r>
      <rPr>
        <b/>
        <sz val="18"/>
        <color rgb="FF000000"/>
        <rFont val="微軟正黑體"/>
        <family val="2"/>
        <charset val="136"/>
      </rPr>
      <t>台羅拼音</t>
    </r>
    <phoneticPr fontId="19" type="noConversion"/>
  </si>
  <si>
    <r>
      <rPr>
        <b/>
        <sz val="18"/>
        <color rgb="FF000000"/>
        <rFont val="微軟正黑體"/>
        <family val="2"/>
        <charset val="136"/>
      </rPr>
      <t>台語音標</t>
    </r>
    <phoneticPr fontId="19" type="noConversion"/>
  </si>
  <si>
    <r>
      <rPr>
        <b/>
        <sz val="18"/>
        <color rgb="FF000000"/>
        <rFont val="微軟正黑體"/>
        <family val="2"/>
        <charset val="136"/>
      </rPr>
      <t>台語注音二式</t>
    </r>
    <phoneticPr fontId="19" type="noConversion"/>
  </si>
  <si>
    <r>
      <rPr>
        <b/>
        <sz val="18"/>
        <color rgb="FF000000"/>
        <rFont val="微軟正黑體"/>
        <family val="2"/>
        <charset val="136"/>
      </rPr>
      <t>閩拼方案</t>
    </r>
    <phoneticPr fontId="19" type="noConversion"/>
  </si>
  <si>
    <r>
      <rPr>
        <b/>
        <sz val="18"/>
        <color rgb="FF000000"/>
        <rFont val="微軟正黑體"/>
        <family val="2"/>
        <charset val="136"/>
      </rPr>
      <t>白話字</t>
    </r>
    <phoneticPr fontId="19" type="noConversion"/>
  </si>
  <si>
    <r>
      <rPr>
        <b/>
        <sz val="18"/>
        <color rgb="FF000000"/>
        <rFont val="微軟正黑體"/>
        <family val="2"/>
        <charset val="136"/>
      </rPr>
      <t>方音符號</t>
    </r>
    <phoneticPr fontId="19" type="noConversion"/>
  </si>
  <si>
    <r>
      <rPr>
        <b/>
        <sz val="18"/>
        <color rgb="FF000000"/>
        <rFont val="微軟正黑體"/>
        <family val="2"/>
        <charset val="136"/>
      </rPr>
      <t>台語注音</t>
    </r>
    <phoneticPr fontId="19" type="noConversion"/>
  </si>
  <si>
    <r>
      <rPr>
        <b/>
        <sz val="18"/>
        <color rgb="FF000000"/>
        <rFont val="微軟正黑體"/>
        <family val="2"/>
        <charset val="136"/>
      </rPr>
      <t>十五音</t>
    </r>
    <phoneticPr fontId="19" type="noConversion"/>
  </si>
  <si>
    <r>
      <rPr>
        <b/>
        <sz val="18"/>
        <color rgb="FF000000"/>
        <rFont val="微軟正黑體"/>
        <family val="2"/>
        <charset val="136"/>
      </rPr>
      <t>漢字例</t>
    </r>
    <phoneticPr fontId="19" type="noConversion"/>
  </si>
  <si>
    <r>
      <rPr>
        <b/>
        <sz val="18"/>
        <color rgb="FF000000"/>
        <rFont val="微軟正黑體"/>
        <family val="2"/>
        <charset val="136"/>
      </rPr>
      <t>十五音識別碼</t>
    </r>
    <phoneticPr fontId="19" type="noConversion"/>
  </si>
  <si>
    <r>
      <rPr>
        <b/>
        <sz val="18"/>
        <color rgb="FF000000"/>
        <rFont val="微軟正黑體"/>
        <family val="2"/>
        <charset val="136"/>
      </rPr>
      <t>聲韻調類</t>
    </r>
    <phoneticPr fontId="19" type="noConversion"/>
  </si>
  <si>
    <r>
      <rPr>
        <b/>
        <sz val="18"/>
        <color rgb="FF000000"/>
        <rFont val="微軟正黑體"/>
        <family val="2"/>
        <charset val="136"/>
      </rPr>
      <t>字長</t>
    </r>
    <phoneticPr fontId="19" type="noConversion"/>
  </si>
  <si>
    <r>
      <rPr>
        <sz val="18"/>
        <color rgb="FF000000"/>
        <rFont val="Noto Sans"/>
        <family val="2"/>
      </rPr>
      <t>ㄚ</t>
    </r>
  </si>
  <si>
    <r>
      <rPr>
        <sz val="18"/>
        <color rgb="FF000000"/>
        <rFont val="Noto Sans"/>
        <family val="2"/>
      </rPr>
      <t>膠</t>
    </r>
  </si>
  <si>
    <r>
      <rPr>
        <sz val="18"/>
        <color rgb="FF000000"/>
        <rFont val="Noto Sans"/>
        <family val="2"/>
      </rPr>
      <t>些</t>
    </r>
  </si>
  <si>
    <r>
      <rPr>
        <sz val="18"/>
        <color rgb="FF000000"/>
        <rFont val="Noto Sans"/>
        <family val="2"/>
      </rPr>
      <t>膠舒</t>
    </r>
  </si>
  <si>
    <r>
      <rPr>
        <sz val="18"/>
        <color rgb="FF000000"/>
        <rFont val="Noto Sans"/>
        <family val="2"/>
      </rPr>
      <t>ㄚ</t>
    </r>
    <r>
      <rPr>
        <sz val="18"/>
        <color rgb="FF000000"/>
        <rFont val="Cascadia Code"/>
        <family val="3"/>
      </rPr>
      <t>ㆷ</t>
    </r>
  </si>
  <si>
    <r>
      <rPr>
        <sz val="18"/>
        <color rgb="FF000000"/>
        <rFont val="Noto Sans"/>
        <family val="2"/>
      </rPr>
      <t>ㄚㄏ</t>
    </r>
  </si>
  <si>
    <r>
      <rPr>
        <sz val="18"/>
        <color rgb="FF000000"/>
        <rFont val="Noto Sans"/>
        <family val="2"/>
      </rPr>
      <t>百</t>
    </r>
  </si>
  <si>
    <r>
      <rPr>
        <sz val="18"/>
        <color rgb="FF000000"/>
        <rFont val="Noto Sans"/>
        <family val="2"/>
      </rPr>
      <t>膠促</t>
    </r>
  </si>
  <si>
    <r>
      <t>a</t>
    </r>
    <r>
      <rPr>
        <b/>
        <sz val="18"/>
        <color rgb="FFC00000"/>
        <rFont val="Noto Sans"/>
        <family val="2"/>
      </rPr>
      <t>ɪ</t>
    </r>
    <phoneticPr fontId="19" type="noConversion"/>
  </si>
  <si>
    <r>
      <rPr>
        <sz val="18"/>
        <color rgb="FF000000"/>
        <rFont val="Noto Sans"/>
        <family val="2"/>
      </rPr>
      <t>ㄞ</t>
    </r>
  </si>
  <si>
    <r>
      <rPr>
        <sz val="18"/>
        <color rgb="FF000000"/>
        <rFont val="Noto Sans"/>
        <family val="2"/>
      </rPr>
      <t>皆</t>
    </r>
  </si>
  <si>
    <r>
      <rPr>
        <sz val="18"/>
        <color rgb="FF000000"/>
        <rFont val="Noto Sans"/>
        <family val="2"/>
      </rPr>
      <t>埃</t>
    </r>
  </si>
  <si>
    <r>
      <rPr>
        <sz val="18"/>
        <color rgb="FF000000"/>
        <rFont val="Noto Sans"/>
        <family val="2"/>
      </rPr>
      <t>皆舒</t>
    </r>
  </si>
  <si>
    <r>
      <t>a</t>
    </r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ascadia Code"/>
        <family val="3"/>
      </rPr>
      <t>ʔ</t>
    </r>
    <phoneticPr fontId="19" type="noConversion"/>
  </si>
  <si>
    <r>
      <rPr>
        <sz val="18"/>
        <color rgb="FFFF0000"/>
        <rFont val="Microsoft JhengHei"/>
        <family val="2"/>
      </rPr>
      <t>ㄞ</t>
    </r>
    <r>
      <rPr>
        <sz val="18"/>
        <color rgb="FFFF0000"/>
        <rFont val="Cascadia Code"/>
        <family val="3"/>
      </rPr>
      <t>ㆷ</t>
    </r>
    <phoneticPr fontId="19" type="noConversion"/>
  </si>
  <si>
    <r>
      <rPr>
        <sz val="18"/>
        <color rgb="FF000000"/>
        <rFont val="Noto Sans"/>
        <family val="2"/>
      </rPr>
      <t>◯</t>
    </r>
  </si>
  <si>
    <r>
      <rPr>
        <sz val="18"/>
        <color rgb="FFFF0000"/>
        <rFont val="Noto Sans TC"/>
        <family val="2"/>
        <charset val="136"/>
      </rPr>
      <t>皆促</t>
    </r>
  </si>
  <si>
    <r>
      <t>ã</t>
    </r>
    <r>
      <rPr>
        <b/>
        <sz val="18"/>
        <color rgb="FFC00000"/>
        <rFont val="Noto Sans"/>
        <family val="2"/>
      </rPr>
      <t>ɪ</t>
    </r>
    <phoneticPr fontId="19" type="noConversion"/>
  </si>
  <si>
    <r>
      <t>ai</t>
    </r>
    <r>
      <rPr>
        <sz val="18"/>
        <color rgb="FF000000"/>
        <rFont val="霞鶩文楷等寬 TC Medium"/>
        <family val="3"/>
        <charset val="136"/>
      </rPr>
      <t>ⁿ</t>
    </r>
    <phoneticPr fontId="19" type="noConversion"/>
  </si>
  <si>
    <r>
      <t>⁰</t>
    </r>
    <r>
      <rPr>
        <sz val="18"/>
        <color rgb="FF000000"/>
        <rFont val="Noto Sans"/>
        <family val="2"/>
      </rPr>
      <t>ㄞ</t>
    </r>
  </si>
  <si>
    <r>
      <rPr>
        <sz val="18"/>
        <color rgb="FF000000"/>
        <rFont val="Noto Sans"/>
        <family val="2"/>
      </rPr>
      <t>閒</t>
    </r>
  </si>
  <si>
    <r>
      <rPr>
        <sz val="18"/>
        <color rgb="FF000000"/>
        <rFont val="Noto Sans"/>
        <family val="2"/>
      </rPr>
      <t>挨</t>
    </r>
  </si>
  <si>
    <r>
      <rPr>
        <sz val="18"/>
        <color rgb="FF000000"/>
        <rFont val="Noto Sans"/>
        <family val="2"/>
      </rPr>
      <t>閒舒</t>
    </r>
  </si>
  <si>
    <r>
      <rPr>
        <sz val="18"/>
        <color rgb="FF000000"/>
        <rFont val="細明體"/>
        <family val="2"/>
        <charset val="136"/>
      </rPr>
      <t>韻</t>
    </r>
    <r>
      <rPr>
        <sz val="18"/>
        <color rgb="FF000000"/>
        <rFont val="Cascadia Code"/>
        <family val="3"/>
      </rPr>
      <t>-</t>
    </r>
    <r>
      <rPr>
        <sz val="18"/>
        <color rgb="FF000000"/>
        <rFont val="細明體"/>
        <family val="2"/>
        <charset val="136"/>
      </rPr>
      <t>鼻</t>
    </r>
    <phoneticPr fontId="19" type="noConversion"/>
  </si>
  <si>
    <r>
      <rPr>
        <sz val="18"/>
        <color rgb="FF000000"/>
        <rFont val="Noto Sans TC"/>
        <family val="2"/>
        <charset val="136"/>
      </rPr>
      <t>ㄚ</t>
    </r>
    <r>
      <rPr>
        <sz val="18"/>
        <color rgb="FF000000"/>
        <rFont val="Cascadia Code"/>
        <family val="3"/>
      </rPr>
      <t>ㆻ</t>
    </r>
    <phoneticPr fontId="19" type="noConversion"/>
  </si>
  <si>
    <r>
      <rPr>
        <sz val="18"/>
        <color rgb="FF000000"/>
        <rFont val="Noto Sans TC"/>
        <family val="2"/>
        <charset val="136"/>
      </rPr>
      <t>ㄚㄍ</t>
    </r>
  </si>
  <si>
    <r>
      <rPr>
        <sz val="18"/>
        <color rgb="FF000000"/>
        <rFont val="Noto Sans"/>
        <family val="2"/>
      </rPr>
      <t>江</t>
    </r>
  </si>
  <si>
    <r>
      <rPr>
        <sz val="18"/>
        <color rgb="FF000000"/>
        <rFont val="Noto Sans"/>
        <family val="2"/>
      </rPr>
      <t>角</t>
    </r>
  </si>
  <si>
    <r>
      <rPr>
        <sz val="18"/>
        <color rgb="FF000000"/>
        <rFont val="Noto Sans"/>
        <family val="2"/>
      </rPr>
      <t>江促</t>
    </r>
  </si>
  <si>
    <r>
      <rPr>
        <sz val="18"/>
        <color rgb="FF000000"/>
        <rFont val="Noto Sans"/>
        <family val="2"/>
      </rPr>
      <t>ㄚㄇ</t>
    </r>
  </si>
  <si>
    <r>
      <rPr>
        <sz val="18"/>
        <color rgb="FF000000"/>
        <rFont val="Noto Sans"/>
        <family val="2"/>
      </rPr>
      <t>甘</t>
    </r>
  </si>
  <si>
    <r>
      <rPr>
        <sz val="18"/>
        <color rgb="FF000000"/>
        <rFont val="Noto Sans"/>
        <family val="2"/>
      </rPr>
      <t>堪</t>
    </r>
  </si>
  <si>
    <r>
      <rPr>
        <sz val="18"/>
        <color rgb="FF000000"/>
        <rFont val="Noto Sans"/>
        <family val="2"/>
      </rPr>
      <t>甘舒</t>
    </r>
  </si>
  <si>
    <r>
      <rPr>
        <sz val="18"/>
        <color rgb="FF000000"/>
        <rFont val="Noto Sans"/>
        <family val="2"/>
      </rPr>
      <t>ㄢ</t>
    </r>
  </si>
  <si>
    <r>
      <rPr>
        <sz val="18"/>
        <color rgb="FF000000"/>
        <rFont val="Noto Sans"/>
        <family val="2"/>
      </rPr>
      <t>干</t>
    </r>
  </si>
  <si>
    <r>
      <rPr>
        <sz val="18"/>
        <color rgb="FF000000"/>
        <rFont val="Noto Sans"/>
        <family val="2"/>
      </rPr>
      <t>蘭</t>
    </r>
  </si>
  <si>
    <r>
      <rPr>
        <sz val="18"/>
        <color rgb="FF000000"/>
        <rFont val="Noto Sans"/>
        <family val="2"/>
      </rPr>
      <t>干舒</t>
    </r>
  </si>
  <si>
    <r>
      <t>a</t>
    </r>
    <r>
      <rPr>
        <b/>
        <sz val="18"/>
        <color rgb="FFC00000"/>
        <rFont val="Noto Sans"/>
        <family val="2"/>
      </rPr>
      <t>ŋ</t>
    </r>
    <phoneticPr fontId="19" type="noConversion"/>
  </si>
  <si>
    <r>
      <rPr>
        <sz val="18"/>
        <color rgb="FF000000"/>
        <rFont val="Noto Sans"/>
        <family val="2"/>
      </rPr>
      <t>ㄤ</t>
    </r>
  </si>
  <si>
    <r>
      <rPr>
        <sz val="18"/>
        <color rgb="FF000000"/>
        <rFont val="Noto Sans"/>
        <family val="2"/>
      </rPr>
      <t>邦</t>
    </r>
  </si>
  <si>
    <r>
      <rPr>
        <sz val="18"/>
        <color rgb="FF000000"/>
        <rFont val="Noto Sans"/>
        <family val="2"/>
      </rPr>
      <t>江舒</t>
    </r>
  </si>
  <si>
    <r>
      <t>a</t>
    </r>
    <r>
      <rPr>
        <sz val="18"/>
        <color rgb="FF000000"/>
        <rFont val="霞鶩文楷等寬 TC Medium"/>
        <family val="3"/>
        <charset val="136"/>
      </rPr>
      <t>ⁿ</t>
    </r>
  </si>
  <si>
    <r>
      <t>⁰</t>
    </r>
    <r>
      <rPr>
        <sz val="18"/>
        <color rgb="FF000000"/>
        <rFont val="Noto Sans"/>
        <family val="2"/>
      </rPr>
      <t>ㄚ</t>
    </r>
  </si>
  <si>
    <r>
      <rPr>
        <sz val="18"/>
        <color rgb="FF000000"/>
        <rFont val="Noto Sans"/>
        <family val="2"/>
      </rPr>
      <t>監</t>
    </r>
  </si>
  <si>
    <r>
      <rPr>
        <sz val="18"/>
        <color rgb="FF000000"/>
        <rFont val="Noto Sans"/>
        <family val="2"/>
      </rPr>
      <t>聽</t>
    </r>
  </si>
  <si>
    <r>
      <rPr>
        <sz val="18"/>
        <color rgb="FF000000"/>
        <rFont val="Noto Sans"/>
        <family val="2"/>
      </rPr>
      <t>監舒</t>
    </r>
  </si>
  <si>
    <r>
      <t>ah</t>
    </r>
    <r>
      <rPr>
        <sz val="18"/>
        <color rgb="FF000000"/>
        <rFont val="霞鶩文楷等寬 TC Medium"/>
        <family val="3"/>
        <charset val="136"/>
      </rPr>
      <t>ⁿ</t>
    </r>
  </si>
  <si>
    <r>
      <t>⁰</t>
    </r>
    <r>
      <rPr>
        <sz val="18"/>
        <color rgb="FF000000"/>
        <rFont val="Noto Sans"/>
        <family val="2"/>
      </rPr>
      <t>ㄚㄏ</t>
    </r>
  </si>
  <si>
    <r>
      <rPr>
        <sz val="18"/>
        <color rgb="FF000000"/>
        <rFont val="Noto Sans"/>
        <family val="2"/>
      </rPr>
      <t>含</t>
    </r>
  </si>
  <si>
    <r>
      <rPr>
        <sz val="18"/>
        <color rgb="FF000000"/>
        <rFont val="Noto Sans"/>
        <family val="2"/>
      </rPr>
      <t>監促</t>
    </r>
  </si>
  <si>
    <r>
      <rPr>
        <sz val="18"/>
        <color rgb="FF000000"/>
        <rFont val="Noto Sans"/>
        <family val="2"/>
      </rPr>
      <t>ㄚ</t>
    </r>
    <r>
      <rPr>
        <sz val="18"/>
        <color rgb="FF000000"/>
        <rFont val="Cascadia Code"/>
        <family val="3"/>
      </rPr>
      <t>ㆴ</t>
    </r>
  </si>
  <si>
    <r>
      <rPr>
        <sz val="18"/>
        <color rgb="FF000000"/>
        <rFont val="Noto Sans"/>
        <family val="2"/>
      </rPr>
      <t>ㄚㄅ</t>
    </r>
  </si>
  <si>
    <r>
      <rPr>
        <sz val="18"/>
        <color rgb="FF000000"/>
        <rFont val="Noto Sans"/>
        <family val="2"/>
      </rPr>
      <t>答</t>
    </r>
  </si>
  <si>
    <r>
      <rPr>
        <sz val="18"/>
        <color rgb="FF000000"/>
        <rFont val="Noto Sans"/>
        <family val="2"/>
      </rPr>
      <t>甘促</t>
    </r>
  </si>
  <si>
    <r>
      <rPr>
        <sz val="18"/>
        <color rgb="FF000000"/>
        <rFont val="Noto Sans"/>
        <family val="2"/>
      </rPr>
      <t>ㄚ</t>
    </r>
    <r>
      <rPr>
        <sz val="18"/>
        <color rgb="FF000000"/>
        <rFont val="Cascadia Code"/>
        <family val="3"/>
      </rPr>
      <t>ㆵ</t>
    </r>
  </si>
  <si>
    <r>
      <rPr>
        <sz val="18"/>
        <color rgb="FF000000"/>
        <rFont val="Noto Sans"/>
        <family val="2"/>
      </rPr>
      <t>ㄚㄉ</t>
    </r>
  </si>
  <si>
    <r>
      <rPr>
        <sz val="18"/>
        <color rgb="FF000000"/>
        <rFont val="Noto Sans"/>
        <family val="2"/>
      </rPr>
      <t>識</t>
    </r>
  </si>
  <si>
    <r>
      <rPr>
        <sz val="18"/>
        <color rgb="FF000000"/>
        <rFont val="Noto Sans"/>
        <family val="2"/>
      </rPr>
      <t>干促</t>
    </r>
  </si>
  <si>
    <r>
      <t>a</t>
    </r>
    <r>
      <rPr>
        <b/>
        <sz val="18"/>
        <color rgb="FFC00000"/>
        <rFont val="Noto Sans"/>
        <family val="2"/>
      </rPr>
      <t>ʊ</t>
    </r>
    <phoneticPr fontId="19" type="noConversion"/>
  </si>
  <si>
    <r>
      <rPr>
        <sz val="18"/>
        <color rgb="FF000000"/>
        <rFont val="Noto Sans"/>
        <family val="2"/>
      </rPr>
      <t>ㄠ</t>
    </r>
  </si>
  <si>
    <r>
      <rPr>
        <sz val="18"/>
        <color rgb="FF000000"/>
        <rFont val="Noto Sans"/>
        <family val="2"/>
      </rPr>
      <t>交</t>
    </r>
  </si>
  <si>
    <r>
      <rPr>
        <sz val="18"/>
        <color rgb="FF000000"/>
        <rFont val="Noto Sans"/>
        <family val="2"/>
      </rPr>
      <t>鬧</t>
    </r>
  </si>
  <si>
    <r>
      <rPr>
        <sz val="18"/>
        <color rgb="FF000000"/>
        <rFont val="Noto Sans"/>
        <family val="2"/>
      </rPr>
      <t>交舒</t>
    </r>
  </si>
  <si>
    <r>
      <rPr>
        <sz val="18"/>
        <color rgb="FF000000"/>
        <rFont val="Noto Sans TC"/>
        <family val="2"/>
        <charset val="136"/>
      </rPr>
      <t>ㄠ</t>
    </r>
    <r>
      <rPr>
        <sz val="18"/>
        <color rgb="FF000000"/>
        <rFont val="Cascadia Code"/>
        <family val="3"/>
      </rPr>
      <t>ㆷ</t>
    </r>
    <phoneticPr fontId="19" type="noConversion"/>
  </si>
  <si>
    <r>
      <rPr>
        <sz val="18"/>
        <color rgb="FF000000"/>
        <rFont val="Noto Sans TC"/>
        <family val="2"/>
        <charset val="136"/>
      </rPr>
      <t>ㄠㄏ</t>
    </r>
  </si>
  <si>
    <r>
      <rPr>
        <sz val="18"/>
        <color rgb="FF000000"/>
        <rFont val="Noto Sans"/>
        <family val="2"/>
      </rPr>
      <t>暴</t>
    </r>
  </si>
  <si>
    <r>
      <rPr>
        <sz val="18"/>
        <color rgb="FF000000"/>
        <rFont val="Noto Sans"/>
        <family val="2"/>
      </rPr>
      <t>交促</t>
    </r>
  </si>
  <si>
    <r>
      <rPr>
        <sz val="18"/>
        <color rgb="FF000000"/>
        <rFont val="Noto Sans"/>
        <family val="2"/>
      </rPr>
      <t>ㄝ</t>
    </r>
  </si>
  <si>
    <r>
      <rPr>
        <sz val="18"/>
        <color rgb="FF000000"/>
        <rFont val="Noto Sans"/>
        <family val="2"/>
      </rPr>
      <t>遞</t>
    </r>
  </si>
  <si>
    <r>
      <rPr>
        <b/>
        <sz val="18"/>
        <color rgb="FFC00000"/>
        <rFont val="Noto Sans"/>
        <family val="2"/>
      </rPr>
      <t>ɛ</t>
    </r>
    <phoneticPr fontId="19" type="noConversion"/>
  </si>
  <si>
    <r>
      <rPr>
        <sz val="18"/>
        <color rgb="FFFF0000"/>
        <rFont val="Microsoft JhengHei UI"/>
        <family val="2"/>
      </rPr>
      <t>ㄝ</t>
    </r>
    <phoneticPr fontId="19" type="noConversion"/>
  </si>
  <si>
    <r>
      <rPr>
        <sz val="18"/>
        <color rgb="FFFF0000"/>
        <rFont val="Microsoft JhengHei UI"/>
        <family val="2"/>
      </rPr>
      <t>ㄝ</t>
    </r>
  </si>
  <si>
    <r>
      <rPr>
        <sz val="18"/>
        <color rgb="FF000000"/>
        <rFont val="Noto Sans"/>
        <family val="2"/>
      </rPr>
      <t>嘉</t>
    </r>
  </si>
  <si>
    <r>
      <rPr>
        <sz val="18"/>
        <color rgb="FF000000"/>
        <rFont val="Noto Sans"/>
        <family val="2"/>
      </rPr>
      <t>家</t>
    </r>
  </si>
  <si>
    <r>
      <rPr>
        <sz val="18"/>
        <color rgb="FFFF0000"/>
        <rFont val="微軟正黑體"/>
        <family val="2"/>
        <charset val="136"/>
      </rPr>
      <t>嘉舒</t>
    </r>
  </si>
  <si>
    <r>
      <rPr>
        <b/>
        <sz val="18"/>
        <color rgb="FFC00000"/>
        <rFont val="Noto Sans"/>
        <family val="2"/>
      </rPr>
      <t>ɛ</t>
    </r>
    <r>
      <rPr>
        <b/>
        <sz val="18"/>
        <color rgb="FFC00000"/>
        <rFont val="Cascadia Code"/>
        <family val="3"/>
      </rPr>
      <t>ʔ</t>
    </r>
  </si>
  <si>
    <r>
      <rPr>
        <sz val="18"/>
        <color rgb="FFFF0000"/>
        <rFont val="Microsoft JhengHei UI"/>
        <family val="2"/>
      </rPr>
      <t>ㄝ</t>
    </r>
    <r>
      <rPr>
        <sz val="18"/>
        <color rgb="FFFF0000"/>
        <rFont val="Cascadia Code"/>
        <family val="3"/>
      </rPr>
      <t>ㆷ</t>
    </r>
    <phoneticPr fontId="19" type="noConversion"/>
  </si>
  <si>
    <r>
      <rPr>
        <sz val="18"/>
        <color rgb="FFFF0000"/>
        <rFont val="Microsoft JhengHei UI"/>
        <family val="2"/>
      </rPr>
      <t>ㄝㄏ</t>
    </r>
  </si>
  <si>
    <r>
      <rPr>
        <sz val="18"/>
        <color rgb="FF000000"/>
        <rFont val="Noto Sans"/>
        <family val="2"/>
      </rPr>
      <t>八</t>
    </r>
  </si>
  <si>
    <r>
      <rPr>
        <sz val="18"/>
        <color rgb="FFFF0000"/>
        <rFont val="微軟正黑體"/>
        <family val="2"/>
        <charset val="136"/>
      </rPr>
      <t>嘉促</t>
    </r>
  </si>
  <si>
    <r>
      <rPr>
        <sz val="18"/>
        <color rgb="FF000000"/>
        <rFont val="Noto Sans"/>
        <family val="2"/>
      </rPr>
      <t>ㄝㄏ</t>
    </r>
  </si>
  <si>
    <r>
      <rPr>
        <sz val="18"/>
        <color rgb="FF000000"/>
        <rFont val="Noto Sans"/>
        <family val="2"/>
      </rPr>
      <t>伽</t>
    </r>
  </si>
  <si>
    <r>
      <rPr>
        <sz val="18"/>
        <color rgb="FF000000"/>
        <rFont val="Noto Sans"/>
        <family val="2"/>
      </rPr>
      <t>伯</t>
    </r>
  </si>
  <si>
    <r>
      <rPr>
        <sz val="18"/>
        <color rgb="FF000000"/>
        <rFont val="Noto Sans"/>
        <family val="2"/>
      </rPr>
      <t>伽促</t>
    </r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</si>
  <si>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ascadia Code"/>
        <family val="3"/>
      </rPr>
      <t>k</t>
    </r>
  </si>
  <si>
    <r>
      <rPr>
        <sz val="18"/>
        <color rgb="FFFF0000"/>
        <rFont val="微軟正黑體"/>
        <family val="2"/>
        <charset val="136"/>
      </rPr>
      <t>ㄝ</t>
    </r>
    <r>
      <rPr>
        <sz val="18"/>
        <color rgb="FFFF0000"/>
        <rFont val="Cascadia Code"/>
        <family val="3"/>
      </rPr>
      <t>ㆻ</t>
    </r>
    <phoneticPr fontId="19" type="noConversion"/>
  </si>
  <si>
    <r>
      <rPr>
        <sz val="18"/>
        <color rgb="FFFF0000"/>
        <rFont val="微軟正黑體"/>
        <family val="2"/>
        <charset val="136"/>
      </rPr>
      <t>ㄝㄍ</t>
    </r>
    <phoneticPr fontId="19" type="noConversion"/>
  </si>
  <si>
    <r>
      <rPr>
        <sz val="18"/>
        <color rgb="FF000000"/>
        <rFont val="Noto Sans"/>
        <family val="2"/>
      </rPr>
      <t>經</t>
    </r>
  </si>
  <si>
    <r>
      <rPr>
        <sz val="18"/>
        <color rgb="FFFF0000"/>
        <rFont val="微軟正黑體"/>
        <family val="2"/>
        <charset val="136"/>
      </rPr>
      <t>經促</t>
    </r>
  </si>
  <si>
    <r>
      <rPr>
        <b/>
        <sz val="18"/>
        <color rgb="FFC00000"/>
        <rFont val="Noto Sans"/>
        <family val="2"/>
      </rPr>
      <t>ɪŋ</t>
    </r>
  </si>
  <si>
    <r>
      <rPr>
        <sz val="18"/>
        <color rgb="FFFF0000"/>
        <rFont val="微軟正黑體"/>
        <family val="2"/>
        <charset val="136"/>
      </rPr>
      <t>ㄝ</t>
    </r>
    <r>
      <rPr>
        <sz val="18"/>
        <color rgb="FFFF0000"/>
        <rFont val="Cascadia Code"/>
        <family val="3"/>
      </rPr>
      <t>ㆭ</t>
    </r>
    <phoneticPr fontId="19" type="noConversion"/>
  </si>
  <si>
    <r>
      <rPr>
        <sz val="18"/>
        <color rgb="FFFF0000"/>
        <rFont val="微軟正黑體"/>
        <family val="2"/>
        <charset val="136"/>
      </rPr>
      <t>ㄝㄥ</t>
    </r>
    <phoneticPr fontId="19" type="noConversion"/>
  </si>
  <si>
    <r>
      <rPr>
        <sz val="18"/>
        <color rgb="FFFF0000"/>
        <rFont val="微軟正黑體"/>
        <family val="2"/>
        <charset val="136"/>
      </rPr>
      <t>經舒</t>
    </r>
  </si>
  <si>
    <r>
      <t>e</t>
    </r>
    <r>
      <rPr>
        <sz val="18"/>
        <color rgb="FF000000"/>
        <rFont val="霞鶩文楷等寬 TC Medium"/>
        <family val="3"/>
        <charset val="136"/>
      </rPr>
      <t>ⁿ</t>
    </r>
  </si>
  <si>
    <r>
      <t>⁰</t>
    </r>
    <r>
      <rPr>
        <sz val="18"/>
        <color rgb="FF000000"/>
        <rFont val="Noto Sans"/>
        <family val="2"/>
      </rPr>
      <t>ㄝ</t>
    </r>
  </si>
  <si>
    <r>
      <rPr>
        <sz val="18"/>
        <color rgb="FF000000"/>
        <rFont val="Noto Sans"/>
        <family val="2"/>
      </rPr>
      <t>更</t>
    </r>
  </si>
  <si>
    <r>
      <rPr>
        <sz val="18"/>
        <color rgb="FF000000"/>
        <rFont val="Noto Sans"/>
        <family val="2"/>
      </rPr>
      <t>爭</t>
    </r>
  </si>
  <si>
    <r>
      <rPr>
        <sz val="18"/>
        <color rgb="FF000000"/>
        <rFont val="Noto Sans"/>
        <family val="2"/>
      </rPr>
      <t>更舒</t>
    </r>
  </si>
  <si>
    <r>
      <t>eh</t>
    </r>
    <r>
      <rPr>
        <sz val="18"/>
        <color rgb="FFFF0000"/>
        <rFont val="Noto Sans"/>
        <family val="2"/>
      </rPr>
      <t>ⁿ</t>
    </r>
    <phoneticPr fontId="46" type="noConversion"/>
  </si>
  <si>
    <r>
      <t>⁰</t>
    </r>
    <r>
      <rPr>
        <sz val="18"/>
        <color rgb="FFFF0000"/>
        <rFont val="細明體"/>
        <family val="1"/>
        <charset val="254"/>
      </rPr>
      <t>ㄝㄏ</t>
    </r>
  </si>
  <si>
    <r>
      <rPr>
        <sz val="18"/>
        <color rgb="FF000000"/>
        <rFont val="Noto Sans"/>
        <family val="2"/>
      </rPr>
      <t>挾</t>
    </r>
  </si>
  <si>
    <r>
      <rPr>
        <sz val="18"/>
        <color rgb="FFFF0000"/>
        <rFont val="Noto Sans TC"/>
        <family val="2"/>
        <charset val="136"/>
      </rPr>
      <t>更促</t>
    </r>
  </si>
  <si>
    <r>
      <rPr>
        <sz val="18"/>
        <color rgb="FF000000"/>
        <rFont val="Noto Sans"/>
        <family val="2"/>
      </rPr>
      <t>ㄧ</t>
    </r>
  </si>
  <si>
    <r>
      <rPr>
        <sz val="18"/>
        <color rgb="FF000000"/>
        <rFont val="Noto Sans"/>
        <family val="2"/>
      </rPr>
      <t>居</t>
    </r>
  </si>
  <si>
    <r>
      <rPr>
        <sz val="18"/>
        <color rgb="FF000000"/>
        <rFont val="Noto Sans"/>
        <family val="2"/>
      </rPr>
      <t>爾</t>
    </r>
  </si>
  <si>
    <r>
      <rPr>
        <sz val="18"/>
        <color rgb="FF000000"/>
        <rFont val="Noto Sans"/>
        <family val="2"/>
      </rPr>
      <t>居舒</t>
    </r>
  </si>
  <si>
    <r>
      <rPr>
        <sz val="18"/>
        <color rgb="FF000000"/>
        <rFont val="Noto Sans"/>
        <family val="2"/>
      </rPr>
      <t>ㄧㄚ</t>
    </r>
  </si>
  <si>
    <r>
      <rPr>
        <sz val="18"/>
        <color rgb="FF000000"/>
        <rFont val="Noto Sans"/>
        <family val="2"/>
      </rPr>
      <t>迦</t>
    </r>
  </si>
  <si>
    <r>
      <rPr>
        <sz val="18"/>
        <color rgb="FF000000"/>
        <rFont val="Noto Sans"/>
        <family val="2"/>
      </rPr>
      <t>名</t>
    </r>
  </si>
  <si>
    <r>
      <rPr>
        <sz val="18"/>
        <color rgb="FF000000"/>
        <rFont val="Noto Sans"/>
        <family val="2"/>
      </rPr>
      <t>迦舒</t>
    </r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</si>
  <si>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ascadia Code"/>
        <family val="3"/>
      </rPr>
      <t>ㆷ</t>
    </r>
  </si>
  <si>
    <r>
      <rPr>
        <sz val="18"/>
        <color rgb="FF000000"/>
        <rFont val="Noto Sans"/>
        <family val="2"/>
      </rPr>
      <t>ㄧㄚㄏ</t>
    </r>
  </si>
  <si>
    <r>
      <rPr>
        <sz val="18"/>
        <color rgb="FF000000"/>
        <rFont val="Noto Sans"/>
        <family val="2"/>
      </rPr>
      <t>壁</t>
    </r>
  </si>
  <si>
    <r>
      <rPr>
        <sz val="18"/>
        <color rgb="FF000000"/>
        <rFont val="Noto Sans"/>
        <family val="2"/>
      </rPr>
      <t>迦促</t>
    </r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</si>
  <si>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ascadia Code"/>
        <family val="3"/>
      </rPr>
      <t>ㆻ</t>
    </r>
  </si>
  <si>
    <r>
      <rPr>
        <sz val="18"/>
        <color rgb="FF000000"/>
        <rFont val="Noto Sans"/>
        <family val="2"/>
      </rPr>
      <t>ㄧㄚㄍ</t>
    </r>
  </si>
  <si>
    <r>
      <rPr>
        <sz val="18"/>
        <color rgb="FF000000"/>
        <rFont val="Noto Sans"/>
        <family val="2"/>
      </rPr>
      <t>姜</t>
    </r>
  </si>
  <si>
    <r>
      <rPr>
        <sz val="18"/>
        <color rgb="FF000000"/>
        <rFont val="Noto Sans"/>
        <family val="2"/>
      </rPr>
      <t>爆</t>
    </r>
  </si>
  <si>
    <r>
      <rPr>
        <sz val="18"/>
        <color rgb="FF000000"/>
        <rFont val="Noto Sans"/>
        <family val="2"/>
      </rPr>
      <t>姜促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</si>
  <si>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ascadia Code"/>
        <family val="3"/>
      </rPr>
      <t>ㆰ</t>
    </r>
  </si>
  <si>
    <r>
      <rPr>
        <sz val="18"/>
        <color rgb="FF000000"/>
        <rFont val="Noto Sans"/>
        <family val="2"/>
      </rPr>
      <t>ㄧㄚㄇ</t>
    </r>
  </si>
  <si>
    <r>
      <rPr>
        <sz val="18"/>
        <color rgb="FF000000"/>
        <rFont val="Noto Sans"/>
        <family val="2"/>
      </rPr>
      <t>兼</t>
    </r>
  </si>
  <si>
    <r>
      <rPr>
        <sz val="18"/>
        <color rgb="FF000000"/>
        <rFont val="Noto Sans"/>
        <family val="2"/>
      </rPr>
      <t>尖</t>
    </r>
  </si>
  <si>
    <r>
      <rPr>
        <sz val="18"/>
        <color rgb="FF000000"/>
        <rFont val="Noto Sans"/>
        <family val="2"/>
      </rPr>
      <t>兼舒</t>
    </r>
  </si>
  <si>
    <r>
      <rPr>
        <sz val="18"/>
        <color rgb="FF000000"/>
        <rFont val="Noto Sans"/>
        <family val="2"/>
      </rPr>
      <t>ㄧㄢ</t>
    </r>
  </si>
  <si>
    <r>
      <rPr>
        <sz val="18"/>
        <color rgb="FF000000"/>
        <rFont val="Noto Sans"/>
        <family val="2"/>
      </rPr>
      <t>堅</t>
    </r>
  </si>
  <si>
    <r>
      <rPr>
        <sz val="18"/>
        <color rgb="FF000000"/>
        <rFont val="Noto Sans"/>
        <family val="2"/>
      </rPr>
      <t>掀</t>
    </r>
  </si>
  <si>
    <r>
      <rPr>
        <sz val="18"/>
        <color rgb="FF000000"/>
        <rFont val="Noto Sans"/>
        <family val="2"/>
      </rPr>
      <t>堅舒</t>
    </r>
  </si>
  <si>
    <r>
      <rPr>
        <sz val="18"/>
        <color rgb="FF000000"/>
        <rFont val="Noto Sans"/>
        <family val="2"/>
      </rPr>
      <t>ㄧㄤ</t>
    </r>
  </si>
  <si>
    <r>
      <rPr>
        <sz val="18"/>
        <color rgb="FF000000"/>
        <rFont val="Noto Sans"/>
        <family val="2"/>
      </rPr>
      <t>將</t>
    </r>
  </si>
  <si>
    <r>
      <rPr>
        <sz val="18"/>
        <color rgb="FF000000"/>
        <rFont val="Noto Sans"/>
        <family val="2"/>
      </rPr>
      <t>姜舒</t>
    </r>
  </si>
  <si>
    <r>
      <t>ia</t>
    </r>
    <r>
      <rPr>
        <sz val="18"/>
        <color rgb="FF000000"/>
        <rFont val="霞鶩文楷等寬 TC Medium"/>
        <family val="3"/>
        <charset val="136"/>
      </rPr>
      <t>ⁿ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</si>
  <si>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ascadia Code"/>
        <family val="3"/>
      </rPr>
      <t>ㆩ</t>
    </r>
  </si>
  <si>
    <r>
      <t>⁰</t>
    </r>
    <r>
      <rPr>
        <sz val="18"/>
        <color rgb="FF000000"/>
        <rFont val="Noto Sans"/>
        <family val="2"/>
      </rPr>
      <t>ㄧㄚ</t>
    </r>
  </si>
  <si>
    <r>
      <rPr>
        <sz val="18"/>
        <color rgb="FF000000"/>
        <rFont val="Noto Sans"/>
        <family val="2"/>
      </rPr>
      <t>驚</t>
    </r>
  </si>
  <si>
    <r>
      <rPr>
        <sz val="18"/>
        <color rgb="FF000000"/>
        <rFont val="Noto Sans"/>
        <family val="2"/>
      </rPr>
      <t>驚舒</t>
    </r>
  </si>
  <si>
    <r>
      <t>iah</t>
    </r>
    <r>
      <rPr>
        <sz val="18"/>
        <color rgb="FFFF0000"/>
        <rFont val="Noto Sans"/>
        <family val="2"/>
      </rPr>
      <t>ⁿ</t>
    </r>
    <phoneticPr fontId="46" type="noConversion"/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</si>
  <si>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Cascadia Code"/>
        <family val="3"/>
      </rPr>
      <t>ㆩㆷ</t>
    </r>
    <phoneticPr fontId="19" type="noConversion"/>
  </si>
  <si>
    <r>
      <t>⁰</t>
    </r>
    <r>
      <rPr>
        <sz val="18"/>
        <color rgb="FFFF0000"/>
        <rFont val="Microsoft JhengHei"/>
        <family val="2"/>
      </rPr>
      <t>ㄧㄚㄏ</t>
    </r>
  </si>
  <si>
    <r>
      <rPr>
        <sz val="18"/>
        <color rgb="FF000000"/>
        <rFont val="Noto Sans"/>
        <family val="2"/>
      </rPr>
      <t>且</t>
    </r>
  </si>
  <si>
    <r>
      <rPr>
        <sz val="18"/>
        <color rgb="FFFF0000"/>
        <rFont val="Noto Sans TC"/>
        <family val="2"/>
        <charset val="136"/>
      </rPr>
      <t>迦促</t>
    </r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</si>
  <si>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ascadia Code"/>
        <family val="3"/>
      </rPr>
      <t>ㆴ</t>
    </r>
  </si>
  <si>
    <r>
      <rPr>
        <sz val="18"/>
        <color rgb="FF000000"/>
        <rFont val="Noto Sans"/>
        <family val="2"/>
      </rPr>
      <t>ㄧㄚㄅ</t>
    </r>
  </si>
  <si>
    <r>
      <rPr>
        <sz val="18"/>
        <color rgb="FF000000"/>
        <rFont val="Noto Sans"/>
        <family val="2"/>
      </rPr>
      <t>接</t>
    </r>
  </si>
  <si>
    <r>
      <rPr>
        <sz val="18"/>
        <color rgb="FF000000"/>
        <rFont val="Noto Sans"/>
        <family val="2"/>
      </rPr>
      <t>兼促</t>
    </r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</si>
  <si>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ascadia Code"/>
        <family val="3"/>
      </rPr>
      <t>ㆵ</t>
    </r>
  </si>
  <si>
    <r>
      <rPr>
        <sz val="18"/>
        <color rgb="FF000000"/>
        <rFont val="Noto Sans"/>
        <family val="2"/>
      </rPr>
      <t>ㄧㄚㄉ</t>
    </r>
  </si>
  <si>
    <r>
      <rPr>
        <sz val="18"/>
        <color rgb="FF000000"/>
        <rFont val="Noto Sans"/>
        <family val="2"/>
      </rPr>
      <t>別</t>
    </r>
  </si>
  <si>
    <r>
      <rPr>
        <sz val="18"/>
        <color rgb="FF000000"/>
        <rFont val="Noto Sans"/>
        <family val="2"/>
      </rPr>
      <t>堅促</t>
    </r>
  </si>
  <si>
    <r>
      <rPr>
        <sz val="18"/>
        <color rgb="FF000000"/>
        <rFont val="Noto Sans"/>
        <family val="2"/>
      </rPr>
      <t>ㄧㄠ</t>
    </r>
  </si>
  <si>
    <r>
      <rPr>
        <sz val="18"/>
        <color rgb="FF000000"/>
        <rFont val="Noto Sans"/>
        <family val="2"/>
      </rPr>
      <t>嬌</t>
    </r>
  </si>
  <si>
    <r>
      <rPr>
        <sz val="18"/>
        <color rgb="FF000000"/>
        <rFont val="Noto Sans"/>
        <family val="2"/>
      </rPr>
      <t>遙</t>
    </r>
  </si>
  <si>
    <r>
      <rPr>
        <sz val="18"/>
        <color rgb="FF000000"/>
        <rFont val="Noto Sans"/>
        <family val="2"/>
      </rPr>
      <t>嬌舒</t>
    </r>
  </si>
  <si>
    <r>
      <rPr>
        <sz val="18"/>
        <color rgb="FF000000"/>
        <rFont val="Noto Sans"/>
        <family val="2"/>
      </rPr>
      <t>ㄧㄠ</t>
    </r>
    <r>
      <rPr>
        <sz val="18"/>
        <color rgb="FF000000"/>
        <rFont val="Cascadia Code"/>
        <family val="3"/>
      </rPr>
      <t>ㆷ</t>
    </r>
  </si>
  <si>
    <r>
      <rPr>
        <sz val="18"/>
        <color rgb="FF000000"/>
        <rFont val="Noto Sans"/>
        <family val="2"/>
      </rPr>
      <t>ㄧㄠㄏ</t>
    </r>
  </si>
  <si>
    <r>
      <rPr>
        <sz val="18"/>
        <color rgb="FF000000"/>
        <rFont val="Noto Sans"/>
        <family val="2"/>
      </rPr>
      <t>噭</t>
    </r>
  </si>
  <si>
    <r>
      <rPr>
        <sz val="18"/>
        <color rgb="FF000000"/>
        <rFont val="Noto Sans"/>
        <family val="2"/>
      </rPr>
      <t>嬌促</t>
    </r>
  </si>
  <si>
    <r>
      <t>iau</t>
    </r>
    <r>
      <rPr>
        <sz val="18"/>
        <color rgb="FF000000"/>
        <rFont val="霞鶩文楷等寬 TC Medium"/>
        <family val="3"/>
        <charset val="136"/>
      </rPr>
      <t>ⁿ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</si>
  <si>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ascadia Code"/>
        <family val="3"/>
      </rPr>
      <t>ㆯ</t>
    </r>
  </si>
  <si>
    <r>
      <t>⁰</t>
    </r>
    <r>
      <rPr>
        <sz val="18"/>
        <color rgb="FF000000"/>
        <rFont val="Noto Sans"/>
        <family val="2"/>
      </rPr>
      <t>ㄧㄠ</t>
    </r>
  </si>
  <si>
    <r>
      <rPr>
        <sz val="18"/>
        <color rgb="FF000000"/>
        <rFont val="Noto Sans"/>
        <family val="2"/>
      </rPr>
      <t>嘄</t>
    </r>
  </si>
  <si>
    <r>
      <rPr>
        <sz val="18"/>
        <color rgb="FF000000"/>
        <rFont val="Noto Sans"/>
        <family val="2"/>
      </rPr>
      <t>鳥</t>
    </r>
  </si>
  <si>
    <r>
      <rPr>
        <sz val="18"/>
        <color rgb="FF000000"/>
        <rFont val="Noto Sans"/>
        <family val="2"/>
      </rPr>
      <t>嘄舒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</si>
  <si>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ascadia Code"/>
        <family val="3"/>
      </rPr>
      <t>ㆷ</t>
    </r>
  </si>
  <si>
    <r>
      <rPr>
        <sz val="18"/>
        <color rgb="FF000000"/>
        <rFont val="Noto Sans"/>
        <family val="2"/>
      </rPr>
      <t>ㄧㄏ</t>
    </r>
  </si>
  <si>
    <r>
      <rPr>
        <sz val="18"/>
        <color rgb="FF000000"/>
        <rFont val="Noto Sans"/>
        <family val="2"/>
      </rPr>
      <t>逼</t>
    </r>
  </si>
  <si>
    <r>
      <rPr>
        <sz val="18"/>
        <color rgb="FF000000"/>
        <rFont val="Noto Sans"/>
        <family val="2"/>
      </rPr>
      <t>居促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</si>
  <si>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ascadia Code"/>
        <family val="3"/>
      </rPr>
      <t>ㆻ</t>
    </r>
  </si>
  <si>
    <r>
      <rPr>
        <sz val="18"/>
        <color rgb="FF000000"/>
        <rFont val="Noto Sans"/>
        <family val="2"/>
      </rPr>
      <t>ㄧㄍ</t>
    </r>
  </si>
  <si>
    <r>
      <rPr>
        <sz val="18"/>
        <color rgb="FF000000"/>
        <rFont val="Noto Sans"/>
        <family val="2"/>
      </rPr>
      <t>益</t>
    </r>
  </si>
  <si>
    <r>
      <rPr>
        <sz val="18"/>
        <color rgb="FF000000"/>
        <rFont val="Noto Sans"/>
        <family val="2"/>
      </rPr>
      <t>經促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</si>
  <si>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ascadia Code"/>
        <family val="3"/>
      </rPr>
      <t>ㆬ</t>
    </r>
  </si>
  <si>
    <r>
      <rPr>
        <sz val="18"/>
        <color rgb="FF000000"/>
        <rFont val="Noto Sans"/>
        <family val="2"/>
      </rPr>
      <t>ㄧㄇ</t>
    </r>
  </si>
  <si>
    <r>
      <rPr>
        <sz val="18"/>
        <color rgb="FF000000"/>
        <rFont val="Noto Sans"/>
        <family val="2"/>
      </rPr>
      <t>金</t>
    </r>
  </si>
  <si>
    <r>
      <rPr>
        <sz val="18"/>
        <color rgb="FF000000"/>
        <rFont val="Noto Sans"/>
        <family val="2"/>
      </rPr>
      <t>深</t>
    </r>
  </si>
  <si>
    <r>
      <rPr>
        <sz val="18"/>
        <color rgb="FF000000"/>
        <rFont val="Noto Sans"/>
        <family val="2"/>
      </rPr>
      <t>金舒</t>
    </r>
  </si>
  <si>
    <r>
      <rPr>
        <sz val="18"/>
        <color rgb="FF000000"/>
        <rFont val="Noto Sans"/>
        <family val="2"/>
      </rPr>
      <t>ㄧㄣ</t>
    </r>
  </si>
  <si>
    <r>
      <rPr>
        <sz val="18"/>
        <color rgb="FF000000"/>
        <rFont val="Noto Sans"/>
        <family val="2"/>
      </rPr>
      <t>巾</t>
    </r>
  </si>
  <si>
    <r>
      <rPr>
        <sz val="18"/>
        <color rgb="FF000000"/>
        <rFont val="Noto Sans"/>
        <family val="2"/>
      </rPr>
      <t>恩</t>
    </r>
  </si>
  <si>
    <r>
      <rPr>
        <sz val="18"/>
        <color rgb="FF000000"/>
        <rFont val="Noto Sans"/>
        <family val="2"/>
      </rPr>
      <t>巾舒</t>
    </r>
  </si>
  <si>
    <r>
      <t>i</t>
    </r>
    <r>
      <rPr>
        <b/>
        <sz val="18"/>
        <color rgb="FFC00000"/>
        <rFont val="Noto Sans"/>
        <family val="2"/>
      </rPr>
      <t>ŋ</t>
    </r>
    <phoneticPr fontId="19" type="noConversion"/>
  </si>
  <si>
    <r>
      <rPr>
        <sz val="18"/>
        <color rgb="FF000000"/>
        <rFont val="Noto Sans"/>
        <family val="2"/>
      </rPr>
      <t>ㄧㄥ</t>
    </r>
  </si>
  <si>
    <r>
      <rPr>
        <sz val="18"/>
        <color rgb="FF000000"/>
        <rFont val="Noto Sans"/>
        <family val="2"/>
      </rPr>
      <t>情</t>
    </r>
  </si>
  <si>
    <r>
      <rPr>
        <sz val="18"/>
        <color rgb="FF000000"/>
        <rFont val="Noto Sans"/>
        <family val="2"/>
      </rPr>
      <t>經舒</t>
    </r>
  </si>
  <si>
    <r>
      <t>i</t>
    </r>
    <r>
      <rPr>
        <sz val="18"/>
        <color rgb="FF000000"/>
        <rFont val="霞鶩文楷等寬 TC Medium"/>
        <family val="3"/>
        <charset val="136"/>
      </rPr>
      <t>ⁿ</t>
    </r>
  </si>
  <si>
    <r>
      <t>⁰</t>
    </r>
    <r>
      <rPr>
        <sz val="18"/>
        <color rgb="FF000000"/>
        <rFont val="Noto Sans"/>
        <family val="2"/>
      </rPr>
      <t>ㄧ</t>
    </r>
  </si>
  <si>
    <r>
      <rPr>
        <sz val="18"/>
        <color rgb="FF000000"/>
        <rFont val="Noto Sans"/>
        <family val="2"/>
      </rPr>
      <t>梔</t>
    </r>
  </si>
  <si>
    <r>
      <rPr>
        <sz val="18"/>
        <color rgb="FF000000"/>
        <rFont val="Noto Sans"/>
        <family val="2"/>
      </rPr>
      <t>庚</t>
    </r>
  </si>
  <si>
    <r>
      <rPr>
        <sz val="18"/>
        <color rgb="FF000000"/>
        <rFont val="Noto Sans"/>
        <family val="2"/>
      </rPr>
      <t>梔舒</t>
    </r>
  </si>
  <si>
    <t>ㆨㆷ</t>
    <phoneticPr fontId="3" type="noConversion"/>
  </si>
  <si>
    <t>ㆨㆬ</t>
    <phoneticPr fontId="3" type="noConversion"/>
  </si>
  <si>
    <r>
      <t>ㆨ</t>
    </r>
    <r>
      <rPr>
        <sz val="18"/>
        <color rgb="FF000000"/>
        <rFont val="Microsoft JhengHei"/>
        <family val="2"/>
      </rPr>
      <t>ㄣ</t>
    </r>
    <phoneticPr fontId="3" type="noConversion"/>
  </si>
  <si>
    <r>
      <t>ㆨ</t>
    </r>
    <r>
      <rPr>
        <sz val="18"/>
        <color rgb="FF000000"/>
        <rFont val="Microsoft JhengHei"/>
        <family val="2"/>
      </rPr>
      <t>ㄥ</t>
    </r>
    <phoneticPr fontId="3" type="noConversion"/>
  </si>
  <si>
    <t>ㆨㆴ</t>
    <phoneticPr fontId="3" type="noConversion"/>
  </si>
  <si>
    <t>ㆨㆵ</t>
    <phoneticPr fontId="3" type="noConversion"/>
  </si>
  <si>
    <t>ㆨㆻ</t>
    <phoneticPr fontId="3" type="noConversion"/>
  </si>
  <si>
    <r>
      <rPr>
        <sz val="18"/>
        <color rgb="FF000000"/>
        <rFont val="Noto Sans"/>
        <family val="2"/>
      </rPr>
      <t>ㄧㄜ</t>
    </r>
  </si>
  <si>
    <r>
      <rPr>
        <sz val="18"/>
        <color rgb="FF000000"/>
        <rFont val="Noto Sans"/>
        <family val="2"/>
      </rPr>
      <t>茄</t>
    </r>
  </si>
  <si>
    <r>
      <rPr>
        <sz val="18"/>
        <color rgb="FF000000"/>
        <rFont val="Noto Sans"/>
        <family val="2"/>
      </rPr>
      <t>少</t>
    </r>
  </si>
  <si>
    <r>
      <rPr>
        <sz val="18"/>
        <color rgb="FF000000"/>
        <rFont val="Noto Sans"/>
        <family val="2"/>
      </rPr>
      <t>茄舒</t>
    </r>
  </si>
  <si>
    <r>
      <rPr>
        <sz val="18"/>
        <color rgb="FF000000"/>
        <rFont val="Noto Sans"/>
        <family val="2"/>
      </rPr>
      <t>ㄧㄜ</t>
    </r>
    <r>
      <rPr>
        <sz val="18"/>
        <color rgb="FF000000"/>
        <rFont val="Cascadia Code"/>
        <family val="3"/>
      </rPr>
      <t>ㆷ</t>
    </r>
  </si>
  <si>
    <r>
      <rPr>
        <sz val="18"/>
        <color rgb="FF000000"/>
        <rFont val="Noto Sans"/>
        <family val="2"/>
      </rPr>
      <t>ㄧㄜㄏ</t>
    </r>
  </si>
  <si>
    <r>
      <rPr>
        <sz val="18"/>
        <color rgb="FF000000"/>
        <rFont val="Noto Sans"/>
        <family val="2"/>
      </rPr>
      <t>著</t>
    </r>
  </si>
  <si>
    <r>
      <rPr>
        <sz val="18"/>
        <color rgb="FF000000"/>
        <rFont val="Noto Sans"/>
        <family val="2"/>
      </rPr>
      <t>茄促</t>
    </r>
  </si>
  <si>
    <r>
      <rPr>
        <sz val="18"/>
        <color rgb="FF000000"/>
        <rFont val="Noto Sans"/>
        <family val="2"/>
      </rPr>
      <t>恭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</si>
  <si>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ascadia Code"/>
        <family val="3"/>
      </rPr>
      <t>ㆲ</t>
    </r>
  </si>
  <si>
    <r>
      <rPr>
        <sz val="18"/>
        <color rgb="FF000000"/>
        <rFont val="Noto Sans"/>
        <family val="2"/>
      </rPr>
      <t>ㄧㄛㄥ</t>
    </r>
  </si>
  <si>
    <r>
      <rPr>
        <sz val="18"/>
        <color rgb="FF000000"/>
        <rFont val="Noto Sans"/>
        <family val="2"/>
      </rPr>
      <t>中</t>
    </r>
  </si>
  <si>
    <r>
      <rPr>
        <sz val="18"/>
        <color rgb="FF000000"/>
        <rFont val="Noto Sans"/>
        <family val="2"/>
      </rPr>
      <t>恭舒</t>
    </r>
  </si>
  <si>
    <r>
      <rPr>
        <sz val="18"/>
        <color rgb="FF000000"/>
        <rFont val="Noto Sans"/>
        <family val="2"/>
      </rPr>
      <t>一</t>
    </r>
    <r>
      <rPr>
        <sz val="18"/>
        <color rgb="FF000000"/>
        <rFont val="Cascadia Code"/>
        <family val="3"/>
      </rPr>
      <t>ㆴ</t>
    </r>
  </si>
  <si>
    <r>
      <rPr>
        <sz val="18"/>
        <color rgb="FF000000"/>
        <rFont val="Noto Sans"/>
        <family val="2"/>
      </rPr>
      <t>ㄧㄅ</t>
    </r>
  </si>
  <si>
    <r>
      <rPr>
        <sz val="18"/>
        <color rgb="FF000000"/>
        <rFont val="Noto Sans"/>
        <family val="2"/>
      </rPr>
      <t>蟄</t>
    </r>
  </si>
  <si>
    <r>
      <rPr>
        <sz val="18"/>
        <color rgb="FF000000"/>
        <rFont val="Noto Sans"/>
        <family val="2"/>
      </rPr>
      <t>金促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</si>
  <si>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ascadia Code"/>
        <family val="3"/>
      </rPr>
      <t>ㆵ</t>
    </r>
  </si>
  <si>
    <r>
      <rPr>
        <sz val="18"/>
        <color rgb="FF000000"/>
        <rFont val="Noto Sans"/>
        <family val="2"/>
      </rPr>
      <t>ㄧㄉ</t>
    </r>
  </si>
  <si>
    <r>
      <rPr>
        <sz val="18"/>
        <color rgb="FF000000"/>
        <rFont val="Noto Sans"/>
        <family val="2"/>
      </rPr>
      <t>一</t>
    </r>
  </si>
  <si>
    <r>
      <rPr>
        <sz val="18"/>
        <color rgb="FF000000"/>
        <rFont val="Noto Sans"/>
        <family val="2"/>
      </rPr>
      <t>巾促</t>
    </r>
  </si>
  <si>
    <r>
      <rPr>
        <sz val="18"/>
        <color rgb="FF000000"/>
        <rFont val="Noto Sans"/>
        <family val="2"/>
      </rPr>
      <t>ㄧㄨ</t>
    </r>
  </si>
  <si>
    <r>
      <rPr>
        <sz val="18"/>
        <color rgb="FF000000"/>
        <rFont val="Noto Sans"/>
        <family val="2"/>
      </rPr>
      <t>丩</t>
    </r>
  </si>
  <si>
    <r>
      <rPr>
        <sz val="18"/>
        <color rgb="FF000000"/>
        <rFont val="Noto Sans"/>
        <family val="2"/>
      </rPr>
      <t>油</t>
    </r>
  </si>
  <si>
    <r>
      <rPr>
        <sz val="18"/>
        <color rgb="FF000000"/>
        <rFont val="Noto Sans"/>
        <family val="2"/>
      </rPr>
      <t>丩舒</t>
    </r>
  </si>
  <si>
    <r>
      <t>iu</t>
    </r>
    <r>
      <rPr>
        <sz val="18"/>
        <color rgb="FF000000"/>
        <rFont val="霞鶩文楷等寬 TC Medium"/>
        <family val="3"/>
        <charset val="136"/>
      </rPr>
      <t>ⁿ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</si>
  <si>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ascadia Code"/>
        <family val="3"/>
      </rPr>
      <t>ㆫ</t>
    </r>
  </si>
  <si>
    <r>
      <t>⁰</t>
    </r>
    <r>
      <rPr>
        <sz val="18"/>
        <color rgb="FF000000"/>
        <rFont val="Noto Sans"/>
        <family val="2"/>
      </rPr>
      <t>ㄧㄨ</t>
    </r>
  </si>
  <si>
    <r>
      <rPr>
        <sz val="18"/>
        <color rgb="FF000000"/>
        <rFont val="Noto Sans"/>
        <family val="2"/>
      </rPr>
      <t>牛</t>
    </r>
  </si>
  <si>
    <r>
      <rPr>
        <sz val="18"/>
        <color rgb="FF000000"/>
        <rFont val="Noto Sans"/>
        <family val="2"/>
      </rPr>
      <t>香</t>
    </r>
  </si>
  <si>
    <r>
      <rPr>
        <sz val="18"/>
        <color rgb="FF000000"/>
        <rFont val="Noto Sans"/>
        <family val="2"/>
      </rPr>
      <t>牛舒</t>
    </r>
  </si>
  <si>
    <r>
      <t>iuh</t>
    </r>
    <r>
      <rPr>
        <sz val="18"/>
        <color rgb="FFFF0000"/>
        <rFont val="Noto Sans"/>
        <family val="2"/>
      </rPr>
      <t>ⁿ</t>
    </r>
    <phoneticPr fontId="46" type="noConversion"/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</si>
  <si>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Cascadia Code"/>
        <family val="3"/>
      </rPr>
      <t>ㆫㆷ</t>
    </r>
    <phoneticPr fontId="19" type="noConversion"/>
  </si>
  <si>
    <r>
      <t>⁰</t>
    </r>
    <r>
      <rPr>
        <sz val="18"/>
        <color rgb="FFFF0000"/>
        <rFont val="Microsoft JhengHei"/>
        <family val="2"/>
      </rPr>
      <t>ㄧㄨㄏ</t>
    </r>
  </si>
  <si>
    <r>
      <rPr>
        <sz val="18"/>
        <color rgb="FFFF0000"/>
        <rFont val="Noto Sans TC"/>
        <family val="2"/>
        <charset val="136"/>
      </rPr>
      <t>牛促</t>
    </r>
  </si>
  <si>
    <r>
      <rPr>
        <sz val="18"/>
        <color rgb="FF000000"/>
        <rFont val="Noto Sans"/>
        <family val="2"/>
      </rPr>
      <t>ㄇ</t>
    </r>
  </si>
  <si>
    <r>
      <rPr>
        <sz val="18"/>
        <color rgb="FF000000"/>
        <rFont val="Noto Sans"/>
        <family val="2"/>
      </rPr>
      <t>姆</t>
    </r>
  </si>
  <si>
    <r>
      <rPr>
        <sz val="18"/>
        <color rgb="FF000000"/>
        <rFont val="Noto Sans"/>
        <family val="2"/>
      </rPr>
      <t>姆舒</t>
    </r>
  </si>
  <si>
    <r>
      <rPr>
        <sz val="18"/>
        <color rgb="FFFF0000"/>
        <rFont val="細明體"/>
        <family val="2"/>
        <charset val="136"/>
      </rPr>
      <t>ㄇㄏ</t>
    </r>
  </si>
  <si>
    <r>
      <rPr>
        <sz val="18"/>
        <color rgb="FFFF0000"/>
        <rFont val="微軟正黑體"/>
        <family val="2"/>
        <charset val="136"/>
      </rPr>
      <t>姆促</t>
    </r>
  </si>
  <si>
    <r>
      <rPr>
        <b/>
        <sz val="18"/>
        <color rgb="FFC00000"/>
        <rFont val="Noto Sans"/>
        <family val="2"/>
      </rPr>
      <t>ŋ</t>
    </r>
    <r>
      <rPr>
        <b/>
        <sz val="18"/>
        <color rgb="FFC00000"/>
        <rFont val="Cascadia Code"/>
        <family val="3"/>
      </rPr>
      <t>̍</t>
    </r>
  </si>
  <si>
    <r>
      <rPr>
        <sz val="18"/>
        <color rgb="FF000000"/>
        <rFont val="Noto Sans"/>
        <family val="2"/>
      </rPr>
      <t>ㄥ</t>
    </r>
  </si>
  <si>
    <r>
      <rPr>
        <sz val="18"/>
        <color rgb="FF000000"/>
        <rFont val="Noto Sans"/>
        <family val="2"/>
      </rPr>
      <t>鋼</t>
    </r>
  </si>
  <si>
    <r>
      <rPr>
        <sz val="18"/>
        <color rgb="FF000000"/>
        <rFont val="Noto Sans"/>
        <family val="2"/>
      </rPr>
      <t>床</t>
    </r>
  </si>
  <si>
    <r>
      <rPr>
        <sz val="18"/>
        <color rgb="FF000000"/>
        <rFont val="Noto Sans"/>
        <family val="2"/>
      </rPr>
      <t>鋼舒</t>
    </r>
  </si>
  <si>
    <r>
      <rPr>
        <b/>
        <sz val="18"/>
        <color rgb="FFC00000"/>
        <rFont val="Noto Sans"/>
        <family val="2"/>
      </rPr>
      <t>ŋ</t>
    </r>
    <r>
      <rPr>
        <b/>
        <sz val="18"/>
        <color rgb="FFC00000"/>
        <rFont val="Cascadia Code"/>
        <family val="3"/>
      </rPr>
      <t>̍ʔ</t>
    </r>
  </si>
  <si>
    <r>
      <rPr>
        <sz val="18"/>
        <color rgb="FFFF0000"/>
        <rFont val="細明體"/>
        <family val="2"/>
        <charset val="136"/>
      </rPr>
      <t>ㄥㄏ</t>
    </r>
  </si>
  <si>
    <r>
      <rPr>
        <sz val="18"/>
        <color rgb="FFFF0000"/>
        <rFont val="微軟正黑體"/>
        <family val="2"/>
        <charset val="136"/>
      </rPr>
      <t>鋼促</t>
    </r>
  </si>
  <si>
    <r>
      <rPr>
        <sz val="18"/>
        <color rgb="FF000000"/>
        <rFont val="Noto Sans"/>
        <family val="2"/>
      </rPr>
      <t>ㄜ</t>
    </r>
  </si>
  <si>
    <r>
      <rPr>
        <sz val="18"/>
        <color rgb="FF000000"/>
        <rFont val="Noto Sans"/>
        <family val="2"/>
      </rPr>
      <t>高</t>
    </r>
  </si>
  <si>
    <r>
      <rPr>
        <sz val="18"/>
        <color rgb="FF000000"/>
        <rFont val="Noto Sans"/>
        <family val="2"/>
      </rPr>
      <t>果</t>
    </r>
  </si>
  <si>
    <r>
      <rPr>
        <sz val="18"/>
        <color rgb="FF000000"/>
        <rFont val="Noto Sans"/>
        <family val="2"/>
      </rPr>
      <t>高舒</t>
    </r>
  </si>
  <si>
    <r>
      <rPr>
        <sz val="18"/>
        <color rgb="FF000000"/>
        <rFont val="Noto Sans"/>
        <family val="2"/>
      </rPr>
      <t>ㄜ</t>
    </r>
    <r>
      <rPr>
        <sz val="18"/>
        <color rgb="FF000000"/>
        <rFont val="Cascadia Code"/>
        <family val="3"/>
      </rPr>
      <t>ㆷ</t>
    </r>
  </si>
  <si>
    <r>
      <rPr>
        <sz val="18"/>
        <color rgb="FF000000"/>
        <rFont val="Noto Sans"/>
        <family val="2"/>
      </rPr>
      <t>ㄜㄏ</t>
    </r>
  </si>
  <si>
    <r>
      <rPr>
        <sz val="18"/>
        <color rgb="FF000000"/>
        <rFont val="Noto Sans"/>
        <family val="2"/>
      </rPr>
      <t>卜</t>
    </r>
  </si>
  <si>
    <r>
      <rPr>
        <sz val="18"/>
        <color rgb="FF000000"/>
        <rFont val="Noto Sans"/>
        <family val="2"/>
      </rPr>
      <t>高促</t>
    </r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</si>
  <si>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ascadia Code"/>
        <family val="3"/>
      </rPr>
      <t>k̚</t>
    </r>
    <phoneticPr fontId="19" type="noConversion"/>
  </si>
  <si>
    <r>
      <rPr>
        <sz val="18"/>
        <color rgb="FF000000"/>
        <rFont val="Noto Sans"/>
        <family val="2"/>
      </rPr>
      <t>ㄛㄍ</t>
    </r>
  </si>
  <si>
    <r>
      <rPr>
        <sz val="18"/>
        <color rgb="FF000000"/>
        <rFont val="Noto Sans"/>
        <family val="2"/>
      </rPr>
      <t>公</t>
    </r>
  </si>
  <si>
    <r>
      <rPr>
        <sz val="18"/>
        <color rgb="FF000000"/>
        <rFont val="Noto Sans"/>
        <family val="2"/>
      </rPr>
      <t>福</t>
    </r>
  </si>
  <si>
    <r>
      <rPr>
        <sz val="18"/>
        <color rgb="FF000000"/>
        <rFont val="Noto Sans"/>
        <family val="2"/>
      </rPr>
      <t>公促</t>
    </r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</si>
  <si>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ascadia Code"/>
        <family val="3"/>
      </rPr>
      <t>m</t>
    </r>
    <phoneticPr fontId="19" type="noConversion"/>
  </si>
  <si>
    <r>
      <rPr>
        <sz val="18"/>
        <color rgb="FF000000"/>
        <rFont val="Noto Sans"/>
        <family val="2"/>
      </rPr>
      <t>ㄛㄇ</t>
    </r>
  </si>
  <si>
    <r>
      <rPr>
        <sz val="18"/>
        <color rgb="FF000000"/>
        <rFont val="Noto Sans"/>
        <family val="2"/>
      </rPr>
      <t>箴</t>
    </r>
  </si>
  <si>
    <r>
      <rPr>
        <sz val="18"/>
        <color rgb="FF000000"/>
        <rFont val="Noto Sans"/>
        <family val="2"/>
      </rPr>
      <t>丼</t>
    </r>
  </si>
  <si>
    <r>
      <rPr>
        <sz val="18"/>
        <color rgb="FF000000"/>
        <rFont val="Noto Sans"/>
        <family val="2"/>
      </rPr>
      <t>箴舒</t>
    </r>
  </si>
  <si>
    <r>
      <rPr>
        <b/>
        <sz val="18"/>
        <color rgb="FFC00000"/>
        <rFont val="Noto Sans"/>
        <family val="2"/>
      </rPr>
      <t>ɔŋ</t>
    </r>
    <phoneticPr fontId="19" type="noConversion"/>
  </si>
  <si>
    <r>
      <rPr>
        <sz val="18"/>
        <color rgb="FF000000"/>
        <rFont val="Noto Sans"/>
        <family val="2"/>
      </rPr>
      <t>ㄛㄥ</t>
    </r>
  </si>
  <si>
    <r>
      <rPr>
        <sz val="18"/>
        <color rgb="FF000000"/>
        <rFont val="Noto Sans"/>
        <family val="2"/>
      </rPr>
      <t>風</t>
    </r>
  </si>
  <si>
    <r>
      <rPr>
        <sz val="18"/>
        <color rgb="FF000000"/>
        <rFont val="Noto Sans"/>
        <family val="2"/>
      </rPr>
      <t>公舒</t>
    </r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</si>
  <si>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ascadia Code"/>
        <family val="3"/>
      </rPr>
      <t>̃</t>
    </r>
    <phoneticPr fontId="19" type="noConversion"/>
  </si>
  <si>
    <r>
      <t>o</t>
    </r>
    <r>
      <rPr>
        <sz val="18"/>
        <color rgb="FF000000"/>
        <rFont val="霞鶩文楷等寬 TC Medium"/>
        <family val="3"/>
        <charset val="136"/>
      </rPr>
      <t>ⁿ</t>
    </r>
    <phoneticPr fontId="46" type="noConversion"/>
  </si>
  <si>
    <r>
      <t>⁰</t>
    </r>
    <r>
      <rPr>
        <sz val="18"/>
        <color rgb="FF000000"/>
        <rFont val="Noto Sans"/>
        <family val="2"/>
      </rPr>
      <t>ㄛ</t>
    </r>
  </si>
  <si>
    <r>
      <rPr>
        <sz val="18"/>
        <color rgb="FF000000"/>
        <rFont val="Noto Sans"/>
        <family val="2"/>
      </rPr>
      <t>姑</t>
    </r>
  </si>
  <si>
    <r>
      <rPr>
        <sz val="18"/>
        <color rgb="FF000000"/>
        <rFont val="Noto Sans"/>
        <family val="2"/>
      </rPr>
      <t>張</t>
    </r>
  </si>
  <si>
    <r>
      <rPr>
        <sz val="18"/>
        <color rgb="FF000000"/>
        <rFont val="Noto Sans"/>
        <family val="2"/>
      </rPr>
      <t>姑舒</t>
    </r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</si>
  <si>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ascadia Code"/>
        <family val="3"/>
      </rPr>
      <t>̃ʔ</t>
    </r>
    <phoneticPr fontId="19" type="noConversion"/>
  </si>
  <si>
    <r>
      <t>oh</t>
    </r>
    <r>
      <rPr>
        <sz val="18"/>
        <color rgb="FF000000"/>
        <rFont val="霞鶩文楷等寬 TC Medium"/>
        <family val="3"/>
        <charset val="136"/>
      </rPr>
      <t>ⁿ</t>
    </r>
  </si>
  <si>
    <r>
      <t>⁰</t>
    </r>
    <r>
      <rPr>
        <sz val="18"/>
        <color rgb="FF000000"/>
        <rFont val="Noto Sans"/>
        <family val="2"/>
      </rPr>
      <t>ㄛㄏ</t>
    </r>
  </si>
  <si>
    <r>
      <rPr>
        <sz val="18"/>
        <color rgb="FF000000"/>
        <rFont val="Noto Sans"/>
        <family val="2"/>
      </rPr>
      <t>扛</t>
    </r>
  </si>
  <si>
    <r>
      <rPr>
        <sz val="18"/>
        <color rgb="FF000000"/>
        <rFont val="Noto Sans"/>
        <family val="2"/>
      </rPr>
      <t>扛促</t>
    </r>
  </si>
  <si>
    <r>
      <rPr>
        <b/>
        <sz val="18"/>
        <color rgb="FFC00000"/>
        <rFont val="Noto Sans"/>
        <family val="2"/>
      </rPr>
      <t>ɔ</t>
    </r>
    <phoneticPr fontId="19" type="noConversion"/>
  </si>
  <si>
    <r>
      <rPr>
        <sz val="18"/>
        <color rgb="FF000000"/>
        <rFont val="Noto Sans"/>
        <family val="2"/>
      </rPr>
      <t>ㄛ</t>
    </r>
  </si>
  <si>
    <r>
      <rPr>
        <sz val="18"/>
        <color rgb="FF000000"/>
        <rFont val="Noto Sans"/>
        <family val="2"/>
      </rPr>
      <t>沽</t>
    </r>
  </si>
  <si>
    <r>
      <rPr>
        <sz val="18"/>
        <color rgb="FF000000"/>
        <rFont val="Noto Sans"/>
        <family val="2"/>
      </rPr>
      <t>捕</t>
    </r>
  </si>
  <si>
    <r>
      <rPr>
        <sz val="18"/>
        <color rgb="FF000000"/>
        <rFont val="Noto Sans"/>
        <family val="2"/>
      </rPr>
      <t>沽舒</t>
    </r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</si>
  <si>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ascadia Code"/>
        <family val="3"/>
      </rPr>
      <t>ʔ</t>
    </r>
    <phoneticPr fontId="19" type="noConversion"/>
  </si>
  <si>
    <r>
      <rPr>
        <sz val="18"/>
        <color rgb="FFFF0000"/>
        <rFont val="細明體"/>
        <family val="2"/>
        <charset val="136"/>
      </rPr>
      <t>ㄛㄏ</t>
    </r>
  </si>
  <si>
    <r>
      <rPr>
        <sz val="18"/>
        <color rgb="FFFF0000"/>
        <rFont val="Noto Sans TC"/>
        <family val="2"/>
        <charset val="136"/>
      </rPr>
      <t>沽促</t>
    </r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</si>
  <si>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ascadia Code"/>
        <family val="3"/>
      </rPr>
      <t>p̚</t>
    </r>
    <phoneticPr fontId="19" type="noConversion"/>
  </si>
  <si>
    <r>
      <rPr>
        <sz val="18"/>
        <color rgb="FF000000"/>
        <rFont val="Noto Sans"/>
        <family val="2"/>
      </rPr>
      <t>ㄛㄅ</t>
    </r>
  </si>
  <si>
    <r>
      <rPr>
        <sz val="18"/>
        <color rgb="FF000000"/>
        <rFont val="Noto Sans"/>
        <family val="2"/>
      </rPr>
      <t>吷</t>
    </r>
  </si>
  <si>
    <r>
      <rPr>
        <sz val="18"/>
        <color rgb="FF000000"/>
        <rFont val="Noto Sans"/>
        <family val="2"/>
      </rPr>
      <t>箴促</t>
    </r>
  </si>
  <si>
    <r>
      <rPr>
        <sz val="18"/>
        <color rgb="FF000000"/>
        <rFont val="Noto Sans"/>
        <family val="2"/>
      </rPr>
      <t>ㄨ</t>
    </r>
  </si>
  <si>
    <r>
      <rPr>
        <sz val="18"/>
        <color rgb="FF000000"/>
        <rFont val="Noto Sans"/>
        <family val="2"/>
      </rPr>
      <t>艍</t>
    </r>
  </si>
  <si>
    <r>
      <rPr>
        <sz val="18"/>
        <color rgb="FF000000"/>
        <rFont val="Noto Sans"/>
        <family val="2"/>
      </rPr>
      <t>夫</t>
    </r>
  </si>
  <si>
    <r>
      <rPr>
        <sz val="18"/>
        <color rgb="FF000000"/>
        <rFont val="Noto Sans"/>
        <family val="2"/>
      </rPr>
      <t>艍舒</t>
    </r>
  </si>
  <si>
    <r>
      <rPr>
        <sz val="18"/>
        <color rgb="FF000000"/>
        <rFont val="Noto Sans"/>
        <family val="2"/>
      </rPr>
      <t>ㄨㄚ</t>
    </r>
  </si>
  <si>
    <r>
      <rPr>
        <sz val="18"/>
        <color rgb="FF000000"/>
        <rFont val="Noto Sans"/>
        <family val="2"/>
      </rPr>
      <t>瓜</t>
    </r>
  </si>
  <si>
    <r>
      <rPr>
        <sz val="18"/>
        <color rgb="FF000000"/>
        <rFont val="Noto Sans"/>
        <family val="2"/>
      </rPr>
      <t>花</t>
    </r>
  </si>
  <si>
    <r>
      <rPr>
        <sz val="18"/>
        <color rgb="FF000000"/>
        <rFont val="Noto Sans"/>
        <family val="2"/>
      </rPr>
      <t>瓜舒</t>
    </r>
  </si>
  <si>
    <r>
      <rPr>
        <sz val="18"/>
        <color rgb="FF000000"/>
        <rFont val="Noto Sans"/>
        <family val="2"/>
      </rPr>
      <t>ㄨㄚ</t>
    </r>
    <r>
      <rPr>
        <sz val="18"/>
        <color rgb="FF000000"/>
        <rFont val="Cascadia Code"/>
        <family val="3"/>
      </rPr>
      <t>ㆷ</t>
    </r>
  </si>
  <si>
    <r>
      <rPr>
        <sz val="18"/>
        <color rgb="FF000000"/>
        <rFont val="Noto Sans"/>
        <family val="2"/>
      </rPr>
      <t>ㄨㄚㄏ</t>
    </r>
  </si>
  <si>
    <r>
      <rPr>
        <sz val="18"/>
        <color rgb="FF000000"/>
        <rFont val="Noto Sans"/>
        <family val="2"/>
      </rPr>
      <t>缽</t>
    </r>
  </si>
  <si>
    <r>
      <rPr>
        <sz val="18"/>
        <color rgb="FF000000"/>
        <rFont val="Noto Sans"/>
        <family val="2"/>
      </rPr>
      <t>瓜促</t>
    </r>
  </si>
  <si>
    <r>
      <rPr>
        <sz val="18"/>
        <color rgb="FF000000"/>
        <rFont val="Noto Sans"/>
        <family val="2"/>
      </rPr>
      <t>ㄨㄞ</t>
    </r>
  </si>
  <si>
    <r>
      <rPr>
        <sz val="18"/>
        <color rgb="FF000000"/>
        <rFont val="Noto Sans"/>
        <family val="2"/>
      </rPr>
      <t>乖</t>
    </r>
  </si>
  <si>
    <r>
      <rPr>
        <sz val="18"/>
        <color rgb="FF000000"/>
        <rFont val="Noto Sans"/>
        <family val="2"/>
      </rPr>
      <t>怪</t>
    </r>
  </si>
  <si>
    <r>
      <rPr>
        <sz val="18"/>
        <color rgb="FF000000"/>
        <rFont val="Noto Sans"/>
        <family val="2"/>
      </rPr>
      <t>乖舒</t>
    </r>
  </si>
  <si>
    <r>
      <t>oai</t>
    </r>
    <r>
      <rPr>
        <sz val="18"/>
        <color rgb="FF000000"/>
        <rFont val="霞鶩文楷等寬 TC Medium"/>
        <family val="3"/>
        <charset val="136"/>
      </rPr>
      <t>ⁿ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</si>
  <si>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ascadia Code"/>
        <family val="3"/>
      </rPr>
      <t>ㆮ</t>
    </r>
  </si>
  <si>
    <r>
      <t>⁰</t>
    </r>
    <r>
      <rPr>
        <sz val="18"/>
        <color rgb="FF000000"/>
        <rFont val="Noto Sans"/>
        <family val="2"/>
      </rPr>
      <t>ㄨㄞ</t>
    </r>
  </si>
  <si>
    <r>
      <rPr>
        <sz val="18"/>
        <color rgb="FF000000"/>
        <rFont val="Noto Sans"/>
        <family val="2"/>
      </rPr>
      <t>閂</t>
    </r>
  </si>
  <si>
    <r>
      <rPr>
        <sz val="18"/>
        <color rgb="FF000000"/>
        <rFont val="Noto Sans"/>
        <family val="2"/>
      </rPr>
      <t>檨</t>
    </r>
  </si>
  <si>
    <r>
      <rPr>
        <sz val="18"/>
        <color rgb="FF000000"/>
        <rFont val="Noto Sans"/>
        <family val="2"/>
      </rPr>
      <t>閂舒</t>
    </r>
  </si>
  <si>
    <r>
      <rPr>
        <sz val="18"/>
        <color rgb="FF000000"/>
        <rFont val="Noto Sans"/>
        <family val="2"/>
      </rPr>
      <t>ㄨㄞ</t>
    </r>
    <r>
      <rPr>
        <sz val="18"/>
        <color rgb="FF000000"/>
        <rFont val="Cascadia Code"/>
        <family val="3"/>
      </rPr>
      <t>ㆷ</t>
    </r>
  </si>
  <si>
    <r>
      <rPr>
        <sz val="18"/>
        <color rgb="FF000000"/>
        <rFont val="Noto Sans"/>
        <family val="2"/>
      </rPr>
      <t>ㄨㄞㄏ</t>
    </r>
  </si>
  <si>
    <r>
      <rPr>
        <sz val="18"/>
        <color rgb="FF000000"/>
        <rFont val="Noto Sans"/>
        <family val="2"/>
      </rPr>
      <t>乖促</t>
    </r>
  </si>
  <si>
    <r>
      <t>oaih</t>
    </r>
    <r>
      <rPr>
        <sz val="18"/>
        <color rgb="FF000000"/>
        <rFont val="霞鶩文楷等寬 TC Medium"/>
        <family val="3"/>
        <charset val="136"/>
      </rPr>
      <t>ⁿ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</si>
  <si>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ascadia Code"/>
        <family val="3"/>
      </rPr>
      <t>ㆮㆷ</t>
    </r>
  </si>
  <si>
    <r>
      <t>⁰</t>
    </r>
    <r>
      <rPr>
        <sz val="18"/>
        <color rgb="FF000000"/>
        <rFont val="Noto Sans"/>
        <family val="2"/>
      </rPr>
      <t>ㄨㄞㄏ</t>
    </r>
  </si>
  <si>
    <r>
      <rPr>
        <sz val="18"/>
        <color rgb="FF000000"/>
        <rFont val="Noto Sans"/>
        <family val="2"/>
      </rPr>
      <t>蹶</t>
    </r>
  </si>
  <si>
    <r>
      <rPr>
        <sz val="18"/>
        <color rgb="FF000000"/>
        <rFont val="Noto Sans"/>
        <family val="2"/>
      </rPr>
      <t>閂促</t>
    </r>
  </si>
  <si>
    <r>
      <rPr>
        <sz val="18"/>
        <color rgb="FF000000"/>
        <rFont val="Noto Sans"/>
        <family val="2"/>
      </rPr>
      <t>ㄨㄢ</t>
    </r>
  </si>
  <si>
    <r>
      <rPr>
        <sz val="18"/>
        <color rgb="FF000000"/>
        <rFont val="Noto Sans"/>
        <family val="2"/>
      </rPr>
      <t>觀</t>
    </r>
  </si>
  <si>
    <r>
      <rPr>
        <sz val="18"/>
        <color rgb="FF000000"/>
        <rFont val="Noto Sans"/>
        <family val="2"/>
      </rPr>
      <t>猿</t>
    </r>
  </si>
  <si>
    <r>
      <rPr>
        <sz val="18"/>
        <color rgb="FF000000"/>
        <rFont val="Noto Sans"/>
        <family val="2"/>
      </rPr>
      <t>觀舒</t>
    </r>
  </si>
  <si>
    <r>
      <t>ua</t>
    </r>
    <r>
      <rPr>
        <b/>
        <sz val="18"/>
        <color rgb="FFC00000"/>
        <rFont val="Noto Sans"/>
        <family val="2"/>
      </rPr>
      <t>ŋ</t>
    </r>
    <phoneticPr fontId="19" type="noConversion"/>
  </si>
  <si>
    <r>
      <rPr>
        <sz val="18"/>
        <color rgb="FF000000"/>
        <rFont val="Noto Sans"/>
        <family val="2"/>
      </rPr>
      <t>ㄨㄤ</t>
    </r>
  </si>
  <si>
    <r>
      <rPr>
        <sz val="18"/>
        <color rgb="FF000000"/>
        <rFont val="Noto Sans"/>
        <family val="2"/>
      </rPr>
      <t>光</t>
    </r>
  </si>
  <si>
    <r>
      <rPr>
        <sz val="18"/>
        <color rgb="FF000000"/>
        <rFont val="Noto Sans"/>
        <family val="2"/>
      </rPr>
      <t>闖</t>
    </r>
  </si>
  <si>
    <r>
      <rPr>
        <sz val="18"/>
        <color rgb="FF000000"/>
        <rFont val="Noto Sans"/>
        <family val="2"/>
      </rPr>
      <t>光舒</t>
    </r>
  </si>
  <si>
    <r>
      <t>oa</t>
    </r>
    <r>
      <rPr>
        <sz val="18"/>
        <color rgb="FF000000"/>
        <rFont val="霞鶩文楷等寬 TC Medium"/>
        <family val="3"/>
        <charset val="136"/>
      </rPr>
      <t>ⁿ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</si>
  <si>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ascadia Code"/>
        <family val="3"/>
      </rPr>
      <t>ㆩ</t>
    </r>
  </si>
  <si>
    <r>
      <t>⁰</t>
    </r>
    <r>
      <rPr>
        <sz val="18"/>
        <color rgb="FF000000"/>
        <rFont val="Noto Sans"/>
        <family val="2"/>
      </rPr>
      <t>ㄨㄚ</t>
    </r>
  </si>
  <si>
    <r>
      <rPr>
        <sz val="18"/>
        <color rgb="FF000000"/>
        <rFont val="Noto Sans"/>
        <family val="2"/>
      </rPr>
      <t>官</t>
    </r>
  </si>
  <si>
    <r>
      <rPr>
        <sz val="18"/>
        <color rgb="FF000000"/>
        <rFont val="Noto Sans"/>
        <family val="2"/>
      </rPr>
      <t>肝</t>
    </r>
  </si>
  <si>
    <r>
      <rPr>
        <sz val="18"/>
        <color rgb="FF000000"/>
        <rFont val="Noto Sans"/>
        <family val="2"/>
      </rPr>
      <t>官舒</t>
    </r>
  </si>
  <si>
    <r>
      <rPr>
        <sz val="18"/>
        <color rgb="FF000000"/>
        <rFont val="Noto Sans"/>
        <family val="2"/>
      </rPr>
      <t>ㄨㄚ</t>
    </r>
    <r>
      <rPr>
        <sz val="18"/>
        <color rgb="FF000000"/>
        <rFont val="Cascadia Code"/>
        <family val="3"/>
      </rPr>
      <t>ㆵ</t>
    </r>
  </si>
  <si>
    <r>
      <rPr>
        <sz val="18"/>
        <color rgb="FF000000"/>
        <rFont val="Noto Sans"/>
        <family val="2"/>
      </rPr>
      <t>ㄨㄚㄉ</t>
    </r>
  </si>
  <si>
    <r>
      <rPr>
        <sz val="18"/>
        <color rgb="FF000000"/>
        <rFont val="Noto Sans"/>
        <family val="2"/>
      </rPr>
      <t>說</t>
    </r>
  </si>
  <si>
    <r>
      <rPr>
        <sz val="18"/>
        <color rgb="FF000000"/>
        <rFont val="Noto Sans"/>
        <family val="2"/>
      </rPr>
      <t>觀促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</si>
  <si>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ascadia Code"/>
        <family val="3"/>
      </rPr>
      <t>ㆤ</t>
    </r>
  </si>
  <si>
    <r>
      <rPr>
        <sz val="18"/>
        <color rgb="FF000000"/>
        <rFont val="Noto Sans"/>
        <family val="2"/>
      </rPr>
      <t>ㄨㄝ</t>
    </r>
  </si>
  <si>
    <r>
      <rPr>
        <sz val="18"/>
        <color rgb="FF000000"/>
        <rFont val="Noto Sans"/>
        <family val="2"/>
      </rPr>
      <t>檜</t>
    </r>
  </si>
  <si>
    <r>
      <rPr>
        <sz val="18"/>
        <color rgb="FF000000"/>
        <rFont val="Noto Sans"/>
        <family val="2"/>
      </rPr>
      <t>話</t>
    </r>
  </si>
  <si>
    <r>
      <rPr>
        <sz val="18"/>
        <color rgb="FF000000"/>
        <rFont val="Noto Sans"/>
        <family val="2"/>
      </rPr>
      <t>檜舒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</si>
  <si>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ascadia Code"/>
        <family val="3"/>
      </rPr>
      <t>ㆤㆷ</t>
    </r>
  </si>
  <si>
    <r>
      <rPr>
        <sz val="18"/>
        <color rgb="FF000000"/>
        <rFont val="Noto Sans"/>
        <family val="2"/>
      </rPr>
      <t>ㄨㄝㄏ</t>
    </r>
  </si>
  <si>
    <r>
      <rPr>
        <sz val="18"/>
        <color rgb="FF000000"/>
        <rFont val="Noto Sans"/>
        <family val="2"/>
      </rPr>
      <t>拔</t>
    </r>
  </si>
  <si>
    <r>
      <rPr>
        <sz val="18"/>
        <color rgb="FF000000"/>
        <rFont val="Noto Sans"/>
        <family val="2"/>
      </rPr>
      <t>檜促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</si>
  <si>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ascadia Code"/>
        <family val="3"/>
      </rPr>
      <t>ㆷ</t>
    </r>
  </si>
  <si>
    <r>
      <rPr>
        <sz val="18"/>
        <color rgb="FF000000"/>
        <rFont val="Noto Sans"/>
        <family val="2"/>
      </rPr>
      <t>ㄨㄏ</t>
    </r>
  </si>
  <si>
    <r>
      <rPr>
        <sz val="18"/>
        <color rgb="FF000000"/>
        <rFont val="Noto Sans"/>
        <family val="2"/>
      </rPr>
      <t>勃</t>
    </r>
  </si>
  <si>
    <r>
      <rPr>
        <sz val="18"/>
        <color rgb="FF000000"/>
        <rFont val="Noto Sans"/>
        <family val="2"/>
      </rPr>
      <t>艍促</t>
    </r>
  </si>
  <si>
    <r>
      <rPr>
        <sz val="18"/>
        <color rgb="FF000000"/>
        <rFont val="Noto Sans"/>
        <family val="2"/>
      </rPr>
      <t>ㄨㄧ</t>
    </r>
  </si>
  <si>
    <r>
      <rPr>
        <sz val="18"/>
        <color rgb="FF000000"/>
        <rFont val="Noto Sans"/>
        <family val="2"/>
      </rPr>
      <t>規</t>
    </r>
  </si>
  <si>
    <r>
      <rPr>
        <sz val="18"/>
        <color rgb="FF000000"/>
        <rFont val="Noto Sans"/>
        <family val="2"/>
      </rPr>
      <t>歸</t>
    </r>
  </si>
  <si>
    <r>
      <rPr>
        <sz val="18"/>
        <color rgb="FF000000"/>
        <rFont val="Noto Sans"/>
        <family val="2"/>
      </rPr>
      <t>規舒</t>
    </r>
  </si>
  <si>
    <r>
      <rPr>
        <sz val="18"/>
        <color rgb="FFFF0000"/>
        <rFont val="Microsoft JhengHei"/>
        <family val="2"/>
      </rPr>
      <t>ㄨㄧ</t>
    </r>
    <r>
      <rPr>
        <sz val="18"/>
        <color rgb="FFFF0000"/>
        <rFont val="Cascadia Code"/>
        <family val="3"/>
      </rPr>
      <t>ㆷ</t>
    </r>
    <phoneticPr fontId="19" type="noConversion"/>
  </si>
  <si>
    <r>
      <rPr>
        <sz val="18"/>
        <color rgb="FFFF0000"/>
        <rFont val="Microsoft JhengHei"/>
        <family val="2"/>
      </rPr>
      <t>ㄨㄧㄏ</t>
    </r>
  </si>
  <si>
    <r>
      <rPr>
        <sz val="18"/>
        <color rgb="FF000000"/>
        <rFont val="Noto Sans"/>
        <family val="2"/>
      </rPr>
      <t>褌</t>
    </r>
  </si>
  <si>
    <r>
      <rPr>
        <sz val="18"/>
        <color rgb="FFFF0000"/>
        <rFont val="微軟正黑體"/>
        <family val="2"/>
        <charset val="136"/>
      </rPr>
      <t>褌促</t>
    </r>
  </si>
  <si>
    <r>
      <t>ui</t>
    </r>
    <r>
      <rPr>
        <sz val="18"/>
        <color rgb="FF000000"/>
        <rFont val="霞鶩文楷等寬 TC Medium"/>
        <family val="3"/>
        <charset val="136"/>
      </rPr>
      <t>ⁿ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</si>
  <si>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ascadia Code"/>
        <family val="3"/>
      </rPr>
      <t>ㆪ</t>
    </r>
  </si>
  <si>
    <r>
      <t>⁰</t>
    </r>
    <r>
      <rPr>
        <sz val="18"/>
        <color rgb="FF000000"/>
        <rFont val="Noto Sans"/>
        <family val="2"/>
      </rPr>
      <t>ㄨㄧ</t>
    </r>
  </si>
  <si>
    <r>
      <rPr>
        <sz val="18"/>
        <color rgb="FF000000"/>
        <rFont val="Noto Sans"/>
        <family val="2"/>
      </rPr>
      <t>荒</t>
    </r>
  </si>
  <si>
    <r>
      <rPr>
        <sz val="18"/>
        <color rgb="FF000000"/>
        <rFont val="Noto Sans"/>
        <family val="2"/>
      </rPr>
      <t>褌舒</t>
    </r>
  </si>
  <si>
    <r>
      <rPr>
        <sz val="18"/>
        <color rgb="FF000000"/>
        <rFont val="Noto Sans"/>
        <family val="2"/>
      </rPr>
      <t>ㄨㄣ</t>
    </r>
  </si>
  <si>
    <r>
      <rPr>
        <sz val="18"/>
        <color rgb="FF000000"/>
        <rFont val="Noto Sans"/>
        <family val="2"/>
      </rPr>
      <t>君</t>
    </r>
  </si>
  <si>
    <r>
      <rPr>
        <sz val="18"/>
        <color rgb="FF000000"/>
        <rFont val="Noto Sans"/>
        <family val="2"/>
      </rPr>
      <t>汾</t>
    </r>
  </si>
  <si>
    <r>
      <rPr>
        <sz val="18"/>
        <color rgb="FF000000"/>
        <rFont val="Noto Sans"/>
        <family val="2"/>
      </rPr>
      <t>君舒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</si>
  <si>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ascadia Code"/>
        <family val="3"/>
      </rPr>
      <t>ㆵ</t>
    </r>
  </si>
  <si>
    <r>
      <rPr>
        <sz val="18"/>
        <color rgb="FF000000"/>
        <rFont val="Noto Sans"/>
        <family val="2"/>
      </rPr>
      <t>ㄨㄉ</t>
    </r>
  </si>
  <si>
    <r>
      <rPr>
        <sz val="18"/>
        <color rgb="FF000000"/>
        <rFont val="Noto Sans"/>
        <family val="2"/>
      </rPr>
      <t>不</t>
    </r>
  </si>
  <si>
    <r>
      <rPr>
        <sz val="18"/>
        <color rgb="FF000000"/>
        <rFont val="Noto Sans"/>
        <family val="2"/>
      </rPr>
      <t>君促</t>
    </r>
  </si>
  <si>
    <r>
      <t xml:space="preserve">Unicode </t>
    </r>
    <r>
      <rPr>
        <b/>
        <sz val="18"/>
        <color rgb="FF000000"/>
        <rFont val="微軟正黑體"/>
        <family val="2"/>
        <charset val="136"/>
      </rPr>
      <t>編碼</t>
    </r>
    <phoneticPr fontId="19" type="noConversion"/>
  </si>
  <si>
    <r>
      <rPr>
        <b/>
        <sz val="18"/>
        <color rgb="FF000000"/>
        <rFont val="微軟正黑體"/>
        <family val="2"/>
        <charset val="136"/>
      </rPr>
      <t>實例</t>
    </r>
    <phoneticPr fontId="19" type="noConversion"/>
  </si>
  <si>
    <r>
      <t>[ə</t>
    </r>
    <r>
      <rPr>
        <b/>
        <sz val="18"/>
        <color rgb="FF000000"/>
        <rFont val="微軟正黑體"/>
        <family val="2"/>
        <charset val="136"/>
      </rPr>
      <t>ŋ</t>
    </r>
    <r>
      <rPr>
        <b/>
        <sz val="18"/>
        <color rgb="FF000000"/>
        <rFont val="Cascadia Code"/>
        <family val="3"/>
      </rPr>
      <t>]</t>
    </r>
    <phoneticPr fontId="19" type="noConversion"/>
  </si>
  <si>
    <r>
      <rPr>
        <b/>
        <sz val="18"/>
        <color rgb="FF000000"/>
        <rFont val="微軟正黑體"/>
        <family val="2"/>
        <charset val="136"/>
      </rPr>
      <t>ㄥ</t>
    </r>
    <phoneticPr fontId="19" type="noConversion"/>
  </si>
  <si>
    <r>
      <t>[</t>
    </r>
    <r>
      <rPr>
        <b/>
        <sz val="18"/>
        <color rgb="FF000000"/>
        <rFont val="微軟正黑體"/>
        <family val="2"/>
        <charset val="136"/>
      </rPr>
      <t>ŋ</t>
    </r>
    <r>
      <rPr>
        <b/>
        <sz val="18"/>
        <color rgb="FF000000"/>
        <rFont val="Cascadia Code"/>
        <family val="3"/>
      </rPr>
      <t>̍]</t>
    </r>
    <phoneticPr fontId="19" type="noConversion"/>
  </si>
  <si>
    <t>聲韻調類</t>
  </si>
  <si>
    <t>字長</t>
  </si>
  <si>
    <t>方案調號</t>
    <phoneticPr fontId="3" type="noConversion"/>
  </si>
  <si>
    <t>一</t>
    <phoneticPr fontId="3" type="noConversion"/>
  </si>
  <si>
    <t>七</t>
    <phoneticPr fontId="3" type="noConversion"/>
  </si>
  <si>
    <t>三</t>
    <phoneticPr fontId="3" type="noConversion"/>
  </si>
  <si>
    <t>二</t>
    <phoneticPr fontId="3" type="noConversion"/>
  </si>
  <si>
    <t>五</t>
    <phoneticPr fontId="3" type="noConversion"/>
  </si>
  <si>
    <t>四</t>
    <phoneticPr fontId="3" type="noConversion"/>
  </si>
  <si>
    <t>ahnn</t>
  </si>
  <si>
    <t>ehnn</t>
  </si>
  <si>
    <t>iahnn</t>
  </si>
  <si>
    <t>iuhnn</t>
  </si>
  <si>
    <t>韻-鼻</t>
  </si>
  <si>
    <t>伽</t>
    <phoneticPr fontId="3" type="noConversion"/>
  </si>
  <si>
    <t>伽舒</t>
    <phoneticPr fontId="3" type="noConversion"/>
  </si>
  <si>
    <t>國際音標</t>
    <phoneticPr fontId="3" type="noConversion"/>
  </si>
  <si>
    <t>ji</t>
    <phoneticPr fontId="3" type="noConversion"/>
  </si>
  <si>
    <t>si</t>
    <phoneticPr fontId="3" type="noConversion"/>
  </si>
  <si>
    <t>tsi</t>
    <phoneticPr fontId="3" type="noConversion"/>
  </si>
  <si>
    <t>tshi</t>
    <phoneticPr fontId="3" type="noConversion"/>
  </si>
  <si>
    <t>nau</t>
    <phoneticPr fontId="3" type="noConversion"/>
  </si>
  <si>
    <r>
      <t>au</t>
    </r>
    <r>
      <rPr>
        <sz val="18"/>
        <color rgb="FFFF0000"/>
        <rFont val="Noto Sans"/>
        <family val="2"/>
      </rPr>
      <t>ⁿ</t>
    </r>
    <phoneticPr fontId="46" type="noConversion"/>
  </si>
  <si>
    <t>ãʊ</t>
  </si>
  <si>
    <t>ãʊ</t>
    <phoneticPr fontId="3" type="noConversion"/>
  </si>
  <si>
    <t>爻</t>
    <phoneticPr fontId="3" type="noConversion"/>
  </si>
  <si>
    <t>爻舒</t>
    <phoneticPr fontId="3" type="noConversion"/>
  </si>
  <si>
    <t>貎</t>
    <phoneticPr fontId="3" type="noConversion"/>
  </si>
  <si>
    <t>nu</t>
    <phoneticPr fontId="3" type="noConversion"/>
  </si>
  <si>
    <t>uⁿ</t>
    <phoneticPr fontId="3" type="noConversion"/>
  </si>
  <si>
    <r>
      <t>p</t>
    </r>
    <r>
      <rPr>
        <sz val="18"/>
        <color theme="1"/>
        <rFont val="Courier New"/>
        <family val="3"/>
        <charset val="254"/>
      </rPr>
      <t>̚</t>
    </r>
    <phoneticPr fontId="3" type="noConversion"/>
  </si>
  <si>
    <r>
      <t>t</t>
    </r>
    <r>
      <rPr>
        <sz val="18"/>
        <color theme="1"/>
        <rFont val="Courier New"/>
        <family val="3"/>
        <charset val="254"/>
      </rPr>
      <t>̚</t>
    </r>
    <phoneticPr fontId="3" type="noConversion"/>
  </si>
  <si>
    <r>
      <t>k</t>
    </r>
    <r>
      <rPr>
        <sz val="18"/>
        <color theme="1"/>
        <rFont val="Courier New"/>
        <family val="3"/>
        <charset val="254"/>
      </rPr>
      <t>̚</t>
    </r>
    <phoneticPr fontId="3" type="noConversion"/>
  </si>
  <si>
    <t>ʔ</t>
  </si>
  <si>
    <t>ʔ</t>
    <phoneticPr fontId="3" type="noConversion"/>
  </si>
  <si>
    <t>韻尾</t>
    <phoneticPr fontId="19" type="noConversion"/>
  </si>
  <si>
    <t>國際音標</t>
    <phoneticPr fontId="19" type="noConversion"/>
  </si>
  <si>
    <t>p̚</t>
  </si>
  <si>
    <t>t̚</t>
  </si>
  <si>
    <t>k̚</t>
  </si>
  <si>
    <t>ɯ</t>
  </si>
  <si>
    <t>ɔ</t>
  </si>
  <si>
    <t>m̩</t>
  </si>
  <si>
    <t>ŋ̍</t>
  </si>
  <si>
    <t>aɪ</t>
  </si>
  <si>
    <t>aʊ</t>
  </si>
  <si>
    <t>aŋ</t>
  </si>
  <si>
    <t>ɔm</t>
  </si>
  <si>
    <t>ɔŋ</t>
  </si>
  <si>
    <t>ã</t>
  </si>
  <si>
    <t>ĩ</t>
  </si>
  <si>
    <t>ũ</t>
  </si>
  <si>
    <t>ẽ</t>
  </si>
  <si>
    <t>ɔ̃</t>
  </si>
  <si>
    <t>ãɪ</t>
  </si>
  <si>
    <t>台語注音二式</t>
  </si>
  <si>
    <t>聲母對照表</t>
    <phoneticPr fontId="3" type="noConversion"/>
  </si>
  <si>
    <t>韻母對照表</t>
    <phoneticPr fontId="3" type="noConversion"/>
  </si>
  <si>
    <t>序    號</t>
    <phoneticPr fontId="3" type="noConversion"/>
  </si>
  <si>
    <t>台語音標</t>
    <phoneticPr fontId="3" type="noConversion"/>
  </si>
  <si>
    <r>
      <t xml:space="preserve">    - xlit|bpPmntTlgkK</t>
    </r>
    <r>
      <rPr>
        <sz val="16"/>
        <color theme="2"/>
        <rFont val="Sarasa Fixed CL"/>
        <family val="3"/>
        <charset val="136"/>
      </rPr>
      <t>ŋ</t>
    </r>
    <r>
      <rPr>
        <sz val="16"/>
        <color theme="2"/>
        <rFont val="Cascadia Mono"/>
        <family val="3"/>
      </rPr>
      <t>jzcshJZCSaiwueOəMNGRFQVIUY@AWHdfqrvxy8732541L&amp;|!1qas2wxEedGYyhncRrfv8uKj,ikmp/btgz9lM0;Oo*UJ&lt;I(L75346][N.|</t>
    </r>
  </si>
  <si>
    <t>.</t>
    <phoneticPr fontId="3" type="noConversion"/>
  </si>
  <si>
    <t>⁰</t>
  </si>
  <si>
    <t>ooⁿ</t>
    <phoneticPr fontId="3" type="noConversion"/>
  </si>
  <si>
    <t>[48]</t>
    <phoneticPr fontId="3" type="noConversion"/>
  </si>
  <si>
    <t>ioo</t>
    <phoneticPr fontId="3" type="noConversion"/>
  </si>
  <si>
    <t>ionn</t>
    <phoneticPr fontId="3" type="noConversion"/>
  </si>
  <si>
    <t>iɔ</t>
    <phoneticPr fontId="3" type="noConversion"/>
  </si>
  <si>
    <t>ioⁿ</t>
  </si>
  <si>
    <t>ㄧㆧ</t>
  </si>
  <si>
    <t>⁰ㄧㄛ</t>
  </si>
  <si>
    <t>薑</t>
  </si>
  <si>
    <t>腔</t>
  </si>
  <si>
    <t>薑舒</t>
  </si>
  <si>
    <t>ㄧㆦ</t>
    <phoneticPr fontId="3" type="noConversion"/>
  </si>
  <si>
    <t>ㄧㄛ</t>
    <phoneticPr fontId="3" type="noConversion"/>
  </si>
  <si>
    <r>
      <rPr>
        <sz val="16"/>
        <color rgb="FF000000"/>
        <rFont val="Noto Sans"/>
        <family val="2"/>
      </rPr>
      <t>ㄧ</t>
    </r>
    <r>
      <rPr>
        <sz val="16"/>
        <color rgb="FF000000"/>
        <rFont val="新細明體"/>
        <family val="3"/>
        <charset val="136"/>
        <scheme val="minor"/>
      </rPr>
      <t>ㆦㆻ</t>
    </r>
  </si>
  <si>
    <r>
      <rPr>
        <sz val="16"/>
        <color rgb="FF000000"/>
        <rFont val="Noto Sans"/>
        <family val="2"/>
      </rPr>
      <t>ㄧㄛㄍ</t>
    </r>
  </si>
  <si>
    <r>
      <rPr>
        <sz val="16"/>
        <color rgb="FF000000"/>
        <rFont val="新細明體"/>
        <family val="1"/>
        <charset val="136"/>
        <scheme val="minor"/>
      </rPr>
      <t>恭</t>
    </r>
  </si>
  <si>
    <r>
      <rPr>
        <sz val="16"/>
        <color rgb="FF000000"/>
        <rFont val="新細明體"/>
        <family val="1"/>
        <charset val="136"/>
        <scheme val="minor"/>
      </rPr>
      <t>俗</t>
    </r>
  </si>
  <si>
    <r>
      <rPr>
        <sz val="16"/>
        <color rgb="FF000000"/>
        <rFont val="新細明體"/>
        <family val="1"/>
        <charset val="136"/>
        <scheme val="minor"/>
      </rPr>
      <t>恭促</t>
    </r>
  </si>
  <si>
    <t>iok</t>
    <phoneticPr fontId="3" type="noConversion"/>
  </si>
  <si>
    <t>iooh</t>
    <phoneticPr fontId="3" type="noConversion"/>
  </si>
  <si>
    <t>ㄧㆦㆷ</t>
    <phoneticPr fontId="3" type="noConversion"/>
  </si>
  <si>
    <t>ㄧㄛㆷ</t>
    <phoneticPr fontId="3" type="noConversion"/>
  </si>
  <si>
    <t>U+031A</t>
    <phoneticPr fontId="3" type="noConversion"/>
  </si>
  <si>
    <r>
      <rPr>
        <b/>
        <sz val="18"/>
        <color rgb="FFC00000"/>
        <rFont val="Cascadia Code"/>
        <family val="2"/>
      </rPr>
      <t>i</t>
    </r>
    <r>
      <rPr>
        <b/>
        <sz val="18"/>
        <color rgb="FFC00000"/>
        <rFont val="Cascadia Code"/>
        <family val="3"/>
      </rPr>
      <t>u</t>
    </r>
    <phoneticPr fontId="3" type="noConversion"/>
  </si>
  <si>
    <t>iaʔ</t>
  </si>
  <si>
    <t>iak̚</t>
  </si>
  <si>
    <t>iaŋ</t>
  </si>
  <si>
    <t>iã</t>
  </si>
  <si>
    <t>iãʔ</t>
  </si>
  <si>
    <t>iap̚</t>
  </si>
  <si>
    <t>iat̚</t>
  </si>
  <si>
    <t>iaʊ</t>
  </si>
  <si>
    <t>iaʊʔ</t>
  </si>
  <si>
    <t>輕</t>
    <phoneticPr fontId="3" type="noConversion"/>
  </si>
  <si>
    <t>4|8</t>
    <phoneticPr fontId="3" type="noConversion"/>
  </si>
  <si>
    <t>nn</t>
  </si>
  <si>
    <t xml:space="preserve">    - xlit|!1qas2wxEedNYyhncRrfv8uKj,ikmp/btgz9lM0;Oo*UJ&lt;I(L-="5346][.7|ㆠㄅㄆㄇㄋㄉㄊㄌㆣㄍㄎㄫㆡㄗㄘㄙㄏㆢㄐㄑㄒㄚㄧㆨㄨㆤㆦㄜㆬㄣㆭㆴㆵㆻㆷㄞㄠㆰㄢㄤㆱㆲㆩㆪㆫㆥㆧㆮㆯㄥØ一七三二五八四輕入|</t>
  </si>
  <si>
    <t>聲韻調</t>
    <phoneticPr fontId="3" type="noConversion"/>
  </si>
  <si>
    <t>鼻化韻母</t>
    <phoneticPr fontId="3" type="noConversion"/>
  </si>
  <si>
    <t>1 !</t>
  </si>
  <si>
    <t>2 @</t>
  </si>
  <si>
    <t>3 #</t>
  </si>
  <si>
    <t>4 $</t>
  </si>
  <si>
    <t>6 ^</t>
  </si>
  <si>
    <t>7 &amp;</t>
  </si>
  <si>
    <t>8 *</t>
  </si>
  <si>
    <t>9 (</t>
  </si>
  <si>
    <t>0 )</t>
  </si>
  <si>
    <t>- _</t>
  </si>
  <si>
    <t>= +</t>
  </si>
  <si>
    <t>韻</t>
    <phoneticPr fontId="3" type="noConversion"/>
  </si>
  <si>
    <t>韻尾</t>
    <phoneticPr fontId="3" type="noConversion"/>
  </si>
  <si>
    <t>*</t>
    <phoneticPr fontId="3" type="noConversion"/>
  </si>
  <si>
    <t>聲</t>
    <phoneticPr fontId="3" type="noConversion"/>
  </si>
  <si>
    <t>鍵</t>
    <phoneticPr fontId="3" type="noConversion"/>
  </si>
  <si>
    <t>對映總表</t>
  </si>
  <si>
    <t>上声</t>
  </si>
  <si>
    <t>ptkh</t>
  </si>
  <si>
    <t>ㄚ</t>
    <phoneticPr fontId="3" type="noConversion"/>
  </si>
  <si>
    <r>
      <rPr>
        <sz val="16"/>
        <color rgb="FFFF0000"/>
        <rFont val="Noto Sans TC"/>
        <family val="2"/>
      </rPr>
      <t>ㄥ</t>
    </r>
    <r>
      <rPr>
        <sz val="26"/>
        <color rgb="FFFF0000"/>
        <rFont val="Noto Sans TC"/>
        <family val="2"/>
        <charset val="136"/>
      </rPr>
      <t>ㄚ</t>
    </r>
    <phoneticPr fontId="3" type="noConversion"/>
  </si>
  <si>
    <r>
      <t>a</t>
    </r>
    <r>
      <rPr>
        <vertAlign val="superscript"/>
        <sz val="20"/>
        <color theme="4"/>
        <rFont val="Arial"/>
        <family val="2"/>
      </rPr>
      <t>n</t>
    </r>
    <phoneticPr fontId="3" type="noConversion"/>
  </si>
  <si>
    <t>字母長度</t>
    <phoneticPr fontId="3" type="noConversion"/>
  </si>
  <si>
    <t>[ {</t>
  </si>
  <si>
    <t>] }</t>
  </si>
  <si>
    <t>\ |</t>
  </si>
  <si>
    <t>聲</t>
  </si>
  <si>
    <t>t0</t>
    <phoneticPr fontId="3" type="noConversion"/>
  </si>
  <si>
    <t>陰入</t>
    <phoneticPr fontId="3" type="noConversion"/>
  </si>
  <si>
    <t>·</t>
  </si>
  <si>
    <t>陽入</t>
    <phoneticPr fontId="3" type="noConversion"/>
  </si>
  <si>
    <t>; :</t>
  </si>
  <si>
    <t>' "</t>
  </si>
  <si>
    <t>unn</t>
  </si>
  <si>
    <t>aunn</t>
  </si>
  <si>
    <t>m-</t>
    <phoneticPr fontId="3" type="noConversion"/>
  </si>
  <si>
    <t>n-</t>
    <phoneticPr fontId="3" type="noConversion"/>
  </si>
  <si>
    <t>k0</t>
    <phoneticPr fontId="3" type="noConversion"/>
  </si>
  <si>
    <t>陰平</t>
    <phoneticPr fontId="3" type="noConversion"/>
  </si>
  <si>
    <t>X</t>
  </si>
  <si>
    <t>, &lt;</t>
  </si>
  <si>
    <t>. &gt;</t>
  </si>
  <si>
    <t>/ ?</t>
  </si>
  <si>
    <t>ng-</t>
  </si>
  <si>
    <t xml:space="preserve"> </t>
    <phoneticPr fontId="3" type="noConversion"/>
  </si>
  <si>
    <t>h0</t>
    <phoneticPr fontId="3" type="noConversion"/>
  </si>
  <si>
    <t>p0</t>
    <phoneticPr fontId="3" type="noConversion"/>
  </si>
  <si>
    <t>韻</t>
  </si>
  <si>
    <t>調</t>
    <phoneticPr fontId="3" type="noConversion"/>
  </si>
  <si>
    <r>
      <rPr>
        <sz val="22"/>
        <color rgb="FFC00000"/>
        <rFont val="Noto Sans"/>
        <family val="2"/>
      </rPr>
      <t>ɔ</t>
    </r>
    <phoneticPr fontId="19" type="noConversion"/>
  </si>
  <si>
    <r>
      <t>a</t>
    </r>
    <r>
      <rPr>
        <sz val="22"/>
        <color rgb="FFC00000"/>
        <rFont val="Noto Sans"/>
        <family val="2"/>
      </rPr>
      <t>ɪ</t>
    </r>
    <phoneticPr fontId="19" type="noConversion"/>
  </si>
  <si>
    <r>
      <t>a</t>
    </r>
    <r>
      <rPr>
        <sz val="22"/>
        <color rgb="FFC00000"/>
        <rFont val="Noto Sans"/>
        <family val="2"/>
      </rPr>
      <t>ʊ</t>
    </r>
    <phoneticPr fontId="19" type="noConversion"/>
  </si>
  <si>
    <r>
      <t>a</t>
    </r>
    <r>
      <rPr>
        <sz val="22"/>
        <color rgb="FFC00000"/>
        <rFont val="Noto Sans"/>
        <family val="2"/>
      </rPr>
      <t>ŋ</t>
    </r>
    <phoneticPr fontId="19" type="noConversion"/>
  </si>
  <si>
    <r>
      <rPr>
        <sz val="22"/>
        <color rgb="FFC00000"/>
        <rFont val="Noto Sans"/>
        <family val="2"/>
      </rPr>
      <t>ŋ</t>
    </r>
    <r>
      <rPr>
        <sz val="22"/>
        <color rgb="FFC00000"/>
        <rFont val="Charis SIL"/>
      </rPr>
      <t>̍</t>
    </r>
  </si>
  <si>
    <r>
      <t>i</t>
    </r>
    <r>
      <rPr>
        <sz val="22"/>
        <color rgb="FFC00000"/>
        <rFont val="Noto Sans"/>
        <family val="2"/>
      </rPr>
      <t>ŋ</t>
    </r>
    <phoneticPr fontId="19" type="noConversion"/>
  </si>
  <si>
    <r>
      <rPr>
        <sz val="20"/>
        <color rgb="FF000000"/>
        <rFont val="Noto Sans"/>
        <family val="2"/>
      </rPr>
      <t>ㄨㄚ</t>
    </r>
  </si>
  <si>
    <r>
      <rPr>
        <sz val="20"/>
        <color rgb="FF000000"/>
        <rFont val="Noto Sans"/>
        <family val="2"/>
      </rPr>
      <t>ㄨ</t>
    </r>
    <r>
      <rPr>
        <sz val="20"/>
        <color rgb="FF000000"/>
        <rFont val="Cascadia Code"/>
        <family val="3"/>
      </rPr>
      <t>ㆤ</t>
    </r>
  </si>
  <si>
    <r>
      <rPr>
        <sz val="20"/>
        <color rgb="FF000000"/>
        <rFont val="Noto Sans"/>
        <family val="2"/>
      </rPr>
      <t>ㄨㄞ</t>
    </r>
  </si>
  <si>
    <r>
      <rPr>
        <sz val="20"/>
        <color rgb="FF000000"/>
        <rFont val="Noto Sans"/>
        <family val="2"/>
      </rPr>
      <t>ㄨㄢ</t>
    </r>
  </si>
  <si>
    <r>
      <rPr>
        <sz val="20"/>
        <color rgb="FF000000"/>
        <rFont val="Noto Sans"/>
        <family val="2"/>
      </rPr>
      <t>ㄧㄥ</t>
    </r>
  </si>
  <si>
    <r>
      <rPr>
        <sz val="20"/>
        <color rgb="FF000000"/>
        <rFont val="Noto Sans"/>
        <family val="2"/>
      </rPr>
      <t>ㄧ</t>
    </r>
    <r>
      <rPr>
        <sz val="20"/>
        <color rgb="FF000000"/>
        <rFont val="Cascadia Code"/>
        <family val="3"/>
      </rPr>
      <t>ㆻ</t>
    </r>
  </si>
  <si>
    <r>
      <rPr>
        <sz val="20"/>
        <color rgb="FF000000"/>
        <rFont val="Noto Sans"/>
        <family val="2"/>
      </rPr>
      <t>ㄚㄇ</t>
    </r>
  </si>
  <si>
    <r>
      <rPr>
        <sz val="20"/>
        <color rgb="FF000000"/>
        <rFont val="Noto Sans"/>
        <family val="2"/>
      </rPr>
      <t>ㄨㄝ</t>
    </r>
  </si>
  <si>
    <r>
      <rPr>
        <sz val="20"/>
        <color rgb="FF000000"/>
        <rFont val="Noto Sans"/>
        <family val="2"/>
      </rPr>
      <t>ㄧㄍ</t>
    </r>
  </si>
  <si>
    <r>
      <rPr>
        <sz val="22"/>
        <color rgb="FF000000"/>
        <rFont val="Noto Sans"/>
        <family val="2"/>
      </rPr>
      <t>ㄚ</t>
    </r>
  </si>
  <si>
    <r>
      <rPr>
        <sz val="22"/>
        <color rgb="FF000000"/>
        <rFont val="Noto Sans"/>
        <family val="2"/>
      </rPr>
      <t>ㄧ</t>
    </r>
  </si>
  <si>
    <r>
      <rPr>
        <sz val="22"/>
        <color rgb="FF000000"/>
        <rFont val="Noto Sans"/>
        <family val="2"/>
      </rPr>
      <t>ㄨ</t>
    </r>
  </si>
  <si>
    <r>
      <rPr>
        <sz val="22"/>
        <color rgb="FF000000"/>
        <rFont val="Noto Sans"/>
        <family val="2"/>
      </rPr>
      <t>ㄜ</t>
    </r>
  </si>
  <si>
    <r>
      <rPr>
        <sz val="22"/>
        <color rgb="FF000000"/>
        <rFont val="Noto Sans"/>
        <family val="2"/>
      </rPr>
      <t>ㄞ</t>
    </r>
  </si>
  <si>
    <r>
      <rPr>
        <sz val="22"/>
        <color rgb="FF000000"/>
        <rFont val="Noto Sans"/>
        <family val="2"/>
      </rPr>
      <t>ㄠ</t>
    </r>
  </si>
  <si>
    <r>
      <rPr>
        <sz val="22"/>
        <color rgb="FF000000"/>
        <rFont val="Noto Sans"/>
        <family val="2"/>
      </rPr>
      <t>ㄢ</t>
    </r>
  </si>
  <si>
    <r>
      <rPr>
        <sz val="22"/>
        <color rgb="FF000000"/>
        <rFont val="Noto Sans"/>
        <family val="2"/>
      </rPr>
      <t>ㄤ</t>
    </r>
  </si>
  <si>
    <r>
      <rPr>
        <sz val="22"/>
        <color rgb="FF000000"/>
        <rFont val="Noto Sans"/>
        <family val="2"/>
      </rPr>
      <t>ㄝ</t>
    </r>
  </si>
  <si>
    <r>
      <rPr>
        <sz val="22"/>
        <color rgb="FF000000"/>
        <rFont val="Noto Sans"/>
        <family val="2"/>
      </rPr>
      <t>ㄛ</t>
    </r>
  </si>
  <si>
    <r>
      <rPr>
        <sz val="22"/>
        <color rgb="FF000000"/>
        <rFont val="Noto Sans"/>
        <family val="2"/>
      </rPr>
      <t>ㄇ</t>
    </r>
  </si>
  <si>
    <r>
      <rPr>
        <sz val="22"/>
        <color rgb="FF000000"/>
        <rFont val="Noto Sans"/>
        <family val="2"/>
      </rPr>
      <t>ㄥ</t>
    </r>
  </si>
  <si>
    <r>
      <t>⁰</t>
    </r>
    <r>
      <rPr>
        <sz val="22"/>
        <color rgb="FF000000"/>
        <rFont val="Noto Sans"/>
        <family val="2"/>
      </rPr>
      <t>ㄚ</t>
    </r>
  </si>
  <si>
    <t>陽平</t>
    <phoneticPr fontId="3" type="noConversion"/>
  </si>
  <si>
    <t>高音調</t>
    <phoneticPr fontId="3" type="noConversion"/>
  </si>
  <si>
    <t>中/低音調</t>
    <phoneticPr fontId="3" type="noConversion"/>
  </si>
  <si>
    <t>低促調</t>
    <phoneticPr fontId="3" type="noConversion"/>
  </si>
  <si>
    <t>高促調</t>
    <phoneticPr fontId="3" type="noConversion"/>
  </si>
  <si>
    <t>低升調</t>
    <phoneticPr fontId="3" type="noConversion"/>
  </si>
  <si>
    <t>高降調</t>
    <phoneticPr fontId="3" type="noConversion"/>
  </si>
  <si>
    <t>入聲尾韻</t>
    <phoneticPr fontId="3" type="noConversion"/>
  </si>
  <si>
    <t>-p/-t/-k/-h</t>
    <phoneticPr fontId="3" type="noConversion"/>
  </si>
  <si>
    <t>5 %</t>
    <phoneticPr fontId="3" type="noConversion"/>
  </si>
  <si>
    <t>陽去/陰去</t>
    <phoneticPr fontId="3" type="noConversion"/>
  </si>
  <si>
    <t>陰上（上声）</t>
    <phoneticPr fontId="3" type="noConversion"/>
  </si>
  <si>
    <t>入聲</t>
    <phoneticPr fontId="3" type="noConversion"/>
  </si>
  <si>
    <t>中音調</t>
    <phoneticPr fontId="3" type="noConversion"/>
  </si>
  <si>
    <t>促聲調</t>
    <phoneticPr fontId="3" type="noConversion"/>
  </si>
  <si>
    <t>低音調</t>
    <phoneticPr fontId="3" type="noConversion"/>
  </si>
  <si>
    <t>（三）陰去</t>
    <phoneticPr fontId="3" type="noConversion"/>
  </si>
  <si>
    <t>ptkh</t>
    <phoneticPr fontId="3" type="noConversion"/>
  </si>
  <si>
    <t xml:space="preserve"> （二）上声</t>
    <phoneticPr fontId="3" type="noConversion"/>
  </si>
  <si>
    <t>（七）陽去</t>
    <phoneticPr fontId="3" type="noConversion"/>
  </si>
  <si>
    <t>（五）陽平</t>
    <phoneticPr fontId="3" type="noConversion"/>
  </si>
  <si>
    <t>（一）陰平</t>
    <phoneticPr fontId="3" type="noConversion"/>
  </si>
  <si>
    <t>（四）陰入</t>
    <phoneticPr fontId="3" type="noConversion"/>
  </si>
  <si>
    <t>（八）陽入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</si>
</sst>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;;"/>
  </numFmts>
  <fonts count="170">
    <font>
      <sz val="16"/>
      <color rgb="FF000000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6"/>
      <color rgb="FF000000"/>
      <name val="Noto Sans TC Medium"/>
      <family val="2"/>
      <charset val="136"/>
    </font>
    <font>
      <sz val="9"/>
      <name val="新細明體"/>
      <family val="1"/>
      <charset val="136"/>
      <scheme val="minor"/>
    </font>
    <font>
      <b/>
      <sz val="16"/>
      <color rgb="FFFFFF00"/>
      <name val="Noto Sans TC Medium"/>
      <family val="2"/>
    </font>
    <font>
      <sz val="16"/>
      <color rgb="FFC00000"/>
      <name val="Noto Sans TC Medium"/>
      <family val="2"/>
    </font>
    <font>
      <sz val="14"/>
      <color rgb="FF000000"/>
      <name val="Noto Sans TC Medium"/>
      <family val="2"/>
      <charset val="136"/>
    </font>
    <font>
      <sz val="14"/>
      <color rgb="FF000000"/>
      <name val="Noto Sans TC Medium"/>
      <family val="2"/>
    </font>
    <font>
      <b/>
      <sz val="14"/>
      <color rgb="FF7030A0"/>
      <name val="Noto Sans TC Medium"/>
      <family val="2"/>
      <charset val="136"/>
    </font>
    <font>
      <sz val="16"/>
      <color rgb="FFFF0000"/>
      <name val="Noto Sans TC Medium"/>
      <family val="2"/>
      <charset val="136"/>
    </font>
    <font>
      <sz val="16"/>
      <color rgb="FFFFFF00"/>
      <name val="Noto Sans TC Medium"/>
      <family val="2"/>
      <charset val="136"/>
    </font>
    <font>
      <b/>
      <sz val="16"/>
      <color rgb="FF7030A0"/>
      <name val="Noto Sans TC Medium"/>
      <family val="2"/>
    </font>
    <font>
      <sz val="16"/>
      <color theme="7" tint="-0.249977111117893"/>
      <name val="Noto Sans TC Medium"/>
      <family val="2"/>
      <charset val="136"/>
    </font>
    <font>
      <b/>
      <sz val="16"/>
      <color rgb="FFFF0000"/>
      <name val="Noto Sans TC Medium"/>
      <family val="2"/>
      <charset val="136"/>
    </font>
    <font>
      <sz val="16"/>
      <color theme="0"/>
      <name val="Noto Sans TC Medium"/>
      <family val="2"/>
      <charset val="136"/>
    </font>
    <font>
      <sz val="11"/>
      <color rgb="FF6C6C6C"/>
      <name val="Arial"/>
      <family val="2"/>
    </font>
    <font>
      <sz val="16"/>
      <color theme="1"/>
      <name val="Noto Sans TC Medium"/>
      <family val="2"/>
      <charset val="136"/>
    </font>
    <font>
      <sz val="16"/>
      <color theme="4"/>
      <name val="Noto Sans TC Medium"/>
      <family val="2"/>
      <charset val="136"/>
    </font>
    <font>
      <sz val="16"/>
      <color theme="4"/>
      <name val="Noto Sans TC Medium"/>
      <family val="2"/>
    </font>
    <font>
      <sz val="9"/>
      <name val="Noto Sans TC Medium"/>
      <family val="2"/>
      <charset val="136"/>
    </font>
    <font>
      <sz val="24"/>
      <color rgb="FFFF0000"/>
      <name val="吳守禮細明台語破音04"/>
      <family val="1"/>
      <charset val="136"/>
    </font>
    <font>
      <sz val="24"/>
      <color theme="1"/>
      <name val="吳守禮細明台語注音"/>
      <family val="1"/>
      <charset val="136"/>
    </font>
    <font>
      <sz val="24"/>
      <color theme="1"/>
      <name val="吳守禮細明台語破音01"/>
      <family val="1"/>
      <charset val="136"/>
    </font>
    <font>
      <sz val="16"/>
      <color rgb="FFFF0000"/>
      <name val="Noto Sans TC Medium"/>
      <family val="2"/>
    </font>
    <font>
      <sz val="24"/>
      <color rgb="FFFF0000"/>
      <name val="吳守禮細明台語注音"/>
      <family val="1"/>
      <charset val="136"/>
    </font>
    <font>
      <sz val="24"/>
      <color theme="1"/>
      <name val="吳守禮細明台語破音03"/>
      <family val="1"/>
      <charset val="136"/>
    </font>
    <font>
      <sz val="16"/>
      <color theme="8"/>
      <name val="Noto Sans TC Medium"/>
      <family val="2"/>
      <charset val="136"/>
    </font>
    <font>
      <sz val="24"/>
      <color theme="8"/>
      <name val="吳守禮細明台語注音"/>
      <family val="1"/>
      <charset val="136"/>
    </font>
    <font>
      <sz val="16"/>
      <color theme="1"/>
      <name val="Segoe UI"/>
      <family val="2"/>
    </font>
    <font>
      <sz val="12"/>
      <color theme="1"/>
      <name val="Noto Sans TC SemiBold"/>
      <family val="2"/>
      <charset val="136"/>
    </font>
    <font>
      <sz val="18"/>
      <color theme="1"/>
      <name val="Segoe UI"/>
      <family val="2"/>
    </font>
    <font>
      <sz val="12"/>
      <color theme="3" tint="0.499984740745262"/>
      <name val="新細明體"/>
      <family val="2"/>
      <charset val="136"/>
      <scheme val="minor"/>
    </font>
    <font>
      <b/>
      <sz val="18"/>
      <color rgb="FF000000"/>
      <name val="微軟正黑體"/>
      <family val="2"/>
      <charset val="136"/>
    </font>
    <font>
      <b/>
      <sz val="18"/>
      <color rgb="FF000000"/>
      <name val="Noto Sans"/>
      <family val="2"/>
    </font>
    <font>
      <sz val="10"/>
      <color rgb="FFFF0000"/>
      <name val="Segoe UI"/>
      <family val="2"/>
    </font>
    <font>
      <sz val="10"/>
      <color theme="1"/>
      <name val="Segoe UI"/>
      <family val="2"/>
    </font>
    <font>
      <sz val="18"/>
      <color rgb="FF000000"/>
      <name val="Noto Sans"/>
      <family val="2"/>
    </font>
    <font>
      <b/>
      <sz val="18"/>
      <color rgb="FFC00000"/>
      <name val="Noto Sans"/>
      <family val="2"/>
    </font>
    <font>
      <sz val="18"/>
      <color rgb="FF000000"/>
      <name val="霞鶩文楷等寬 TC Medium"/>
      <family val="3"/>
      <charset val="136"/>
    </font>
    <font>
      <sz val="12"/>
      <color theme="3" tint="0.499984740745262"/>
      <name val="Segoe UI"/>
      <family val="2"/>
    </font>
    <font>
      <sz val="18"/>
      <color rgb="FFFF0000"/>
      <name val="Noto Sans"/>
      <family val="2"/>
    </font>
    <font>
      <sz val="18"/>
      <color rgb="FFFF0000"/>
      <name val="Microsoft JhengHei"/>
      <family val="2"/>
    </font>
    <font>
      <sz val="18"/>
      <color rgb="FF000000"/>
      <name val="Noto Sans TC"/>
      <family val="2"/>
      <charset val="136"/>
    </font>
    <font>
      <sz val="18"/>
      <color rgb="FF000000"/>
      <name val="Microsoft JhengHei"/>
      <family val="2"/>
    </font>
    <font>
      <sz val="18"/>
      <color rgb="FFFF0000"/>
      <name val="Noto Sans TC"/>
      <family val="2"/>
      <charset val="136"/>
    </font>
    <font>
      <sz val="18"/>
      <color rgb="FF000000"/>
      <name val="細明體"/>
      <family val="2"/>
      <charset val="136"/>
    </font>
    <font>
      <sz val="9"/>
      <name val="新細明體"/>
      <family val="2"/>
      <charset val="136"/>
      <scheme val="minor"/>
    </font>
    <font>
      <sz val="18"/>
      <color rgb="FFFF0000"/>
      <name val="Microsoft JhengHei UI"/>
      <family val="2"/>
    </font>
    <font>
      <sz val="18"/>
      <color rgb="FFFF0000"/>
      <name val="微軟正黑體"/>
      <family val="2"/>
      <charset val="136"/>
    </font>
    <font>
      <sz val="18"/>
      <color rgb="FFFF0000"/>
      <name val="細明體"/>
      <family val="2"/>
      <charset val="136"/>
    </font>
    <font>
      <sz val="18"/>
      <color rgb="FFFF0000"/>
      <name val="細明體"/>
      <family val="1"/>
      <charset val="25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20"/>
      <color theme="1"/>
      <name val="霞鶩文楷等寬 TC Medium"/>
      <family val="3"/>
      <charset val="136"/>
    </font>
    <font>
      <sz val="24"/>
      <color theme="1"/>
      <name val="Noto Serif TC Medium"/>
      <family val="1"/>
      <charset val="136"/>
    </font>
    <font>
      <sz val="22"/>
      <color theme="1"/>
      <name val="霞鶩文楷 TC Medium"/>
      <family val="1"/>
      <charset val="136"/>
    </font>
    <font>
      <sz val="18"/>
      <color theme="1"/>
      <name val="Noto Sans TC Medium"/>
      <family val="2"/>
      <charset val="136"/>
    </font>
    <font>
      <b/>
      <sz val="18"/>
      <color rgb="FFFF0000"/>
      <name val="Noto Sans TC Medium"/>
      <family val="2"/>
      <charset val="136"/>
    </font>
    <font>
      <sz val="16"/>
      <color theme="3" tint="0.249977111117893"/>
      <name val="Noto Sans TC Medium"/>
      <family val="2"/>
    </font>
    <font>
      <sz val="16"/>
      <color theme="1"/>
      <name val="Charis"/>
    </font>
    <font>
      <sz val="16"/>
      <color theme="0" tint="-0.14999847407452621"/>
      <name val="Noto Sans TC Medium"/>
      <family val="2"/>
      <charset val="136"/>
    </font>
    <font>
      <sz val="16"/>
      <color theme="0" tint="-0.14999847407452621"/>
      <name val="Noto Sans TC Medium"/>
      <family val="2"/>
    </font>
    <font>
      <sz val="16"/>
      <color theme="3" tint="0.249977111117893"/>
      <name val="Noto Sans TC Medium"/>
      <family val="2"/>
      <charset val="136"/>
    </font>
    <font>
      <sz val="10"/>
      <color rgb="FF000000"/>
      <name val="新細明體"/>
      <family val="1"/>
      <charset val="136"/>
      <scheme val="minor"/>
    </font>
    <font>
      <sz val="12"/>
      <color theme="1"/>
      <name val="Cascadia Code"/>
      <family val="3"/>
    </font>
    <font>
      <sz val="18"/>
      <color theme="1"/>
      <name val="Cascadia Code"/>
      <family val="3"/>
    </font>
    <font>
      <sz val="16"/>
      <color theme="1"/>
      <name val="Cascadia Code"/>
      <family val="3"/>
    </font>
    <font>
      <sz val="20"/>
      <color rgb="FF000000"/>
      <name val="Cascadia Code"/>
      <family val="3"/>
    </font>
    <font>
      <b/>
      <sz val="18"/>
      <color rgb="FF000000"/>
      <name val="Cascadia Code"/>
      <family val="3"/>
    </font>
    <font>
      <sz val="18"/>
      <color rgb="FF000000"/>
      <name val="Cascadia Code"/>
      <family val="3"/>
    </font>
    <font>
      <b/>
      <sz val="18"/>
      <color rgb="FFC00000"/>
      <name val="Cascadia Code"/>
      <family val="3"/>
    </font>
    <font>
      <sz val="18"/>
      <color theme="8"/>
      <name val="Cascadia Code"/>
      <family val="3"/>
    </font>
    <font>
      <sz val="18"/>
      <color rgb="FFFF0000"/>
      <name val="Cascadia Code"/>
      <family val="3"/>
    </font>
    <font>
      <b/>
      <sz val="18"/>
      <color rgb="FFFF0000"/>
      <name val="Cascadia Code"/>
      <family val="3"/>
    </font>
    <font>
      <sz val="16"/>
      <color rgb="FF000000"/>
      <name val="Cascadia Mono"/>
      <family val="3"/>
    </font>
    <font>
      <sz val="14"/>
      <color rgb="FF000000"/>
      <name val="Cascadia Mono"/>
      <family val="3"/>
    </font>
    <font>
      <b/>
      <sz val="14"/>
      <color rgb="FF7030A0"/>
      <name val="Cascadia Mono"/>
      <family val="3"/>
    </font>
    <font>
      <sz val="16"/>
      <color rgb="FFFF0000"/>
      <name val="Cascadia Mono"/>
      <family val="3"/>
    </font>
    <font>
      <sz val="16"/>
      <color rgb="FFFFFF00"/>
      <name val="Cascadia Mono"/>
      <family val="3"/>
    </font>
    <font>
      <b/>
      <sz val="16"/>
      <color rgb="FF7030A0"/>
      <name val="Cascadia Mono"/>
      <family val="3"/>
    </font>
    <font>
      <b/>
      <sz val="16"/>
      <color rgb="FFFF0000"/>
      <name val="Cascadia Mono"/>
      <family val="3"/>
    </font>
    <font>
      <sz val="11"/>
      <color rgb="FF6C6C6C"/>
      <name val="Cascadia Mono"/>
      <family val="3"/>
    </font>
    <font>
      <sz val="16"/>
      <color theme="2"/>
      <name val="Cascadia Mono"/>
      <family val="3"/>
    </font>
    <font>
      <b/>
      <sz val="16"/>
      <color theme="4"/>
      <name val="Noto Sans TC Medium"/>
      <family val="2"/>
    </font>
    <font>
      <sz val="18"/>
      <color rgb="FF000000"/>
      <name val="細明體"/>
      <family val="3"/>
      <charset val="136"/>
    </font>
    <font>
      <sz val="18"/>
      <color theme="1"/>
      <name val="Courier New"/>
      <family val="3"/>
      <charset val="254"/>
    </font>
    <font>
      <b/>
      <sz val="18"/>
      <color rgb="FF000000"/>
      <name val="細明體"/>
      <family val="3"/>
      <charset val="136"/>
    </font>
    <font>
      <b/>
      <sz val="12"/>
      <color rgb="FFFFFF00"/>
      <name val="Noto Sans TC Medium"/>
      <family val="2"/>
    </font>
    <font>
      <sz val="12"/>
      <color theme="4"/>
      <name val="Noto Sans TC Medium"/>
      <family val="2"/>
    </font>
    <font>
      <b/>
      <sz val="12"/>
      <color theme="4"/>
      <name val="Noto Sans TC Medium"/>
      <family val="2"/>
    </font>
    <font>
      <sz val="16"/>
      <color rgb="FF000000"/>
      <name val="Cascadia Code"/>
      <family val="3"/>
    </font>
    <font>
      <sz val="18"/>
      <color theme="4"/>
      <name val="Noto Serif TC Black"/>
      <family val="1"/>
      <charset val="136"/>
    </font>
    <font>
      <sz val="16"/>
      <color theme="2"/>
      <name val="Sarasa Fixed CL"/>
      <family val="3"/>
      <charset val="136"/>
    </font>
    <font>
      <sz val="16"/>
      <color rgb="FF000000"/>
      <name val="Sarasa Fixed TC SemiBold"/>
      <family val="3"/>
      <charset val="136"/>
    </font>
    <font>
      <b/>
      <sz val="18"/>
      <color rgb="FFC00000"/>
      <name val="Cascadia Code"/>
      <family val="2"/>
    </font>
    <font>
      <sz val="16"/>
      <color rgb="FF000000"/>
      <name val="Noto Sans"/>
      <family val="2"/>
    </font>
    <font>
      <sz val="16"/>
      <color rgb="FF000000"/>
      <name val="新細明體"/>
      <family val="3"/>
      <charset val="136"/>
      <scheme val="minor"/>
    </font>
    <font>
      <sz val="18"/>
      <color rgb="FF000000"/>
      <name val="Sarasa Fixed CL"/>
      <family val="3"/>
      <charset val="136"/>
    </font>
    <font>
      <b/>
      <sz val="18"/>
      <color rgb="FFC00000"/>
      <name val="Cascadia Code"/>
      <family val="2"/>
      <charset val="1"/>
    </font>
    <font>
      <sz val="16"/>
      <color rgb="FF000000"/>
      <name val="新細明體"/>
      <family val="1"/>
      <charset val="136"/>
      <scheme val="minor"/>
    </font>
    <font>
      <sz val="12"/>
      <name val="宋体"/>
      <family val="3"/>
      <charset val="136"/>
    </font>
    <font>
      <sz val="20"/>
      <name val="宋体"/>
      <charset val="136"/>
    </font>
    <font>
      <sz val="24"/>
      <color rgb="FF000000"/>
      <name val="新細明體"/>
      <family val="1"/>
      <charset val="136"/>
      <scheme val="minor"/>
    </font>
    <font>
      <sz val="24"/>
      <color rgb="FF000000"/>
      <name val="Iansui 094"/>
      <family val="3"/>
      <charset val="136"/>
    </font>
    <font>
      <sz val="20"/>
      <color rgb="FF000000"/>
      <name val="Iansui 094"/>
      <family val="3"/>
      <charset val="136"/>
    </font>
    <font>
      <sz val="18"/>
      <name val="Microsoft JhengHei"/>
      <family val="2"/>
      <charset val="136"/>
    </font>
    <font>
      <sz val="24"/>
      <name val="Microsoft JhengHei"/>
      <family val="2"/>
      <charset val="136"/>
    </font>
    <font>
      <sz val="22"/>
      <color rgb="FF000000"/>
      <name val="Noto Sans TC Light"/>
      <family val="2"/>
      <charset val="136"/>
    </font>
    <font>
      <sz val="20"/>
      <color rgb="FF000000"/>
      <name val="新細明體"/>
      <family val="1"/>
      <charset val="136"/>
      <scheme val="minor"/>
    </font>
    <font>
      <b/>
      <sz val="20"/>
      <color rgb="FF000000"/>
      <name val="宋体"/>
      <charset val="136"/>
    </font>
    <font>
      <b/>
      <sz val="20"/>
      <color rgb="FF000000"/>
      <name val="Times New Roman"/>
      <family val="1"/>
    </font>
    <font>
      <b/>
      <sz val="20"/>
      <color rgb="FF000000"/>
      <name val="SimSun"/>
      <charset val="134"/>
    </font>
    <font>
      <sz val="20"/>
      <color rgb="FF000000"/>
      <name val="宋体"/>
      <charset val="136"/>
    </font>
    <font>
      <b/>
      <sz val="24"/>
      <color theme="7" tint="-0.249977111117893"/>
      <name val="Times New Roman"/>
      <family val="1"/>
    </font>
    <font>
      <b/>
      <sz val="20"/>
      <color rgb="FF000000"/>
      <name val="Arial"/>
      <family val="2"/>
    </font>
    <font>
      <sz val="18"/>
      <color rgb="FFFF0000"/>
      <name val="BopomofoRuby1909-v1"/>
      <family val="2"/>
      <charset val="136"/>
    </font>
    <font>
      <sz val="24"/>
      <name val="宋体"/>
      <charset val="136"/>
    </font>
    <font>
      <sz val="26"/>
      <color rgb="FFFF0000"/>
      <name val="KangXiZiDian.com 康熙字典體常用版"/>
      <charset val="136"/>
    </font>
    <font>
      <sz val="26"/>
      <color theme="7" tint="-0.249977111117893"/>
      <name val="KangXiZiDian.com 康熙字典體常用版"/>
      <charset val="136"/>
    </font>
    <font>
      <sz val="20"/>
      <color theme="4"/>
      <name val="Arial"/>
      <family val="2"/>
    </font>
    <font>
      <sz val="36"/>
      <color rgb="FFFF0000"/>
      <name val="Noto Sans TC"/>
      <family val="2"/>
      <charset val="136"/>
    </font>
    <font>
      <sz val="36"/>
      <color rgb="FFFF0000"/>
      <name val="Noto Sans TC"/>
      <family val="2"/>
    </font>
    <font>
      <sz val="16"/>
      <color rgb="FFFF0000"/>
      <name val="Noto Sans TC"/>
      <family val="2"/>
    </font>
    <font>
      <b/>
      <sz val="18"/>
      <color rgb="FFFF0000"/>
      <name val="Noto Sans TC"/>
      <family val="2"/>
    </font>
    <font>
      <sz val="26"/>
      <color rgb="FFFF0000"/>
      <name val="Noto Sans TC"/>
      <family val="2"/>
      <charset val="136"/>
    </font>
    <font>
      <sz val="26"/>
      <color rgb="FFFF0000"/>
      <name val="Noto Sans TC"/>
      <family val="2"/>
    </font>
    <font>
      <vertAlign val="superscript"/>
      <sz val="20"/>
      <color theme="4"/>
      <name val="Arial"/>
      <family val="2"/>
    </font>
    <font>
      <b/>
      <sz val="26"/>
      <color rgb="FFFF0000"/>
      <name val="KangXiZiDian.com 康熙字典體常用版"/>
      <family val="1"/>
      <charset val="136"/>
    </font>
    <font>
      <sz val="14"/>
      <color rgb="FFFF0000"/>
      <name val="KangXiZiDian.com 康熙字典體常用版"/>
      <charset val="136"/>
    </font>
    <font>
      <sz val="18"/>
      <name val="宋体"/>
      <charset val="136"/>
    </font>
    <font>
      <sz val="24"/>
      <name val="Noto Serif TC Medium"/>
      <family val="1"/>
      <charset val="136"/>
    </font>
    <font>
      <sz val="24"/>
      <color theme="0"/>
      <name val="Iansui 094"/>
      <family val="3"/>
      <charset val="136"/>
    </font>
    <font>
      <sz val="18"/>
      <name val="Noto Serif TC Medium"/>
      <family val="1"/>
      <charset val="136"/>
    </font>
    <font>
      <sz val="20"/>
      <color theme="0"/>
      <name val="Iansui 094"/>
      <family val="3"/>
      <charset val="136"/>
    </font>
    <font>
      <sz val="18"/>
      <name val="Arial"/>
      <family val="2"/>
    </font>
    <font>
      <sz val="20"/>
      <color rgb="FFFF0000"/>
      <name val="Iansui 094"/>
      <family val="3"/>
      <charset val="136"/>
    </font>
    <font>
      <sz val="28"/>
      <name val="Noto Serif TC Medium"/>
      <family val="1"/>
      <charset val="136"/>
    </font>
    <font>
      <sz val="22"/>
      <color rgb="FFFF0000"/>
      <name val="Noto Sans TC Light"/>
      <family val="2"/>
      <charset val="136"/>
    </font>
    <font>
      <b/>
      <sz val="18"/>
      <color rgb="FF000000"/>
      <name val="Arial"/>
      <family val="2"/>
    </font>
    <font>
      <sz val="18"/>
      <color theme="4"/>
      <name val="Microsoft JhengHei UI"/>
      <family val="2"/>
      <charset val="136"/>
    </font>
    <font>
      <b/>
      <sz val="16"/>
      <color rgb="FFFF0000"/>
      <name val="Noto Sans TC"/>
      <family val="2"/>
    </font>
    <font>
      <b/>
      <sz val="24"/>
      <color theme="8"/>
      <name val="Microsoft JhengHei"/>
      <family val="2"/>
      <charset val="136"/>
    </font>
    <font>
      <b/>
      <sz val="20"/>
      <color theme="8"/>
      <name val="Times New Roman"/>
      <family val="1"/>
    </font>
    <font>
      <b/>
      <sz val="24"/>
      <color rgb="FF00B050"/>
      <name val="Times New Roman"/>
      <family val="1"/>
    </font>
    <font>
      <sz val="18"/>
      <color rgb="FF0070C0"/>
      <name val="新細明體"/>
      <family val="1"/>
      <charset val="136"/>
      <scheme val="minor"/>
    </font>
    <font>
      <sz val="18"/>
      <color rgb="FF000000"/>
      <name val="新細明體"/>
      <family val="1"/>
      <charset val="136"/>
      <scheme val="minor"/>
    </font>
    <font>
      <sz val="18"/>
      <color rgb="FF000000"/>
      <name val="Arial"/>
      <family val="2"/>
    </font>
    <font>
      <sz val="22"/>
      <color rgb="FF000000"/>
      <name val="Arial"/>
      <family val="2"/>
    </font>
    <font>
      <sz val="22"/>
      <color rgb="FFFF0000"/>
      <name val="Iansui 094"/>
      <family val="3"/>
      <charset val="136"/>
    </font>
    <font>
      <b/>
      <sz val="14"/>
      <color theme="4"/>
      <name val="Noto Sans TC Medium"/>
      <family val="2"/>
    </font>
    <font>
      <sz val="22"/>
      <color theme="1"/>
      <name val="Noto Sans TC Medium"/>
      <family val="2"/>
    </font>
    <font>
      <sz val="22"/>
      <color rgb="FFFF0000"/>
      <name val="Noto Sans TC Medium"/>
      <family val="2"/>
    </font>
    <font>
      <sz val="22"/>
      <color theme="8"/>
      <name val="Noto Sans TC Medium"/>
      <family val="2"/>
    </font>
    <font>
      <sz val="22"/>
      <color rgb="FF000000"/>
      <name val="Cascadia Code"/>
      <family val="3"/>
    </font>
    <font>
      <sz val="22"/>
      <color rgb="FF000000"/>
      <name val="Noto Sans"/>
      <family val="2"/>
    </font>
    <font>
      <sz val="22"/>
      <color rgb="FFC00000"/>
      <name val="Charis SIL"/>
    </font>
    <font>
      <sz val="22"/>
      <color rgb="FFC00000"/>
      <name val="Noto Sans"/>
      <family val="2"/>
    </font>
    <font>
      <sz val="20"/>
      <color rgb="FF000000"/>
      <name val="Noto Sans"/>
      <family val="2"/>
    </font>
    <font>
      <b/>
      <sz val="36"/>
      <color rgb="FFFF0000"/>
      <name val="Noto Serif TC Black"/>
      <family val="1"/>
    </font>
    <font>
      <b/>
      <sz val="22"/>
      <color theme="5" tint="-0.249977111117893"/>
      <name val="Noto Sans TC"/>
      <family val="2"/>
    </font>
    <font>
      <b/>
      <sz val="22"/>
      <color rgb="FFFF0000"/>
      <name val="Noto Sans TC"/>
      <family val="2"/>
    </font>
    <font>
      <b/>
      <sz val="36"/>
      <color rgb="FF000000"/>
      <name val="Times New Roman"/>
      <family val="1"/>
    </font>
    <font>
      <b/>
      <sz val="36"/>
      <color rgb="FF000000"/>
      <name val="SimSun"/>
      <charset val="134"/>
    </font>
    <font>
      <b/>
      <sz val="36"/>
      <color rgb="FF000000"/>
      <name val="Noto Serif TC Medium"/>
      <family val="1"/>
      <charset val="136"/>
    </font>
    <font>
      <b/>
      <sz val="36"/>
      <color rgb="FF000000"/>
      <name val="Noto Serif TC Medium"/>
      <family val="1"/>
    </font>
    <font>
      <b/>
      <sz val="24"/>
      <color theme="5" tint="-0.249977111117893"/>
      <name val="Noto Sans TC"/>
      <family val="2"/>
    </font>
    <font>
      <b/>
      <sz val="24"/>
      <color rgb="FFFF0000"/>
      <name val="Noto Sans TC"/>
      <family val="2"/>
    </font>
    <font>
      <b/>
      <sz val="28"/>
      <color rgb="FFFF0000"/>
      <name val="Noto Serif TC Black"/>
      <family val="1"/>
    </font>
    <font>
      <b/>
      <sz val="26"/>
      <color rgb="FFC00000"/>
      <name val="Noto Serif TC Black"/>
      <family val="1"/>
      <charset val="136"/>
    </font>
  </fonts>
  <fills count="2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17600024414813E-2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/>
      <right/>
      <top style="thin">
        <color theme="2" tint="-9.9917600024414813E-2"/>
      </top>
      <bottom style="thin">
        <color theme="2" tint="-9.9917600024414813E-2"/>
      </bottom>
      <diagonal/>
    </border>
    <border>
      <left/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17600024414813E-2"/>
      </left>
      <right/>
      <top style="thin">
        <color theme="2" tint="-9.9917600024414813E-2"/>
      </top>
      <bottom style="thin">
        <color theme="2" tint="-9.9948118533890809E-2"/>
      </bottom>
      <diagonal/>
    </border>
    <border>
      <left/>
      <right/>
      <top style="thin">
        <color theme="2" tint="-9.9917600024414813E-2"/>
      </top>
      <bottom style="thin">
        <color theme="2" tint="-9.9948118533890809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6">
    <xf numFmtId="0" fontId="0" fillId="0" borderId="0"/>
    <xf numFmtId="0" fontId="16" fillId="0" borderId="0">
      <alignment vertical="center"/>
    </xf>
    <xf numFmtId="0" fontId="1" fillId="0" borderId="0">
      <alignment vertical="center"/>
    </xf>
    <xf numFmtId="0" fontId="64" fillId="0" borderId="0"/>
    <xf numFmtId="0" fontId="101" fillId="0" borderId="0"/>
    <xf numFmtId="0" fontId="100" fillId="0" borderId="0"/>
  </cellStyleXfs>
  <cellXfs count="381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1" xfId="0" applyFont="1" applyFill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5" borderId="0" xfId="0" applyFont="1" applyFill="1"/>
    <xf numFmtId="0" fontId="6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6" borderId="0" xfId="0" applyFont="1" applyFill="1"/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8" borderId="0" xfId="0" applyFont="1" applyFill="1"/>
    <xf numFmtId="0" fontId="2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4" fillId="9" borderId="0" xfId="0" applyFont="1" applyFill="1"/>
    <xf numFmtId="0" fontId="11" fillId="0" borderId="1" xfId="0" applyFont="1" applyBorder="1" applyAlignment="1">
      <alignment horizontal="center" vertical="center"/>
    </xf>
    <xf numFmtId="0" fontId="15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8" fillId="10" borderId="1" xfId="1" applyFont="1" applyFill="1" applyBorder="1" applyAlignment="1">
      <alignment horizontal="center" vertical="center"/>
    </xf>
    <xf numFmtId="0" fontId="18" fillId="10" borderId="3" xfId="1" applyFont="1" applyFill="1" applyBorder="1">
      <alignment vertical="center"/>
    </xf>
    <xf numFmtId="0" fontId="18" fillId="10" borderId="4" xfId="1" applyFont="1" applyFill="1" applyBorder="1">
      <alignment vertical="center"/>
    </xf>
    <xf numFmtId="0" fontId="16" fillId="0" borderId="0" xfId="1">
      <alignment vertical="center"/>
    </xf>
    <xf numFmtId="0" fontId="16" fillId="0" borderId="2" xfId="1" applyBorder="1">
      <alignment vertical="center"/>
    </xf>
    <xf numFmtId="0" fontId="16" fillId="0" borderId="1" xfId="1" applyBorder="1">
      <alignment vertical="center"/>
    </xf>
    <xf numFmtId="0" fontId="16" fillId="5" borderId="1" xfId="1" applyFill="1" applyBorder="1">
      <alignment vertical="center"/>
    </xf>
    <xf numFmtId="0" fontId="20" fillId="0" borderId="1" xfId="1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/>
    </xf>
    <xf numFmtId="0" fontId="16" fillId="11" borderId="1" xfId="1" applyFill="1" applyBorder="1">
      <alignment vertical="center"/>
    </xf>
    <xf numFmtId="0" fontId="16" fillId="11" borderId="5" xfId="1" applyFill="1" applyBorder="1">
      <alignment vertical="center"/>
    </xf>
    <xf numFmtId="0" fontId="9" fillId="0" borderId="1" xfId="1" applyFont="1" applyBorder="1">
      <alignment vertical="center"/>
    </xf>
    <xf numFmtId="0" fontId="16" fillId="11" borderId="6" xfId="1" applyFill="1" applyBorder="1">
      <alignment vertical="center"/>
    </xf>
    <xf numFmtId="0" fontId="16" fillId="11" borderId="7" xfId="1" applyFill="1" applyBorder="1">
      <alignment vertical="center"/>
    </xf>
    <xf numFmtId="0" fontId="22" fillId="0" borderId="1" xfId="1" applyFont="1" applyBorder="1" applyAlignment="1">
      <alignment horizontal="center" vertical="center"/>
    </xf>
    <xf numFmtId="0" fontId="16" fillId="11" borderId="3" xfId="1" applyFill="1" applyBorder="1">
      <alignment vertical="center"/>
    </xf>
    <xf numFmtId="0" fontId="16" fillId="11" borderId="4" xfId="1" applyFill="1" applyBorder="1">
      <alignment vertical="center"/>
    </xf>
    <xf numFmtId="0" fontId="16" fillId="11" borderId="8" xfId="1" applyFill="1" applyBorder="1">
      <alignment vertical="center"/>
    </xf>
    <xf numFmtId="0" fontId="16" fillId="11" borderId="9" xfId="1" applyFill="1" applyBorder="1">
      <alignment vertical="center"/>
    </xf>
    <xf numFmtId="0" fontId="23" fillId="0" borderId="1" xfId="1" applyFont="1" applyBorder="1">
      <alignment vertical="center"/>
    </xf>
    <xf numFmtId="0" fontId="24" fillId="0" borderId="1" xfId="1" applyFont="1" applyBorder="1" applyAlignment="1">
      <alignment horizontal="center" vertical="center"/>
    </xf>
    <xf numFmtId="0" fontId="25" fillId="0" borderId="1" xfId="1" applyFont="1" applyBorder="1" applyAlignment="1">
      <alignment horizontal="center" vertical="center"/>
    </xf>
    <xf numFmtId="0" fontId="26" fillId="0" borderId="1" xfId="1" applyFont="1" applyBorder="1">
      <alignment vertical="center"/>
    </xf>
    <xf numFmtId="0" fontId="26" fillId="5" borderId="1" xfId="1" applyFont="1" applyFill="1" applyBorder="1">
      <alignment vertical="center"/>
    </xf>
    <xf numFmtId="0" fontId="27" fillId="0" borderId="1" xfId="1" applyFont="1" applyBorder="1" applyAlignment="1">
      <alignment horizontal="center" vertical="center"/>
    </xf>
    <xf numFmtId="0" fontId="16" fillId="0" borderId="10" xfId="1" applyBorder="1">
      <alignment vertical="center"/>
    </xf>
    <xf numFmtId="0" fontId="16" fillId="0" borderId="6" xfId="1" applyBorder="1">
      <alignment vertical="center"/>
    </xf>
    <xf numFmtId="0" fontId="16" fillId="5" borderId="6" xfId="1" applyFill="1" applyBorder="1">
      <alignment vertical="center"/>
    </xf>
    <xf numFmtId="0" fontId="21" fillId="0" borderId="6" xfId="1" applyFont="1" applyBorder="1" applyAlignment="1">
      <alignment horizontal="center" vertical="center"/>
    </xf>
    <xf numFmtId="0" fontId="1" fillId="0" borderId="0" xfId="2">
      <alignment vertical="center"/>
    </xf>
    <xf numFmtId="0" fontId="30" fillId="0" borderId="0" xfId="2" applyFont="1">
      <alignment vertical="center"/>
    </xf>
    <xf numFmtId="0" fontId="31" fillId="0" borderId="0" xfId="2" applyFont="1">
      <alignment vertical="center"/>
    </xf>
    <xf numFmtId="0" fontId="33" fillId="12" borderId="0" xfId="2" applyFont="1" applyFill="1" applyAlignment="1">
      <alignment horizontal="center" vertical="center" wrapText="1"/>
    </xf>
    <xf numFmtId="0" fontId="34" fillId="0" borderId="0" xfId="2" applyFont="1" applyAlignment="1">
      <alignment horizontal="center" vertical="center"/>
    </xf>
    <xf numFmtId="0" fontId="35" fillId="0" borderId="0" xfId="2" applyFont="1">
      <alignment vertical="center"/>
    </xf>
    <xf numFmtId="0" fontId="36" fillId="12" borderId="0" xfId="2" applyFont="1" applyFill="1" applyAlignment="1">
      <alignment horizontal="left" vertical="center" wrapText="1" indent="1"/>
    </xf>
    <xf numFmtId="0" fontId="30" fillId="0" borderId="0" xfId="2" applyFont="1" applyAlignment="1">
      <alignment horizontal="center" vertical="center"/>
    </xf>
    <xf numFmtId="0" fontId="39" fillId="0" borderId="0" xfId="2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7" fillId="10" borderId="11" xfId="1" applyFont="1" applyFill="1" applyBorder="1" applyAlignment="1">
      <alignment horizontal="center" vertical="center"/>
    </xf>
    <xf numFmtId="0" fontId="18" fillId="10" borderId="8" xfId="1" applyFont="1" applyFill="1" applyBorder="1" applyAlignment="1">
      <alignment horizontal="center" vertical="center"/>
    </xf>
    <xf numFmtId="0" fontId="18" fillId="10" borderId="9" xfId="1" applyFont="1" applyFill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6" fillId="0" borderId="1" xfId="1" applyBorder="1" applyAlignment="1">
      <alignment horizontal="center" vertical="center"/>
    </xf>
    <xf numFmtId="0" fontId="16" fillId="0" borderId="1" xfId="1" applyBorder="1" applyAlignment="1">
      <alignment horizontal="left" vertical="center" indent="2"/>
    </xf>
    <xf numFmtId="0" fontId="54" fillId="0" borderId="1" xfId="1" applyFont="1" applyBorder="1" applyAlignment="1">
      <alignment horizontal="center" vertical="center"/>
    </xf>
    <xf numFmtId="0" fontId="55" fillId="0" borderId="1" xfId="1" applyFont="1" applyBorder="1" applyAlignment="1">
      <alignment horizontal="center" vertical="center"/>
    </xf>
    <xf numFmtId="0" fontId="16" fillId="0" borderId="1" xfId="1" applyBorder="1" applyAlignment="1">
      <alignment horizontal="left" vertical="center" indent="1"/>
    </xf>
    <xf numFmtId="0" fontId="16" fillId="0" borderId="1" xfId="1" applyBorder="1" applyAlignment="1">
      <alignment horizontal="left" vertical="center" indent="4"/>
    </xf>
    <xf numFmtId="0" fontId="16" fillId="0" borderId="1" xfId="1" quotePrefix="1" applyBorder="1" applyAlignment="1">
      <alignment horizontal="left" vertical="center" indent="4"/>
    </xf>
    <xf numFmtId="49" fontId="16" fillId="0" borderId="1" xfId="1" applyNumberFormat="1" applyBorder="1" applyAlignment="1">
      <alignment horizontal="center" vertical="center"/>
    </xf>
    <xf numFmtId="49" fontId="16" fillId="0" borderId="5" xfId="1" applyNumberFormat="1" applyBorder="1" applyAlignment="1">
      <alignment horizontal="center" vertical="center"/>
    </xf>
    <xf numFmtId="0" fontId="16" fillId="0" borderId="6" xfId="1" applyBorder="1" applyAlignment="1">
      <alignment horizontal="center" vertical="center"/>
    </xf>
    <xf numFmtId="0" fontId="16" fillId="0" borderId="6" xfId="1" applyBorder="1" applyAlignment="1">
      <alignment horizontal="left" vertical="center" indent="2"/>
    </xf>
    <xf numFmtId="0" fontId="54" fillId="0" borderId="6" xfId="1" applyFont="1" applyBorder="1" applyAlignment="1">
      <alignment horizontal="center" vertical="center"/>
    </xf>
    <xf numFmtId="0" fontId="55" fillId="0" borderId="6" xfId="1" applyFont="1" applyBorder="1" applyAlignment="1">
      <alignment horizontal="center" vertical="center"/>
    </xf>
    <xf numFmtId="0" fontId="16" fillId="0" borderId="6" xfId="1" applyBorder="1" applyAlignment="1">
      <alignment horizontal="left" vertical="center" indent="1"/>
    </xf>
    <xf numFmtId="0" fontId="16" fillId="0" borderId="6" xfId="1" applyBorder="1" applyAlignment="1">
      <alignment horizontal="left" vertical="center" indent="4"/>
    </xf>
    <xf numFmtId="49" fontId="16" fillId="0" borderId="6" xfId="1" applyNumberFormat="1" applyBorder="1" applyAlignment="1">
      <alignment horizontal="center" vertical="center"/>
    </xf>
    <xf numFmtId="49" fontId="16" fillId="0" borderId="7" xfId="1" applyNumberFormat="1" applyBorder="1" applyAlignment="1">
      <alignment horizontal="center" vertical="center"/>
    </xf>
    <xf numFmtId="0" fontId="16" fillId="0" borderId="0" xfId="1" applyAlignment="1">
      <alignment horizontal="center" vertical="center"/>
    </xf>
    <xf numFmtId="0" fontId="16" fillId="10" borderId="1" xfId="1" applyFill="1" applyBorder="1" applyAlignment="1">
      <alignment horizontal="center" vertical="center"/>
    </xf>
    <xf numFmtId="0" fontId="56" fillId="0" borderId="1" xfId="1" applyFont="1" applyBorder="1" applyAlignment="1">
      <alignment horizontal="center" vertical="center"/>
    </xf>
    <xf numFmtId="0" fontId="57" fillId="4" borderId="1" xfId="1" quotePrefix="1" applyFont="1" applyFill="1" applyBorder="1" applyAlignment="1">
      <alignment horizontal="center" vertical="center"/>
    </xf>
    <xf numFmtId="0" fontId="16" fillId="5" borderId="1" xfId="1" applyFill="1" applyBorder="1" applyAlignment="1">
      <alignment horizontal="left" vertical="center" indent="2"/>
    </xf>
    <xf numFmtId="0" fontId="16" fillId="5" borderId="1" xfId="1" applyFill="1" applyBorder="1" applyAlignment="1">
      <alignment horizontal="center" vertical="center"/>
    </xf>
    <xf numFmtId="0" fontId="16" fillId="14" borderId="1" xfId="1" applyFill="1" applyBorder="1" applyAlignment="1">
      <alignment horizontal="left" vertical="center" indent="2"/>
    </xf>
    <xf numFmtId="0" fontId="16" fillId="14" borderId="1" xfId="1" applyFill="1" applyBorder="1" applyAlignment="1">
      <alignment horizontal="left" vertical="center" indent="4"/>
    </xf>
    <xf numFmtId="0" fontId="58" fillId="4" borderId="1" xfId="1" quotePrefix="1" applyFont="1" applyFill="1" applyBorder="1" applyAlignment="1">
      <alignment horizontal="center" vertical="center"/>
    </xf>
    <xf numFmtId="0" fontId="59" fillId="8" borderId="1" xfId="1" applyFont="1" applyFill="1" applyBorder="1" applyAlignment="1">
      <alignment horizontal="left" vertical="center" indent="2"/>
    </xf>
    <xf numFmtId="0" fontId="59" fillId="8" borderId="1" xfId="1" applyFont="1" applyFill="1" applyBorder="1" applyAlignment="1">
      <alignment horizontal="left" vertical="center" indent="4"/>
    </xf>
    <xf numFmtId="0" fontId="60" fillId="0" borderId="1" xfId="1" applyFont="1" applyBorder="1" applyAlignment="1">
      <alignment horizontal="center" vertical="center"/>
    </xf>
    <xf numFmtId="0" fontId="56" fillId="0" borderId="1" xfId="1" applyFont="1" applyBorder="1" applyAlignment="1">
      <alignment horizontal="left" vertical="center"/>
    </xf>
    <xf numFmtId="0" fontId="57" fillId="4" borderId="1" xfId="1" applyFont="1" applyFill="1" applyBorder="1" applyAlignment="1">
      <alignment horizontal="center" vertical="center"/>
    </xf>
    <xf numFmtId="0" fontId="58" fillId="4" borderId="1" xfId="1" applyFont="1" applyFill="1" applyBorder="1" applyAlignment="1">
      <alignment horizontal="center" vertical="center"/>
    </xf>
    <xf numFmtId="0" fontId="61" fillId="0" borderId="1" xfId="1" applyFont="1" applyBorder="1" applyAlignment="1">
      <alignment horizontal="center" vertical="center"/>
    </xf>
    <xf numFmtId="0" fontId="61" fillId="5" borderId="1" xfId="1" applyFont="1" applyFill="1" applyBorder="1" applyAlignment="1">
      <alignment horizontal="left" vertical="center" indent="2"/>
    </xf>
    <xf numFmtId="0" fontId="62" fillId="14" borderId="1" xfId="1" applyFont="1" applyFill="1" applyBorder="1" applyAlignment="1">
      <alignment horizontal="left" vertical="center" indent="2"/>
    </xf>
    <xf numFmtId="0" fontId="61" fillId="14" borderId="1" xfId="1" applyFont="1" applyFill="1" applyBorder="1" applyAlignment="1">
      <alignment horizontal="left" vertical="center" indent="4"/>
    </xf>
    <xf numFmtId="0" fontId="63" fillId="8" borderId="1" xfId="1" applyFont="1" applyFill="1" applyBorder="1" applyAlignment="1">
      <alignment horizontal="left" vertical="center" indent="2"/>
    </xf>
    <xf numFmtId="0" fontId="63" fillId="8" borderId="1" xfId="1" applyFont="1" applyFill="1" applyBorder="1" applyAlignment="1">
      <alignment horizontal="left" vertical="center" indent="4"/>
    </xf>
    <xf numFmtId="0" fontId="16" fillId="14" borderId="1" xfId="1" applyFill="1" applyBorder="1" applyAlignment="1">
      <alignment horizontal="left" vertical="center" indent="1"/>
    </xf>
    <xf numFmtId="0" fontId="59" fillId="8" borderId="1" xfId="1" applyFont="1" applyFill="1" applyBorder="1">
      <alignment vertical="center"/>
    </xf>
    <xf numFmtId="0" fontId="63" fillId="8" borderId="1" xfId="1" applyFont="1" applyFill="1" applyBorder="1">
      <alignment vertical="center"/>
    </xf>
    <xf numFmtId="0" fontId="59" fillId="8" borderId="0" xfId="1" applyFont="1" applyFill="1">
      <alignment vertical="center"/>
    </xf>
    <xf numFmtId="0" fontId="4" fillId="2" borderId="6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65" fillId="0" borderId="0" xfId="2" applyFont="1">
      <alignment vertical="center"/>
    </xf>
    <xf numFmtId="0" fontId="66" fillId="0" borderId="0" xfId="2" applyFont="1">
      <alignment vertical="center"/>
    </xf>
    <xf numFmtId="0" fontId="67" fillId="0" borderId="0" xfId="2" applyFont="1" applyAlignment="1">
      <alignment horizontal="left" vertical="center"/>
    </xf>
    <xf numFmtId="0" fontId="68" fillId="0" borderId="0" xfId="3" applyFont="1"/>
    <xf numFmtId="0" fontId="69" fillId="12" borderId="12" xfId="2" applyFont="1" applyFill="1" applyBorder="1" applyAlignment="1">
      <alignment horizontal="center" vertical="center" wrapText="1"/>
    </xf>
    <xf numFmtId="0" fontId="69" fillId="5" borderId="13" xfId="2" applyFont="1" applyFill="1" applyBorder="1" applyAlignment="1">
      <alignment horizontal="center" vertical="center" wrapText="1"/>
    </xf>
    <xf numFmtId="0" fontId="69" fillId="12" borderId="13" xfId="2" applyFont="1" applyFill="1" applyBorder="1" applyAlignment="1">
      <alignment horizontal="center" vertical="center" wrapText="1"/>
    </xf>
    <xf numFmtId="0" fontId="69" fillId="12" borderId="0" xfId="2" applyFont="1" applyFill="1" applyAlignment="1">
      <alignment horizontal="center" vertical="center" wrapText="1"/>
    </xf>
    <xf numFmtId="0" fontId="70" fillId="12" borderId="12" xfId="2" applyFont="1" applyFill="1" applyBorder="1" applyAlignment="1">
      <alignment horizontal="left" vertical="center" wrapText="1" indent="1"/>
    </xf>
    <xf numFmtId="0" fontId="71" fillId="5" borderId="13" xfId="2" applyFont="1" applyFill="1" applyBorder="1" applyAlignment="1">
      <alignment horizontal="left" vertical="center" wrapText="1" indent="1"/>
    </xf>
    <xf numFmtId="0" fontId="72" fillId="5" borderId="13" xfId="2" applyFont="1" applyFill="1" applyBorder="1" applyAlignment="1">
      <alignment horizontal="left" vertical="center" wrapText="1" indent="1"/>
    </xf>
    <xf numFmtId="0" fontId="70" fillId="12" borderId="13" xfId="2" applyFont="1" applyFill="1" applyBorder="1" applyAlignment="1">
      <alignment horizontal="left" vertical="center" wrapText="1" indent="1"/>
    </xf>
    <xf numFmtId="0" fontId="70" fillId="12" borderId="13" xfId="2" applyFont="1" applyFill="1" applyBorder="1" applyAlignment="1">
      <alignment horizontal="center" vertical="center" wrapText="1"/>
    </xf>
    <xf numFmtId="0" fontId="70" fillId="12" borderId="0" xfId="2" applyFont="1" applyFill="1" applyAlignment="1">
      <alignment horizontal="center" vertical="center" wrapText="1"/>
    </xf>
    <xf numFmtId="0" fontId="70" fillId="12" borderId="0" xfId="2" applyFont="1" applyFill="1" applyAlignment="1">
      <alignment horizontal="left" vertical="center" wrapText="1" indent="1"/>
    </xf>
    <xf numFmtId="0" fontId="73" fillId="6" borderId="13" xfId="2" applyFont="1" applyFill="1" applyBorder="1" applyAlignment="1">
      <alignment horizontal="left" vertical="center" wrapText="1" indent="1"/>
    </xf>
    <xf numFmtId="0" fontId="73" fillId="6" borderId="13" xfId="2" applyFont="1" applyFill="1" applyBorder="1" applyAlignment="1">
      <alignment horizontal="center" vertical="center" wrapText="1"/>
    </xf>
    <xf numFmtId="0" fontId="73" fillId="13" borderId="13" xfId="2" applyFont="1" applyFill="1" applyBorder="1" applyAlignment="1">
      <alignment horizontal="left" vertical="center" wrapText="1" indent="1"/>
    </xf>
    <xf numFmtId="0" fontId="70" fillId="0" borderId="0" xfId="3" applyFont="1"/>
    <xf numFmtId="0" fontId="65" fillId="3" borderId="0" xfId="2" applyFont="1" applyFill="1">
      <alignment vertical="center"/>
    </xf>
    <xf numFmtId="0" fontId="65" fillId="16" borderId="0" xfId="2" applyFont="1" applyFill="1">
      <alignment vertical="center"/>
    </xf>
    <xf numFmtId="0" fontId="74" fillId="12" borderId="13" xfId="2" applyFont="1" applyFill="1" applyBorder="1" applyAlignment="1">
      <alignment horizontal="center" vertical="center" wrapText="1"/>
    </xf>
    <xf numFmtId="0" fontId="75" fillId="0" borderId="0" xfId="0" applyFont="1"/>
    <xf numFmtId="0" fontId="75" fillId="3" borderId="1" xfId="0" applyFont="1" applyFill="1" applyBorder="1"/>
    <xf numFmtId="0" fontId="76" fillId="0" borderId="1" xfId="0" applyFont="1" applyBorder="1" applyAlignment="1">
      <alignment horizontal="center" vertical="center"/>
    </xf>
    <xf numFmtId="0" fontId="76" fillId="0" borderId="1" xfId="0" quotePrefix="1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78" fillId="6" borderId="1" xfId="0" applyFont="1" applyFill="1" applyBorder="1" applyAlignment="1">
      <alignment horizontal="center" vertical="center"/>
    </xf>
    <xf numFmtId="0" fontId="79" fillId="7" borderId="1" xfId="0" applyFont="1" applyFill="1" applyBorder="1" applyAlignment="1">
      <alignment horizontal="center" vertical="center"/>
    </xf>
    <xf numFmtId="0" fontId="80" fillId="6" borderId="1" xfId="0" applyFont="1" applyFill="1" applyBorder="1" applyAlignment="1">
      <alignment horizontal="center" vertical="center"/>
    </xf>
    <xf numFmtId="0" fontId="75" fillId="8" borderId="1" xfId="0" applyFont="1" applyFill="1" applyBorder="1" applyAlignment="1">
      <alignment horizontal="center" vertical="center"/>
    </xf>
    <xf numFmtId="0" fontId="81" fillId="8" borderId="1" xfId="0" applyFont="1" applyFill="1" applyBorder="1" applyAlignment="1">
      <alignment horizontal="center" vertical="center"/>
    </xf>
    <xf numFmtId="0" fontId="80" fillId="8" borderId="1" xfId="0" applyFont="1" applyFill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0" fontId="75" fillId="0" borderId="0" xfId="0" applyFont="1" applyAlignment="1">
      <alignment horizontal="left" vertical="center"/>
    </xf>
    <xf numFmtId="0" fontId="82" fillId="0" borderId="0" xfId="0" applyFont="1"/>
    <xf numFmtId="0" fontId="75" fillId="0" borderId="0" xfId="0" quotePrefix="1" applyFont="1"/>
    <xf numFmtId="0" fontId="83" fillId="0" borderId="0" xfId="0" applyFont="1"/>
    <xf numFmtId="0" fontId="9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center" vertical="center"/>
    </xf>
    <xf numFmtId="0" fontId="78" fillId="5" borderId="0" xfId="0" quotePrefix="1" applyFont="1" applyFill="1"/>
    <xf numFmtId="0" fontId="78" fillId="5" borderId="0" xfId="0" applyFont="1" applyFill="1"/>
    <xf numFmtId="0" fontId="42" fillId="12" borderId="13" xfId="2" applyFont="1" applyFill="1" applyBorder="1" applyAlignment="1">
      <alignment horizontal="center" vertical="center" wrapText="1"/>
    </xf>
    <xf numFmtId="0" fontId="85" fillId="12" borderId="13" xfId="2" applyFont="1" applyFill="1" applyBorder="1" applyAlignment="1">
      <alignment horizontal="center" vertical="center" wrapText="1"/>
    </xf>
    <xf numFmtId="0" fontId="87" fillId="12" borderId="13" xfId="2" applyFont="1" applyFill="1" applyBorder="1" applyAlignment="1">
      <alignment horizontal="center" vertical="center" wrapText="1"/>
    </xf>
    <xf numFmtId="0" fontId="32" fillId="12" borderId="13" xfId="2" applyFont="1" applyFill="1" applyBorder="1" applyAlignment="1">
      <alignment horizontal="center" vertical="center" wrapText="1"/>
    </xf>
    <xf numFmtId="0" fontId="88" fillId="2" borderId="1" xfId="0" applyFont="1" applyFill="1" applyBorder="1" applyAlignment="1">
      <alignment horizontal="center" vertical="center"/>
    </xf>
    <xf numFmtId="0" fontId="89" fillId="10" borderId="1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1" fillId="0" borderId="14" xfId="0" applyFont="1" applyBorder="1" applyAlignment="1">
      <alignment horizontal="center" vertical="center"/>
    </xf>
    <xf numFmtId="0" fontId="84" fillId="14" borderId="14" xfId="0" applyFont="1" applyFill="1" applyBorder="1" applyAlignment="1">
      <alignment horizontal="center" vertical="center"/>
    </xf>
    <xf numFmtId="0" fontId="84" fillId="14" borderId="15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14" borderId="15" xfId="0" applyFont="1" applyFill="1" applyBorder="1" applyAlignment="1">
      <alignment horizontal="center" vertical="center"/>
    </xf>
    <xf numFmtId="0" fontId="84" fillId="14" borderId="14" xfId="0" applyFont="1" applyFill="1" applyBorder="1" applyAlignment="1">
      <alignment horizontal="distributed" vertical="center" indent="1"/>
    </xf>
    <xf numFmtId="0" fontId="90" fillId="14" borderId="14" xfId="0" applyFont="1" applyFill="1" applyBorder="1" applyAlignment="1">
      <alignment horizontal="center" vertical="center"/>
    </xf>
    <xf numFmtId="0" fontId="75" fillId="5" borderId="0" xfId="0" quotePrefix="1" applyFont="1" applyFill="1" applyAlignment="1">
      <alignment horizontal="left"/>
    </xf>
    <xf numFmtId="0" fontId="2" fillId="5" borderId="0" xfId="0" applyFont="1" applyFill="1"/>
    <xf numFmtId="0" fontId="94" fillId="0" borderId="0" xfId="0" applyFont="1"/>
    <xf numFmtId="0" fontId="95" fillId="5" borderId="13" xfId="2" applyFont="1" applyFill="1" applyBorder="1" applyAlignment="1">
      <alignment horizontal="left" vertical="center" wrapText="1" indent="1"/>
    </xf>
    <xf numFmtId="0" fontId="42" fillId="12" borderId="13" xfId="2" applyFont="1" applyFill="1" applyBorder="1" applyAlignment="1">
      <alignment horizontal="left" vertical="center" wrapText="1" indent="1"/>
    </xf>
    <xf numFmtId="0" fontId="98" fillId="12" borderId="13" xfId="2" applyFont="1" applyFill="1" applyBorder="1" applyAlignment="1">
      <alignment horizontal="left" vertical="center" wrapText="1" indent="1"/>
    </xf>
    <xf numFmtId="0" fontId="99" fillId="5" borderId="13" xfId="2" applyFont="1" applyFill="1" applyBorder="1" applyAlignment="1">
      <alignment horizontal="left" vertical="center" wrapText="1" indent="1"/>
    </xf>
    <xf numFmtId="0" fontId="23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right"/>
    </xf>
    <xf numFmtId="0" fontId="61" fillId="0" borderId="0" xfId="0" applyFont="1"/>
    <xf numFmtId="0" fontId="101" fillId="0" borderId="0" xfId="3" applyFont="1" applyAlignment="1">
      <alignment horizontal="center"/>
    </xf>
    <xf numFmtId="0" fontId="102" fillId="0" borderId="0" xfId="3" applyFont="1"/>
    <xf numFmtId="0" fontId="64" fillId="0" borderId="0" xfId="3"/>
    <xf numFmtId="0" fontId="103" fillId="0" borderId="0" xfId="3" applyFont="1"/>
    <xf numFmtId="0" fontId="103" fillId="0" borderId="0" xfId="3" applyFont="1" applyAlignment="1">
      <alignment horizontal="left" vertical="center"/>
    </xf>
    <xf numFmtId="0" fontId="103" fillId="0" borderId="0" xfId="3" applyFont="1" applyAlignment="1">
      <alignment horizontal="center" vertical="center"/>
    </xf>
    <xf numFmtId="0" fontId="104" fillId="0" borderId="0" xfId="3" applyFont="1"/>
    <xf numFmtId="0" fontId="105" fillId="0" borderId="0" xfId="0" applyFont="1"/>
    <xf numFmtId="0" fontId="106" fillId="17" borderId="1" xfId="0" applyFont="1" applyFill="1" applyBorder="1" applyAlignment="1">
      <alignment horizontal="center" vertical="center"/>
    </xf>
    <xf numFmtId="0" fontId="107" fillId="17" borderId="21" xfId="0" applyFont="1" applyFill="1" applyBorder="1" applyAlignment="1">
      <alignment horizontal="center" vertical="center"/>
    </xf>
    <xf numFmtId="0" fontId="108" fillId="0" borderId="0" xfId="3" applyFont="1"/>
    <xf numFmtId="0" fontId="109" fillId="0" borderId="0" xfId="3" applyFont="1"/>
    <xf numFmtId="0" fontId="110" fillId="0" borderId="0" xfId="3" applyFont="1" applyAlignment="1">
      <alignment horizontal="center"/>
    </xf>
    <xf numFmtId="0" fontId="111" fillId="18" borderId="22" xfId="3" applyFont="1" applyFill="1" applyBorder="1" applyAlignment="1">
      <alignment horizontal="centerContinuous"/>
    </xf>
    <xf numFmtId="0" fontId="111" fillId="18" borderId="23" xfId="3" applyFont="1" applyFill="1" applyBorder="1" applyAlignment="1">
      <alignment horizontal="centerContinuous"/>
    </xf>
    <xf numFmtId="0" fontId="111" fillId="18" borderId="24" xfId="3" applyFont="1" applyFill="1" applyBorder="1" applyAlignment="1">
      <alignment horizontal="centerContinuous"/>
    </xf>
    <xf numFmtId="0" fontId="111" fillId="19" borderId="22" xfId="3" applyFont="1" applyFill="1" applyBorder="1" applyAlignment="1">
      <alignment horizontal="centerContinuous"/>
    </xf>
    <xf numFmtId="0" fontId="111" fillId="19" borderId="23" xfId="3" applyFont="1" applyFill="1" applyBorder="1" applyAlignment="1">
      <alignment horizontal="centerContinuous"/>
    </xf>
    <xf numFmtId="0" fontId="111" fillId="19" borderId="24" xfId="3" applyFont="1" applyFill="1" applyBorder="1" applyAlignment="1">
      <alignment horizontal="centerContinuous"/>
    </xf>
    <xf numFmtId="9" fontId="111" fillId="19" borderId="22" xfId="3" applyNumberFormat="1" applyFont="1" applyFill="1" applyBorder="1" applyAlignment="1">
      <alignment horizontal="centerContinuous"/>
    </xf>
    <xf numFmtId="9" fontId="111" fillId="19" borderId="23" xfId="3" applyNumberFormat="1" applyFont="1" applyFill="1" applyBorder="1" applyAlignment="1">
      <alignment horizontal="centerContinuous"/>
    </xf>
    <xf numFmtId="9" fontId="111" fillId="19" borderId="24" xfId="3" applyNumberFormat="1" applyFont="1" applyFill="1" applyBorder="1" applyAlignment="1">
      <alignment horizontal="centerContinuous"/>
    </xf>
    <xf numFmtId="0" fontId="111" fillId="20" borderId="22" xfId="3" applyFont="1" applyFill="1" applyBorder="1" applyAlignment="1">
      <alignment horizontal="centerContinuous"/>
    </xf>
    <xf numFmtId="0" fontId="111" fillId="20" borderId="23" xfId="3" applyFont="1" applyFill="1" applyBorder="1" applyAlignment="1">
      <alignment horizontal="centerContinuous"/>
    </xf>
    <xf numFmtId="0" fontId="111" fillId="20" borderId="24" xfId="3" applyFont="1" applyFill="1" applyBorder="1" applyAlignment="1">
      <alignment horizontal="centerContinuous"/>
    </xf>
    <xf numFmtId="0" fontId="112" fillId="20" borderId="22" xfId="3" applyFont="1" applyFill="1" applyBorder="1" applyAlignment="1">
      <alignment horizontal="centerContinuous"/>
    </xf>
    <xf numFmtId="0" fontId="112" fillId="20" borderId="23" xfId="3" applyFont="1" applyFill="1" applyBorder="1" applyAlignment="1">
      <alignment horizontal="centerContinuous"/>
    </xf>
    <xf numFmtId="0" fontId="112" fillId="20" borderId="24" xfId="3" applyFont="1" applyFill="1" applyBorder="1" applyAlignment="1">
      <alignment horizontal="centerContinuous"/>
    </xf>
    <xf numFmtId="0" fontId="113" fillId="0" borderId="0" xfId="3" applyFont="1"/>
    <xf numFmtId="0" fontId="109" fillId="0" borderId="1" xfId="3" applyFont="1" applyBorder="1"/>
    <xf numFmtId="176" fontId="114" fillId="18" borderId="25" xfId="3" applyNumberFormat="1" applyFont="1" applyFill="1" applyBorder="1" applyAlignment="1">
      <alignment horizontal="center" vertical="center"/>
    </xf>
    <xf numFmtId="0" fontId="111" fillId="18" borderId="0" xfId="3" applyFont="1" applyFill="1" applyAlignment="1">
      <alignment horizontal="center" vertical="center"/>
    </xf>
    <xf numFmtId="0" fontId="115" fillId="18" borderId="26" xfId="3" applyFont="1" applyFill="1" applyBorder="1" applyAlignment="1">
      <alignment horizontal="center" vertical="center"/>
    </xf>
    <xf numFmtId="0" fontId="111" fillId="18" borderId="25" xfId="3" applyFont="1" applyFill="1" applyBorder="1" applyAlignment="1">
      <alignment horizontal="center" vertical="center"/>
    </xf>
    <xf numFmtId="0" fontId="111" fillId="18" borderId="26" xfId="3" applyFont="1" applyFill="1" applyBorder="1" applyAlignment="1">
      <alignment horizontal="center" vertical="center"/>
    </xf>
    <xf numFmtId="0" fontId="111" fillId="19" borderId="25" xfId="3" applyFont="1" applyFill="1" applyBorder="1" applyAlignment="1">
      <alignment horizontal="center" vertical="center"/>
    </xf>
    <xf numFmtId="0" fontId="111" fillId="19" borderId="0" xfId="3" applyFont="1" applyFill="1" applyAlignment="1">
      <alignment horizontal="center" vertical="center"/>
    </xf>
    <xf numFmtId="0" fontId="111" fillId="19" borderId="26" xfId="3" applyFont="1" applyFill="1" applyBorder="1" applyAlignment="1">
      <alignment horizontal="center" vertical="center"/>
    </xf>
    <xf numFmtId="9" fontId="111" fillId="19" borderId="25" xfId="3" applyNumberFormat="1" applyFont="1" applyFill="1" applyBorder="1" applyAlignment="1">
      <alignment horizontal="center" vertical="center"/>
    </xf>
    <xf numFmtId="9" fontId="111" fillId="19" borderId="0" xfId="3" applyNumberFormat="1" applyFont="1" applyFill="1" applyAlignment="1">
      <alignment horizontal="center" vertical="center"/>
    </xf>
    <xf numFmtId="9" fontId="111" fillId="19" borderId="26" xfId="3" applyNumberFormat="1" applyFont="1" applyFill="1" applyBorder="1" applyAlignment="1">
      <alignment horizontal="center" vertical="center"/>
    </xf>
    <xf numFmtId="176" fontId="114" fillId="20" borderId="25" xfId="3" applyNumberFormat="1" applyFont="1" applyFill="1" applyBorder="1" applyAlignment="1">
      <alignment horizontal="center" vertical="center"/>
    </xf>
    <xf numFmtId="0" fontId="111" fillId="20" borderId="0" xfId="3" applyFont="1" applyFill="1" applyAlignment="1">
      <alignment horizontal="center" vertical="center"/>
    </xf>
    <xf numFmtId="176" fontId="115" fillId="20" borderId="26" xfId="3" applyNumberFormat="1" applyFont="1" applyFill="1" applyBorder="1" applyAlignment="1">
      <alignment horizontal="center" vertical="center"/>
    </xf>
    <xf numFmtId="176" fontId="111" fillId="20" borderId="0" xfId="3" applyNumberFormat="1" applyFont="1" applyFill="1" applyAlignment="1">
      <alignment horizontal="center" vertical="center"/>
    </xf>
    <xf numFmtId="0" fontId="111" fillId="20" borderId="25" xfId="3" applyFont="1" applyFill="1" applyBorder="1" applyAlignment="1">
      <alignment horizontal="center" vertical="center"/>
    </xf>
    <xf numFmtId="0" fontId="111" fillId="20" borderId="26" xfId="3" applyFont="1" applyFill="1" applyBorder="1" applyAlignment="1">
      <alignment horizontal="center" vertical="center"/>
    </xf>
    <xf numFmtId="0" fontId="112" fillId="20" borderId="25" xfId="3" applyFont="1" applyFill="1" applyBorder="1" applyAlignment="1">
      <alignment horizontal="center" vertical="center"/>
    </xf>
    <xf numFmtId="0" fontId="112" fillId="20" borderId="0" xfId="3" applyFont="1" applyFill="1" applyAlignment="1">
      <alignment horizontal="center" vertical="center"/>
    </xf>
    <xf numFmtId="0" fontId="112" fillId="20" borderId="26" xfId="3" applyFont="1" applyFill="1" applyBorder="1" applyAlignment="1">
      <alignment horizontal="center" vertical="center"/>
    </xf>
    <xf numFmtId="0" fontId="116" fillId="0" borderId="0" xfId="4" applyFont="1"/>
    <xf numFmtId="0" fontId="117" fillId="0" borderId="0" xfId="4" applyFont="1" applyAlignment="1">
      <alignment horizontal="center" vertical="center"/>
    </xf>
    <xf numFmtId="0" fontId="117" fillId="0" borderId="0" xfId="4" applyFont="1" applyAlignment="1">
      <alignment horizontal="left" vertical="center"/>
    </xf>
    <xf numFmtId="0" fontId="105" fillId="0" borderId="0" xfId="3" applyFont="1"/>
    <xf numFmtId="0" fontId="101" fillId="0" borderId="0" xfId="3" applyFont="1" applyAlignment="1">
      <alignment horizontal="center" vertical="center"/>
    </xf>
    <xf numFmtId="176" fontId="118" fillId="18" borderId="27" xfId="3" applyNumberFormat="1" applyFont="1" applyFill="1" applyBorder="1" applyAlignment="1">
      <alignment horizontal="center" vertical="center"/>
    </xf>
    <xf numFmtId="176" fontId="119" fillId="18" borderId="28" xfId="3" applyNumberFormat="1" applyFont="1" applyFill="1" applyBorder="1" applyAlignment="1">
      <alignment vertical="center"/>
    </xf>
    <xf numFmtId="0" fontId="120" fillId="18" borderId="29" xfId="3" applyFont="1" applyFill="1" applyBorder="1" applyAlignment="1">
      <alignment horizontal="center" vertical="center" wrapText="1"/>
    </xf>
    <xf numFmtId="0" fontId="120" fillId="18" borderId="29" xfId="3" applyFont="1" applyFill="1" applyBorder="1" applyAlignment="1">
      <alignment horizontal="center" vertical="center"/>
    </xf>
    <xf numFmtId="0" fontId="121" fillId="19" borderId="27" xfId="3" applyFont="1" applyFill="1" applyBorder="1" applyAlignment="1">
      <alignment vertical="center"/>
    </xf>
    <xf numFmtId="0" fontId="122" fillId="19" borderId="28" xfId="3" applyFont="1" applyFill="1" applyBorder="1" applyAlignment="1">
      <alignment vertical="center"/>
    </xf>
    <xf numFmtId="0" fontId="123" fillId="19" borderId="29" xfId="3" applyFont="1" applyFill="1" applyBorder="1" applyAlignment="1">
      <alignment vertical="center"/>
    </xf>
    <xf numFmtId="0" fontId="124" fillId="19" borderId="27" xfId="3" applyFont="1" applyFill="1" applyBorder="1" applyAlignment="1">
      <alignment vertical="center"/>
    </xf>
    <xf numFmtId="0" fontId="124" fillId="19" borderId="28" xfId="3" applyFont="1" applyFill="1" applyBorder="1" applyAlignment="1">
      <alignment vertical="center"/>
    </xf>
    <xf numFmtId="176" fontId="125" fillId="20" borderId="27" xfId="3" applyNumberFormat="1" applyFont="1" applyFill="1" applyBorder="1" applyAlignment="1">
      <alignment horizontal="center" vertical="center"/>
    </xf>
    <xf numFmtId="176" fontId="119" fillId="20" borderId="28" xfId="3" applyNumberFormat="1" applyFont="1" applyFill="1" applyBorder="1" applyAlignment="1">
      <alignment vertical="center"/>
    </xf>
    <xf numFmtId="176" fontId="120" fillId="20" borderId="29" xfId="3" applyNumberFormat="1" applyFont="1" applyFill="1" applyBorder="1" applyAlignment="1">
      <alignment horizontal="center" vertical="center" wrapText="1"/>
    </xf>
    <xf numFmtId="176" fontId="118" fillId="20" borderId="27" xfId="3" applyNumberFormat="1" applyFont="1" applyFill="1" applyBorder="1" applyAlignment="1">
      <alignment horizontal="center" vertical="center"/>
    </xf>
    <xf numFmtId="0" fontId="118" fillId="20" borderId="28" xfId="3" applyFont="1" applyFill="1" applyBorder="1" applyAlignment="1">
      <alignment vertical="center"/>
    </xf>
    <xf numFmtId="176" fontId="120" fillId="20" borderId="29" xfId="3" applyNumberFormat="1" applyFont="1" applyFill="1" applyBorder="1" applyAlignment="1">
      <alignment horizontal="center" vertical="center"/>
    </xf>
    <xf numFmtId="176" fontId="126" fillId="20" borderId="27" xfId="3" applyNumberFormat="1" applyFont="1" applyFill="1" applyBorder="1" applyAlignment="1">
      <alignment horizontal="center" vertical="center"/>
    </xf>
    <xf numFmtId="176" fontId="128" fillId="20" borderId="27" xfId="3" applyNumberFormat="1" applyFont="1" applyFill="1" applyBorder="1" applyAlignment="1">
      <alignment horizontal="center" vertical="center"/>
    </xf>
    <xf numFmtId="0" fontId="129" fillId="20" borderId="29" xfId="3" applyFont="1" applyFill="1" applyBorder="1" applyAlignment="1">
      <alignment vertical="center"/>
    </xf>
    <xf numFmtId="0" fontId="130" fillId="0" borderId="0" xfId="4" applyFont="1"/>
    <xf numFmtId="0" fontId="107" fillId="21" borderId="5" xfId="0" applyFont="1" applyFill="1" applyBorder="1" applyAlignment="1">
      <alignment horizontal="center" vertical="center"/>
    </xf>
    <xf numFmtId="0" fontId="131" fillId="20" borderId="21" xfId="0" applyFont="1" applyFill="1" applyBorder="1" applyAlignment="1">
      <alignment horizontal="center" vertical="center"/>
    </xf>
    <xf numFmtId="0" fontId="132" fillId="22" borderId="5" xfId="3" applyFont="1" applyFill="1" applyBorder="1" applyAlignment="1">
      <alignment horizontal="center" vertical="center"/>
    </xf>
    <xf numFmtId="0" fontId="107" fillId="17" borderId="2" xfId="0" applyFont="1" applyFill="1" applyBorder="1" applyAlignment="1">
      <alignment horizontal="center" vertical="center"/>
    </xf>
    <xf numFmtId="0" fontId="106" fillId="21" borderId="5" xfId="0" applyFont="1" applyFill="1" applyBorder="1" applyAlignment="1">
      <alignment horizontal="center" vertical="center"/>
    </xf>
    <xf numFmtId="0" fontId="133" fillId="20" borderId="21" xfId="0" applyFont="1" applyFill="1" applyBorder="1" applyAlignment="1">
      <alignment horizontal="center" vertical="center"/>
    </xf>
    <xf numFmtId="0" fontId="134" fillId="22" borderId="5" xfId="3" applyFont="1" applyFill="1" applyBorder="1" applyAlignment="1">
      <alignment horizontal="center" vertical="center"/>
    </xf>
    <xf numFmtId="0" fontId="106" fillId="17" borderId="21" xfId="0" applyFont="1" applyFill="1" applyBorder="1" applyAlignment="1">
      <alignment horizontal="center" vertical="center"/>
    </xf>
    <xf numFmtId="0" fontId="106" fillId="17" borderId="2" xfId="0" applyFont="1" applyFill="1" applyBorder="1" applyAlignment="1">
      <alignment horizontal="center" vertical="center"/>
    </xf>
    <xf numFmtId="0" fontId="135" fillId="0" borderId="0" xfId="4" applyFont="1"/>
    <xf numFmtId="0" fontId="131" fillId="17" borderId="21" xfId="0" applyFont="1" applyFill="1" applyBorder="1" applyAlignment="1">
      <alignment horizontal="left" vertical="center" indent="1"/>
    </xf>
    <xf numFmtId="0" fontId="131" fillId="21" borderId="5" xfId="0" applyFont="1" applyFill="1" applyBorder="1" applyAlignment="1">
      <alignment horizontal="center" vertical="center"/>
    </xf>
    <xf numFmtId="0" fontId="131" fillId="17" borderId="21" xfId="0" applyFont="1" applyFill="1" applyBorder="1" applyAlignment="1">
      <alignment horizontal="center" vertical="center"/>
    </xf>
    <xf numFmtId="0" fontId="131" fillId="17" borderId="2" xfId="0" applyFont="1" applyFill="1" applyBorder="1" applyAlignment="1">
      <alignment horizontal="left" vertical="center" indent="3"/>
    </xf>
    <xf numFmtId="0" fontId="104" fillId="6" borderId="0" xfId="3" applyFont="1" applyFill="1"/>
    <xf numFmtId="0" fontId="136" fillId="0" borderId="0" xfId="0" applyFont="1"/>
    <xf numFmtId="0" fontId="133" fillId="17" borderId="21" xfId="0" applyFont="1" applyFill="1" applyBorder="1" applyAlignment="1">
      <alignment horizontal="left" vertical="center" indent="3"/>
    </xf>
    <xf numFmtId="0" fontId="133" fillId="21" borderId="5" xfId="0" applyFont="1" applyFill="1" applyBorder="1" applyAlignment="1">
      <alignment horizontal="center" vertical="center"/>
    </xf>
    <xf numFmtId="0" fontId="137" fillId="20" borderId="21" xfId="0" applyFont="1" applyFill="1" applyBorder="1" applyAlignment="1">
      <alignment horizontal="center" vertical="center"/>
    </xf>
    <xf numFmtId="0" fontId="133" fillId="17" borderId="21" xfId="0" applyFont="1" applyFill="1" applyBorder="1" applyAlignment="1">
      <alignment horizontal="center" vertical="center"/>
    </xf>
    <xf numFmtId="0" fontId="133" fillId="17" borderId="2" xfId="0" applyFont="1" applyFill="1" applyBorder="1" applyAlignment="1">
      <alignment horizontal="left" vertical="center" indent="3"/>
    </xf>
    <xf numFmtId="0" fontId="138" fillId="0" borderId="0" xfId="3" applyFont="1"/>
    <xf numFmtId="176" fontId="111" fillId="18" borderId="25" xfId="3" applyNumberFormat="1" applyFont="1" applyFill="1" applyBorder="1" applyAlignment="1">
      <alignment horizontal="center" vertical="center"/>
    </xf>
    <xf numFmtId="176" fontId="111" fillId="18" borderId="26" xfId="3" applyNumberFormat="1" applyFont="1" applyFill="1" applyBorder="1" applyAlignment="1">
      <alignment horizontal="center" vertical="center"/>
    </xf>
    <xf numFmtId="176" fontId="111" fillId="18" borderId="0" xfId="3" applyNumberFormat="1" applyFont="1" applyFill="1" applyAlignment="1">
      <alignment horizontal="center" vertical="center"/>
    </xf>
    <xf numFmtId="176" fontId="111" fillId="20" borderId="0" xfId="3" applyNumberFormat="1" applyFont="1" applyFill="1" applyAlignment="1">
      <alignment horizontal="right" vertical="center"/>
    </xf>
    <xf numFmtId="176" fontId="139" fillId="20" borderId="26" xfId="3" applyNumberFormat="1" applyFont="1" applyFill="1" applyBorder="1" applyAlignment="1">
      <alignment horizontal="right" vertical="center"/>
    </xf>
    <xf numFmtId="176" fontId="115" fillId="20" borderId="26" xfId="3" applyNumberFormat="1" applyFont="1" applyFill="1" applyBorder="1" applyAlignment="1">
      <alignment horizontal="right" vertical="center"/>
    </xf>
    <xf numFmtId="176" fontId="120" fillId="18" borderId="29" xfId="3" applyNumberFormat="1" applyFont="1" applyFill="1" applyBorder="1" applyAlignment="1">
      <alignment horizontal="center" vertical="center" wrapText="1"/>
    </xf>
    <xf numFmtId="176" fontId="118" fillId="18" borderId="27" xfId="3" applyNumberFormat="1" applyFont="1" applyFill="1" applyBorder="1" applyAlignment="1">
      <alignment vertical="center"/>
    </xf>
    <xf numFmtId="176" fontId="140" fillId="18" borderId="29" xfId="3" applyNumberFormat="1" applyFont="1" applyFill="1" applyBorder="1" applyAlignment="1">
      <alignment vertical="center" wrapText="1"/>
    </xf>
    <xf numFmtId="176" fontId="120" fillId="18" borderId="29" xfId="3" applyNumberFormat="1" applyFont="1" applyFill="1" applyBorder="1" applyAlignment="1">
      <alignment horizontal="center" vertical="center"/>
    </xf>
    <xf numFmtId="176" fontId="120" fillId="20" borderId="29" xfId="3" quotePrefix="1" applyNumberFormat="1" applyFont="1" applyFill="1" applyBorder="1" applyAlignment="1">
      <alignment horizontal="center" vertical="center"/>
    </xf>
    <xf numFmtId="0" fontId="141" fillId="19" borderId="29" xfId="3" applyFont="1" applyFill="1" applyBorder="1" applyAlignment="1">
      <alignment vertical="center"/>
    </xf>
    <xf numFmtId="0" fontId="111" fillId="0" borderId="0" xfId="3" applyFont="1" applyAlignment="1">
      <alignment horizontal="center"/>
    </xf>
    <xf numFmtId="0" fontId="111" fillId="18" borderId="26" xfId="3" quotePrefix="1" applyFont="1" applyFill="1" applyBorder="1" applyAlignment="1">
      <alignment horizontal="center" vertical="center"/>
    </xf>
    <xf numFmtId="176" fontId="142" fillId="20" borderId="25" xfId="3" applyNumberFormat="1" applyFont="1" applyFill="1" applyBorder="1" applyAlignment="1">
      <alignment horizontal="center" vertical="center"/>
    </xf>
    <xf numFmtId="0" fontId="143" fillId="20" borderId="0" xfId="3" applyFont="1" applyFill="1" applyAlignment="1">
      <alignment horizontal="center" vertical="center"/>
    </xf>
    <xf numFmtId="0" fontId="143" fillId="20" borderId="26" xfId="3" applyFont="1" applyFill="1" applyBorder="1" applyAlignment="1">
      <alignment horizontal="center" vertical="center"/>
    </xf>
    <xf numFmtId="176" fontId="144" fillId="20" borderId="25" xfId="3" applyNumberFormat="1" applyFont="1" applyFill="1" applyBorder="1" applyAlignment="1">
      <alignment horizontal="center" vertical="center"/>
    </xf>
    <xf numFmtId="0" fontId="145" fillId="0" borderId="0" xfId="3" applyFont="1"/>
    <xf numFmtId="0" fontId="146" fillId="0" borderId="0" xfId="3" applyFont="1"/>
    <xf numFmtId="0" fontId="147" fillId="0" borderId="0" xfId="3" applyFont="1"/>
    <xf numFmtId="0" fontId="148" fillId="0" borderId="0" xfId="3" applyFont="1"/>
    <xf numFmtId="0" fontId="149" fillId="0" borderId="0" xfId="0" applyFont="1"/>
    <xf numFmtId="0" fontId="147" fillId="23" borderId="0" xfId="3" applyFont="1" applyFill="1"/>
    <xf numFmtId="0" fontId="133" fillId="18" borderId="21" xfId="0" applyFont="1" applyFill="1" applyBorder="1" applyAlignment="1">
      <alignment horizontal="center" vertical="center"/>
    </xf>
    <xf numFmtId="0" fontId="16" fillId="3" borderId="1" xfId="1" applyFill="1" applyBorder="1" applyAlignment="1">
      <alignment horizontal="center" vertical="center"/>
    </xf>
    <xf numFmtId="0" fontId="84" fillId="3" borderId="1" xfId="1" applyFont="1" applyFill="1" applyBorder="1" applyAlignment="1">
      <alignment horizontal="distributed" vertical="center"/>
    </xf>
    <xf numFmtId="0" fontId="150" fillId="3" borderId="1" xfId="1" applyFont="1" applyFill="1" applyBorder="1" applyAlignment="1">
      <alignment horizontal="distributed" vertical="center"/>
    </xf>
    <xf numFmtId="0" fontId="151" fillId="0" borderId="1" xfId="1" applyFont="1" applyBorder="1" applyAlignment="1">
      <alignment horizontal="center" vertical="center"/>
    </xf>
    <xf numFmtId="0" fontId="151" fillId="14" borderId="1" xfId="1" applyFont="1" applyFill="1" applyBorder="1" applyAlignment="1">
      <alignment horizontal="center" vertical="center"/>
    </xf>
    <xf numFmtId="0" fontId="152" fillId="0" borderId="1" xfId="1" applyFont="1" applyBorder="1" applyAlignment="1">
      <alignment horizontal="center" vertical="center"/>
    </xf>
    <xf numFmtId="0" fontId="153" fillId="0" borderId="1" xfId="1" applyFont="1" applyBorder="1" applyAlignment="1">
      <alignment horizontal="center" vertical="center"/>
    </xf>
    <xf numFmtId="0" fontId="69" fillId="3" borderId="30" xfId="2" applyFont="1" applyFill="1" applyBorder="1" applyAlignment="1">
      <alignment horizontal="distributed" vertical="center" wrapText="1"/>
    </xf>
    <xf numFmtId="0" fontId="70" fillId="3" borderId="30" xfId="2" applyFont="1" applyFill="1" applyBorder="1" applyAlignment="1">
      <alignment horizontal="center" vertical="center" wrapText="1"/>
    </xf>
    <xf numFmtId="0" fontId="71" fillId="0" borderId="30" xfId="2" applyFont="1" applyBorder="1" applyAlignment="1">
      <alignment horizontal="left" vertical="center" wrapText="1" indent="1"/>
    </xf>
    <xf numFmtId="0" fontId="71" fillId="14" borderId="30" xfId="2" applyFont="1" applyFill="1" applyBorder="1" applyAlignment="1">
      <alignment horizontal="left" vertical="center" wrapText="1" indent="1"/>
    </xf>
    <xf numFmtId="0" fontId="72" fillId="0" borderId="30" xfId="2" applyFont="1" applyBorder="1" applyAlignment="1">
      <alignment horizontal="left" vertical="center" wrapText="1" indent="1"/>
    </xf>
    <xf numFmtId="0" fontId="72" fillId="14" borderId="30" xfId="2" applyFont="1" applyFill="1" applyBorder="1" applyAlignment="1">
      <alignment horizontal="left" vertical="center" wrapText="1" indent="1"/>
    </xf>
    <xf numFmtId="0" fontId="70" fillId="0" borderId="30" xfId="2" applyFont="1" applyBorder="1" applyAlignment="1">
      <alignment horizontal="left" vertical="center" wrapText="1" indent="1"/>
    </xf>
    <xf numFmtId="0" fontId="70" fillId="14" borderId="30" xfId="2" applyFont="1" applyFill="1" applyBorder="1" applyAlignment="1">
      <alignment horizontal="left" vertical="center" wrapText="1" indent="1"/>
    </xf>
    <xf numFmtId="0" fontId="69" fillId="3" borderId="1" xfId="2" applyFont="1" applyFill="1" applyBorder="1" applyAlignment="1">
      <alignment horizontal="distributed" vertical="center" wrapText="1"/>
    </xf>
    <xf numFmtId="0" fontId="70" fillId="3" borderId="1" xfId="2" applyFont="1" applyFill="1" applyBorder="1" applyAlignment="1">
      <alignment horizontal="center" vertical="center" wrapText="1"/>
    </xf>
    <xf numFmtId="0" fontId="154" fillId="0" borderId="1" xfId="2" applyFont="1" applyBorder="1" applyAlignment="1">
      <alignment horizontal="center" vertical="center" wrapText="1"/>
    </xf>
    <xf numFmtId="0" fontId="154" fillId="14" borderId="1" xfId="2" applyFont="1" applyFill="1" applyBorder="1" applyAlignment="1">
      <alignment horizontal="center" vertical="center" wrapText="1"/>
    </xf>
    <xf numFmtId="0" fontId="152" fillId="5" borderId="1" xfId="1" applyFont="1" applyFill="1" applyBorder="1" applyAlignment="1">
      <alignment horizontal="center" vertical="center"/>
    </xf>
    <xf numFmtId="0" fontId="156" fillId="0" borderId="1" xfId="2" applyFont="1" applyBorder="1" applyAlignment="1">
      <alignment horizontal="center" vertical="center" wrapText="1"/>
    </xf>
    <xf numFmtId="0" fontId="156" fillId="14" borderId="1" xfId="2" applyFont="1" applyFill="1" applyBorder="1" applyAlignment="1">
      <alignment horizontal="center" vertical="center" wrapText="1"/>
    </xf>
    <xf numFmtId="0" fontId="156" fillId="5" borderId="1" xfId="2" applyFont="1" applyFill="1" applyBorder="1" applyAlignment="1">
      <alignment horizontal="center" vertical="center" wrapText="1"/>
    </xf>
    <xf numFmtId="0" fontId="154" fillId="5" borderId="1" xfId="2" applyFont="1" applyFill="1" applyBorder="1" applyAlignment="1">
      <alignment horizontal="center" vertical="center" wrapText="1"/>
    </xf>
    <xf numFmtId="0" fontId="68" fillId="14" borderId="1" xfId="2" applyFont="1" applyFill="1" applyBorder="1" applyAlignment="1">
      <alignment horizontal="center" vertical="center" wrapText="1"/>
    </xf>
    <xf numFmtId="0" fontId="156" fillId="23" borderId="1" xfId="2" applyFont="1" applyFill="1" applyBorder="1" applyAlignment="1">
      <alignment horizontal="center" vertical="center" wrapText="1"/>
    </xf>
    <xf numFmtId="0" fontId="68" fillId="23" borderId="1" xfId="2" applyFont="1" applyFill="1" applyBorder="1" applyAlignment="1">
      <alignment horizontal="center" vertical="center" wrapText="1"/>
    </xf>
    <xf numFmtId="0" fontId="162" fillId="18" borderId="22" xfId="3" applyFont="1" applyFill="1" applyBorder="1" applyAlignment="1">
      <alignment horizontal="centerContinuous"/>
    </xf>
    <xf numFmtId="0" fontId="162" fillId="18" borderId="23" xfId="3" applyFont="1" applyFill="1" applyBorder="1" applyAlignment="1">
      <alignment horizontal="centerContinuous"/>
    </xf>
    <xf numFmtId="0" fontId="162" fillId="18" borderId="24" xfId="3" applyFont="1" applyFill="1" applyBorder="1" applyAlignment="1">
      <alignment horizontal="centerContinuous"/>
    </xf>
    <xf numFmtId="0" fontId="162" fillId="20" borderId="22" xfId="3" applyFont="1" applyFill="1" applyBorder="1" applyAlignment="1">
      <alignment horizontal="centerContinuous"/>
    </xf>
    <xf numFmtId="0" fontId="162" fillId="20" borderId="23" xfId="3" applyFont="1" applyFill="1" applyBorder="1" applyAlignment="1">
      <alignment horizontal="centerContinuous"/>
    </xf>
    <xf numFmtId="0" fontId="162" fillId="20" borderId="24" xfId="3" applyFont="1" applyFill="1" applyBorder="1" applyAlignment="1">
      <alignment horizontal="centerContinuous"/>
    </xf>
    <xf numFmtId="0" fontId="163" fillId="20" borderId="22" xfId="3" applyFont="1" applyFill="1" applyBorder="1" applyAlignment="1">
      <alignment horizontal="centerContinuous"/>
    </xf>
    <xf numFmtId="0" fontId="163" fillId="20" borderId="23" xfId="3" applyFont="1" applyFill="1" applyBorder="1" applyAlignment="1">
      <alignment horizontal="centerContinuous"/>
    </xf>
    <xf numFmtId="0" fontId="163" fillId="20" borderId="24" xfId="3" applyFont="1" applyFill="1" applyBorder="1" applyAlignment="1">
      <alignment horizontal="centerContinuous"/>
    </xf>
    <xf numFmtId="0" fontId="164" fillId="18" borderId="22" xfId="3" applyFont="1" applyFill="1" applyBorder="1" applyAlignment="1">
      <alignment horizontal="centerContinuous"/>
    </xf>
    <xf numFmtId="0" fontId="165" fillId="18" borderId="23" xfId="3" applyFont="1" applyFill="1" applyBorder="1" applyAlignment="1">
      <alignment horizontal="centerContinuous"/>
    </xf>
    <xf numFmtId="0" fontId="165" fillId="18" borderId="24" xfId="3" applyFont="1" applyFill="1" applyBorder="1" applyAlignment="1">
      <alignment horizontal="centerContinuous"/>
    </xf>
    <xf numFmtId="0" fontId="165" fillId="20" borderId="22" xfId="3" applyFont="1" applyFill="1" applyBorder="1" applyAlignment="1">
      <alignment horizontal="centerContinuous"/>
    </xf>
    <xf numFmtId="0" fontId="165" fillId="20" borderId="23" xfId="3" applyFont="1" applyFill="1" applyBorder="1" applyAlignment="1">
      <alignment horizontal="centerContinuous"/>
    </xf>
    <xf numFmtId="0" fontId="165" fillId="20" borderId="24" xfId="3" applyFont="1" applyFill="1" applyBorder="1" applyAlignment="1">
      <alignment horizontal="centerContinuous"/>
    </xf>
    <xf numFmtId="0" fontId="165" fillId="18" borderId="22" xfId="3" applyFont="1" applyFill="1" applyBorder="1" applyAlignment="1">
      <alignment horizontal="centerContinuous"/>
    </xf>
    <xf numFmtId="0" fontId="165" fillId="24" borderId="22" xfId="3" applyFont="1" applyFill="1" applyBorder="1" applyAlignment="1">
      <alignment horizontal="centerContinuous"/>
    </xf>
    <xf numFmtId="0" fontId="165" fillId="24" borderId="23" xfId="3" applyFont="1" applyFill="1" applyBorder="1" applyAlignment="1">
      <alignment horizontal="centerContinuous"/>
    </xf>
    <xf numFmtId="0" fontId="165" fillId="24" borderId="24" xfId="3" applyFont="1" applyFill="1" applyBorder="1" applyAlignment="1">
      <alignment horizontal="centerContinuous"/>
    </xf>
    <xf numFmtId="0" fontId="165" fillId="18" borderId="22" xfId="3" quotePrefix="1" applyFont="1" applyFill="1" applyBorder="1" applyAlignment="1">
      <alignment horizontal="centerContinuous"/>
    </xf>
    <xf numFmtId="0" fontId="162" fillId="19" borderId="22" xfId="3" applyFont="1" applyFill="1" applyBorder="1" applyAlignment="1">
      <alignment horizontal="centerContinuous"/>
    </xf>
    <xf numFmtId="0" fontId="162" fillId="19" borderId="23" xfId="3" applyFont="1" applyFill="1" applyBorder="1" applyAlignment="1">
      <alignment horizontal="centerContinuous"/>
    </xf>
    <xf numFmtId="0" fontId="162" fillId="19" borderId="24" xfId="3" applyFont="1" applyFill="1" applyBorder="1" applyAlignment="1">
      <alignment horizontal="centerContinuous"/>
    </xf>
    <xf numFmtId="9" fontId="162" fillId="19" borderId="22" xfId="3" applyNumberFormat="1" applyFont="1" applyFill="1" applyBorder="1" applyAlignment="1">
      <alignment horizontal="centerContinuous"/>
    </xf>
    <xf numFmtId="9" fontId="162" fillId="19" borderId="23" xfId="3" applyNumberFormat="1" applyFont="1" applyFill="1" applyBorder="1" applyAlignment="1">
      <alignment horizontal="centerContinuous"/>
    </xf>
    <xf numFmtId="9" fontId="162" fillId="19" borderId="24" xfId="3" applyNumberFormat="1" applyFont="1" applyFill="1" applyBorder="1" applyAlignment="1">
      <alignment horizontal="centerContinuous"/>
    </xf>
    <xf numFmtId="0" fontId="159" fillId="24" borderId="25" xfId="3" applyFont="1" applyFill="1" applyBorder="1" applyAlignment="1">
      <alignment horizontal="center" vertical="center"/>
    </xf>
    <xf numFmtId="0" fontId="159" fillId="24" borderId="0" xfId="3" applyFont="1" applyFill="1" applyAlignment="1">
      <alignment horizontal="center" vertical="center"/>
    </xf>
    <xf numFmtId="0" fontId="159" fillId="24" borderId="26" xfId="3" applyFont="1" applyFill="1" applyBorder="1" applyAlignment="1">
      <alignment horizontal="center" vertical="center"/>
    </xf>
    <xf numFmtId="0" fontId="166" fillId="24" borderId="27" xfId="3" applyFont="1" applyFill="1" applyBorder="1" applyAlignment="1">
      <alignment horizontal="center" vertical="center"/>
    </xf>
    <xf numFmtId="0" fontId="167" fillId="24" borderId="28" xfId="3" applyFont="1" applyFill="1" applyBorder="1" applyAlignment="1">
      <alignment horizontal="center" vertical="center"/>
    </xf>
    <xf numFmtId="0" fontId="167" fillId="24" borderId="29" xfId="3" applyFont="1" applyFill="1" applyBorder="1" applyAlignment="1">
      <alignment horizontal="center" vertical="center"/>
    </xf>
    <xf numFmtId="0" fontId="168" fillId="24" borderId="25" xfId="3" quotePrefix="1" applyFont="1" applyFill="1" applyBorder="1" applyAlignment="1">
      <alignment horizontal="center" vertical="center"/>
    </xf>
    <xf numFmtId="0" fontId="168" fillId="24" borderId="0" xfId="3" applyFont="1" applyFill="1" applyAlignment="1">
      <alignment horizontal="center" vertical="center"/>
    </xf>
    <xf numFmtId="0" fontId="168" fillId="24" borderId="26" xfId="3" applyFont="1" applyFill="1" applyBorder="1" applyAlignment="1">
      <alignment horizontal="center" vertical="center"/>
    </xf>
    <xf numFmtId="0" fontId="160" fillId="24" borderId="27" xfId="3" applyFont="1" applyFill="1" applyBorder="1" applyAlignment="1">
      <alignment horizontal="center" vertical="center"/>
    </xf>
    <xf numFmtId="0" fontId="161" fillId="24" borderId="28" xfId="3" applyFont="1" applyFill="1" applyBorder="1" applyAlignment="1">
      <alignment horizontal="center" vertical="center"/>
    </xf>
    <xf numFmtId="0" fontId="161" fillId="24" borderId="29" xfId="3" applyFont="1" applyFill="1" applyBorder="1" applyAlignment="1">
      <alignment horizontal="center" vertical="center"/>
    </xf>
    <xf numFmtId="0" fontId="92" fillId="14" borderId="16" xfId="0" applyFont="1" applyFill="1" applyBorder="1" applyAlignment="1">
      <alignment horizontal="center"/>
    </xf>
    <xf numFmtId="0" fontId="92" fillId="14" borderId="17" xfId="0" applyFont="1" applyFill="1" applyBorder="1" applyAlignment="1">
      <alignment horizontal="center"/>
    </xf>
    <xf numFmtId="0" fontId="92" fillId="14" borderId="18" xfId="0" applyFont="1" applyFill="1" applyBorder="1" applyAlignment="1">
      <alignment horizontal="center"/>
    </xf>
    <xf numFmtId="0" fontId="92" fillId="14" borderId="19" xfId="0" applyFont="1" applyFill="1" applyBorder="1" applyAlignment="1">
      <alignment horizontal="center"/>
    </xf>
    <xf numFmtId="0" fontId="92" fillId="14" borderId="20" xfId="0" applyFont="1" applyFill="1" applyBorder="1" applyAlignment="1">
      <alignment horizontal="center"/>
    </xf>
    <xf numFmtId="9" fontId="169" fillId="19" borderId="25" xfId="3" applyNumberFormat="1" applyFont="1" applyFill="1" applyBorder="1" applyAlignment="1">
      <alignment horizontal="center" vertical="center"/>
    </xf>
    <xf numFmtId="9" fontId="169" fillId="19" borderId="0" xfId="3" applyNumberFormat="1" applyFont="1" applyFill="1" applyBorder="1" applyAlignment="1">
      <alignment horizontal="center" vertical="center"/>
    </xf>
    <xf numFmtId="9" fontId="169" fillId="19" borderId="26" xfId="3" applyNumberFormat="1" applyFont="1" applyFill="1" applyBorder="1" applyAlignment="1">
      <alignment horizontal="center" vertical="center"/>
    </xf>
    <xf numFmtId="0" fontId="123" fillId="19" borderId="29" xfId="3" applyFont="1" applyFill="1" applyBorder="1" applyAlignment="1">
      <alignment horizontal="right" vertical="center"/>
    </xf>
  </cellXfs>
  <cellStyles count="6">
    <cellStyle name="一般" xfId="0" builtinId="0"/>
    <cellStyle name="一般 2" xfId="1" xr:uid="{7050CDEF-4A1C-4E0A-983A-8B704E20EFA5}"/>
    <cellStyle name="一般 2 2" xfId="5" xr:uid="{E16A246D-3C35-4075-8201-F9295FE713C8}"/>
    <cellStyle name="一般 3 2" xfId="3" xr:uid="{1C6CA61B-BCC2-4C90-9113-2E7B3F3BE5A9}"/>
    <cellStyle name="一般 4" xfId="2" xr:uid="{3CE112D1-6AA5-4FA2-A2EF-398E348DDBE3}"/>
    <cellStyle name="一般 4 2" xfId="4" xr:uid="{6610CF7E-50A2-403A-AB45-EEA3CB6AF8BE}"/>
  </cellStyles>
  <dxfs count="54"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4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4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erif TC Medium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霞鶩文楷等寬 TC Medium"/>
        <family val="3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4"/>
        <name val="Noto Sans TC Medium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ascadia Code"/>
        <family val="3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ascadia Code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Cascadia Code"/>
        <family val="3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ascadia Code"/>
        <family val="3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Cascadia Code"/>
        <family val="3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strike val="0"/>
        <outline val="0"/>
        <shadow val="0"/>
        <u val="none"/>
        <vertAlign val="baseline"/>
        <name val="Cascadia Code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scadia Code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Cascadia Code"/>
        <family val="3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Cascadia Code"/>
        <family val="3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Cascadia Code"/>
        <family val="3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Cascadia Code"/>
        <family val="3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Cascadia Code"/>
        <family val="3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Cascadia Code"/>
        <family val="3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ascadia Code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border outline="0">
        <left style="medium">
          <color rgb="FFDEE2E6"/>
        </left>
        <right style="medium">
          <color rgb="FFDEE2E6"/>
        </right>
      </border>
    </dxf>
    <dxf>
      <font>
        <strike val="0"/>
        <outline val="0"/>
        <shadow val="0"/>
        <u val="none"/>
        <vertAlign val="baseline"/>
        <name val="Cascadia Code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ascadia Code"/>
        <family val="3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4"/>
        <name val="Noto Sans TC Medium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8485B9-20C3-45C2-8F62-D0D55A96420A}" name="聲母對照表" displayName="聲母對照表" ref="A1:O23" totalsRowShown="0" headerRowDxfId="53" tableBorderDxfId="52">
  <autoFilter ref="A1:O23" xr:uid="{50527B81-BE0C-4989-8113-79F20236AB33}"/>
  <tableColumns count="15">
    <tableColumn id="2" xr3:uid="{F5D6EDE1-69CD-4CC3-875F-9346DA35C335}" name="序號" dataDxfId="51"/>
    <tableColumn id="3" xr3:uid="{6C8680B1-1299-4513-B75B-507438605761}" name="國際音標" dataDxfId="50"/>
    <tableColumn id="4" xr3:uid="{0208F868-E364-4FCD-9025-0F71EB616BFC}" name="台羅拼音" dataDxfId="49"/>
    <tableColumn id="5" xr3:uid="{76D4830D-D82B-485E-A743-59D77DBB7EE7}" name="台語音標" dataDxfId="48"/>
    <tableColumn id="6" xr3:uid="{5EE8DE1D-49CC-4210-BE3F-75B3ED30526B}" name="台語注音二式" dataDxfId="47"/>
    <tableColumn id="7" xr3:uid="{7BA9E673-6C70-43AB-B8BF-D6180B5B8B16}" name="閩拼方案" dataDxfId="46"/>
    <tableColumn id="8" xr3:uid="{1EB04ED2-D3AA-4AE0-9C26-E60D85E16247}" name="白話字" dataDxfId="45"/>
    <tableColumn id="9" xr3:uid="{C0538590-268B-426A-8580-29112CE63DA5}" name="方音符號" dataDxfId="44"/>
    <tableColumn id="10" xr3:uid="{4B46E967-BDA6-4C67-A1FB-BB151298D7D5}" name="台語注音" dataDxfId="43"/>
    <tableColumn id="11" xr3:uid="{1F348ED2-A6CD-4676-ADD0-A7AFF787B544}" name="十五音" dataDxfId="42"/>
    <tableColumn id="12" xr3:uid="{FDDD067F-BECD-410D-B928-0483032459A6}" name="漢字例" dataDxfId="41"/>
    <tableColumn id="13" xr3:uid="{D326F888-1D43-41C5-89D0-B6B20DDD32E5}" name="備註" dataDxfId="40"/>
    <tableColumn id="14" xr3:uid="{11B7EC53-D5F9-4275-999B-5FB2F2DBF8C6}" name="s1" dataDxfId="39"/>
    <tableColumn id="15" xr3:uid="{D3ED7A3F-07C1-45F9-AAFC-4A91597309C2}" name="s2" dataDxfId="38"/>
    <tableColumn id="16" xr3:uid="{16396C44-3977-4ED4-AA8B-09EC5650C080}" name="s3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FDAD29-FBB5-49CC-BADE-F003A27693CB}" name="韻母對照表" displayName="韻母對照表" ref="A3:N101" totalsRowShown="0" headerRowDxfId="36" dataDxfId="35" tableBorderDxfId="34" headerRowCellStyle="一般 4">
  <autoFilter ref="A3:N101" xr:uid="{C40E26AF-4D3B-4E1A-8080-AAAFDBD9F514}"/>
  <tableColumns count="14">
    <tableColumn id="1" xr3:uid="{D4A6D135-948A-4936-B80E-B81D9B1C1AD0}" name="序號" dataDxfId="33" dataCellStyle="一般 4"/>
    <tableColumn id="2" xr3:uid="{8E853414-B1FD-4BD3-8CA0-1676B031D46B}" name="國際音標" dataDxfId="32" dataCellStyle="一般 4"/>
    <tableColumn id="3" xr3:uid="{B16F0EC3-95F4-48BE-BEBF-7B29F180373F}" name="台羅拼音" dataDxfId="31" dataCellStyle="一般 4"/>
    <tableColumn id="4" xr3:uid="{027C7CE0-B0E9-4FC7-8F7D-0925096F6790}" name="台語音標" dataDxfId="30" dataCellStyle="一般 4"/>
    <tableColumn id="5" xr3:uid="{1CC780CB-073B-4912-B709-F51C77818A5B}" name="台語注音二式" dataDxfId="29" dataCellStyle="一般 4"/>
    <tableColumn id="6" xr3:uid="{97193A80-519A-497B-BE22-5896D8DCB1C2}" name="閩拼方案" dataDxfId="28" dataCellStyle="一般 4"/>
    <tableColumn id="7" xr3:uid="{DA44474D-72FB-4E91-B20D-EF805408EFC1}" name="白話字" dataDxfId="27" dataCellStyle="一般 4"/>
    <tableColumn id="8" xr3:uid="{A355F7F8-18BF-49D5-94B8-F916C920B2B7}" name="方音符號" dataDxfId="26"/>
    <tableColumn id="13" xr3:uid="{12E5E20C-8D31-430F-B32B-431689C3E01D}" name="台語注音" dataDxfId="25"/>
    <tableColumn id="9" xr3:uid="{FC53F88F-356B-47FF-8DA4-252DA410D8E5}" name="十五音" dataDxfId="24" dataCellStyle="一般 4"/>
    <tableColumn id="14" xr3:uid="{C1DAC3D0-A884-4A14-BE2E-A5E0465B8C07}" name="漢字例" dataDxfId="23" dataCellStyle="一般 4"/>
    <tableColumn id="12" xr3:uid="{D863A208-A0C7-4551-A69B-DE8EF9D0721C}" name="十五音識別碼" dataDxfId="22" dataCellStyle="一般 4"/>
    <tableColumn id="10" xr3:uid="{3C9D7E8B-F1DA-4B77-879E-4C403A26B1C8}" name="聲韻調類" dataDxfId="21" dataCellStyle="一般 4"/>
    <tableColumn id="11" xr3:uid="{729D7B41-954E-47C7-ACFF-42BB6FE135E4}" name="字長" dataDxfId="20" dataCellStyle="一般 4">
      <calculatedColumnFormula xml:space="preserve"> LEN(韻母對照表[[#This Row],[台羅拼音]])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A232A3-A583-4D36-A992-49541AD5CD80}" name="聲調對照表" displayName="聲調對照表" ref="A1:P8" totalsRowShown="0" headerRowDxfId="19" headerRowBorderDxfId="18" tableBorderDxfId="17" totalsRowBorderDxfId="16">
  <autoFilter ref="A1:P8" xr:uid="{6B95E5FE-A65C-4C96-AF81-6823059ABB9A}"/>
  <tableColumns count="16">
    <tableColumn id="1" xr3:uid="{A43E83CF-A409-4271-AD49-0F5115B13844}" name="識別號" dataDxfId="15"/>
    <tableColumn id="2" xr3:uid="{98B3379E-E169-4CDD-8810-FB32006F271C}" name="W調名" dataDxfId="14"/>
    <tableColumn id="3" xr3:uid="{8477084E-5F3C-4E26-B1C1-10F7351A485D}" name="四聲八調" dataDxfId="13"/>
    <tableColumn id="4" xr3:uid="{96093623-D146-4B67-8B58-B3A78336FF27}" name="調值" dataDxfId="12"/>
    <tableColumn id="5" xr3:uid="{BA3F795E-502A-43C1-90FA-A7BE1098C8F6}" name="台羅調號" dataDxfId="11"/>
    <tableColumn id="6" xr3:uid="{86D3678F-E243-4950-B4A1-B472C489F9D0}" name="拼音調符編碼" dataDxfId="10"/>
    <tableColumn id="7" xr3:uid="{1E5B42D2-1E50-4F71-824D-605800B08CFD}" name="羅馬拼音調符" dataDxfId="9"/>
    <tableColumn id="8" xr3:uid="{4FE7A4F9-6B58-4CB0-B6DD-8E1261CF67D6}" name="漢字" dataDxfId="8"/>
    <tableColumn id="9" xr3:uid="{04AF2EA8-94ED-495A-9229-2C5E5C65E114}" name="台語音標" dataDxfId="7"/>
    <tableColumn id="10" xr3:uid="{81F90B7F-52DE-4A74-9610-DF52561440D1}" name="注音調符編碼" dataDxfId="6"/>
    <tableColumn id="11" xr3:uid="{8F914FEE-41C1-4942-B6BB-09332C688153}" name="注音調符" dataDxfId="5"/>
    <tableColumn id="12" xr3:uid="{02B2476C-0483-4A7C-B519-CFAE42EEB8A4}" name="方音符號" dataDxfId="4"/>
    <tableColumn id="13" xr3:uid="{4E36AD06-41A4-4070-AC48-7F4314FEE4A3}" name="鍵盤按鍵" dataDxfId="3"/>
    <tableColumn id="14" xr3:uid="{66406681-C930-485A-A8C1-57772408E7E4}" name="閩拼調號" dataDxfId="2"/>
    <tableColumn id="15" xr3:uid="{973B9099-99C4-454B-9101-3852E7A3B345}" name="閩拼上標調號" dataDxfId="1"/>
    <tableColumn id="16" xr3:uid="{0DF9862D-04FD-4D6E-80C5-D4331BA2F62E}" name="IPA上標調號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1318ED-C19B-4C0B-828D-9FBF3F6863A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9635c20-b7e1-4b6e-866d-72ebf4490f8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8529-3AA9-4880-AF6B-FCE0ADE77DE7}">
  <sheetPr>
    <tabColor rgb="FFFF0000"/>
  </sheetPr>
  <dimension ref="A1:AT153"/>
  <sheetViews>
    <sheetView showGridLines="0" zoomScale="40" zoomScaleNormal="40" workbookViewId="0">
      <selection activeCell="AX23" sqref="AX23"/>
    </sheetView>
  </sheetViews>
  <sheetFormatPr defaultColWidth="7.19921875" defaultRowHeight="14.25" outlineLevelRow="1"/>
  <cols>
    <col min="1" max="1" width="6.59765625" style="188" customWidth="1"/>
    <col min="2" max="42" width="7.8984375" style="188" customWidth="1"/>
    <col min="43" max="45" width="6.59765625" style="188" customWidth="1"/>
    <col min="46" max="16384" width="7.19921875" style="188"/>
  </cols>
  <sheetData>
    <row r="1" spans="1:45" ht="45" customHeight="1" thickBot="1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7"/>
      <c r="AS1" s="187"/>
    </row>
    <row r="2" spans="1:45" s="197" customFormat="1" ht="60" customHeight="1">
      <c r="A2" s="198"/>
      <c r="B2" s="349" t="s">
        <v>1247</v>
      </c>
      <c r="C2" s="344"/>
      <c r="D2" s="345"/>
      <c r="E2" s="349" t="s">
        <v>1248</v>
      </c>
      <c r="F2" s="344"/>
      <c r="G2" s="345"/>
      <c r="H2" s="349" t="s">
        <v>1249</v>
      </c>
      <c r="I2" s="344"/>
      <c r="J2" s="345"/>
      <c r="K2" s="349" t="s">
        <v>1250</v>
      </c>
      <c r="L2" s="344"/>
      <c r="M2" s="345"/>
      <c r="N2" s="353" t="s">
        <v>1333</v>
      </c>
      <c r="O2" s="344"/>
      <c r="P2" s="345"/>
      <c r="Q2" s="349" t="s">
        <v>1251</v>
      </c>
      <c r="R2" s="344"/>
      <c r="S2" s="345"/>
      <c r="T2" s="350" t="s">
        <v>1252</v>
      </c>
      <c r="U2" s="351"/>
      <c r="V2" s="352"/>
      <c r="W2" s="346" t="s">
        <v>1253</v>
      </c>
      <c r="X2" s="347"/>
      <c r="Y2" s="348"/>
      <c r="Z2" s="346" t="s">
        <v>1254</v>
      </c>
      <c r="AA2" s="347"/>
      <c r="AB2" s="348"/>
      <c r="AC2" s="346" t="s">
        <v>1255</v>
      </c>
      <c r="AD2" s="347"/>
      <c r="AE2" s="348"/>
      <c r="AF2" s="350" t="s">
        <v>1256</v>
      </c>
      <c r="AG2" s="351"/>
      <c r="AH2" s="352"/>
      <c r="AI2" s="346" t="s">
        <v>1257</v>
      </c>
      <c r="AJ2" s="347"/>
      <c r="AK2" s="348"/>
      <c r="AL2" s="198"/>
      <c r="AM2" s="198"/>
      <c r="AN2" s="198"/>
      <c r="AO2" s="198"/>
      <c r="AP2" s="198"/>
      <c r="AQ2" s="198"/>
      <c r="AR2" s="214"/>
      <c r="AS2" s="214"/>
    </row>
    <row r="3" spans="1:45" s="197" customFormat="1" ht="60" customHeight="1">
      <c r="A3" s="198"/>
      <c r="B3" s="216"/>
      <c r="C3" s="217"/>
      <c r="D3" s="218"/>
      <c r="E3" s="219"/>
      <c r="F3" s="217"/>
      <c r="G3" s="220"/>
      <c r="H3" s="216"/>
      <c r="I3" s="217"/>
      <c r="J3" s="220"/>
      <c r="K3" s="282"/>
      <c r="L3" s="217"/>
      <c r="M3" s="283"/>
      <c r="N3" s="282"/>
      <c r="O3" s="284"/>
      <c r="P3" s="283"/>
      <c r="Q3" s="282"/>
      <c r="R3" s="217"/>
      <c r="S3" s="283"/>
      <c r="T3" s="366" t="s">
        <v>1332</v>
      </c>
      <c r="U3" s="367"/>
      <c r="V3" s="368"/>
      <c r="W3" s="227"/>
      <c r="X3" s="228"/>
      <c r="Y3" s="229"/>
      <c r="Z3" s="227"/>
      <c r="AA3" s="230"/>
      <c r="AB3" s="229"/>
      <c r="AC3" s="231"/>
      <c r="AD3" s="228"/>
      <c r="AE3" s="232"/>
      <c r="AF3" s="360" t="s">
        <v>1326</v>
      </c>
      <c r="AG3" s="361"/>
      <c r="AH3" s="362"/>
      <c r="AI3" s="233"/>
      <c r="AJ3" s="234"/>
      <c r="AK3" s="235"/>
      <c r="AL3" s="198"/>
      <c r="AM3" s="198"/>
      <c r="AN3" s="198"/>
      <c r="AO3" s="198"/>
      <c r="AP3" s="198"/>
      <c r="AQ3" s="198"/>
      <c r="AR3" s="214"/>
      <c r="AS3" s="214"/>
    </row>
    <row r="4" spans="1:45" ht="60" customHeight="1" thickBot="1">
      <c r="A4" s="240"/>
      <c r="B4" s="241"/>
      <c r="C4" s="242"/>
      <c r="D4" s="243"/>
      <c r="E4" s="241"/>
      <c r="F4" s="242"/>
      <c r="G4" s="244"/>
      <c r="H4" s="241"/>
      <c r="I4" s="242"/>
      <c r="J4" s="288"/>
      <c r="K4" s="289"/>
      <c r="L4" s="242"/>
      <c r="M4" s="290"/>
      <c r="N4" s="241"/>
      <c r="O4" s="242"/>
      <c r="P4" s="288"/>
      <c r="Q4" s="289"/>
      <c r="R4" s="242"/>
      <c r="S4" s="291"/>
      <c r="T4" s="369" t="s">
        <v>1331</v>
      </c>
      <c r="U4" s="370"/>
      <c r="V4" s="371" t="s">
        <v>1265</v>
      </c>
      <c r="W4" s="250"/>
      <c r="X4" s="251"/>
      <c r="Y4" s="252"/>
      <c r="Z4" s="253"/>
      <c r="AA4" s="254"/>
      <c r="AB4" s="255"/>
      <c r="AC4" s="253"/>
      <c r="AD4" s="251"/>
      <c r="AE4" s="252"/>
      <c r="AF4" s="363" t="s">
        <v>1334</v>
      </c>
      <c r="AG4" s="364"/>
      <c r="AH4" s="365" t="s">
        <v>1268</v>
      </c>
      <c r="AI4" s="257"/>
      <c r="AJ4" s="254"/>
      <c r="AK4" s="258"/>
      <c r="AL4" s="240"/>
      <c r="AM4" s="240"/>
      <c r="AN4" s="240"/>
      <c r="AO4" s="240"/>
      <c r="AP4" s="240"/>
      <c r="AQ4" s="240"/>
      <c r="AR4" s="187"/>
      <c r="AS4" s="187"/>
    </row>
    <row r="5" spans="1:45" s="197" customFormat="1" ht="60" customHeight="1">
      <c r="A5" s="198"/>
      <c r="B5" s="198"/>
      <c r="C5" s="349" t="s">
        <v>201</v>
      </c>
      <c r="D5" s="344"/>
      <c r="E5" s="345"/>
      <c r="F5" s="349" t="s">
        <v>98</v>
      </c>
      <c r="G5" s="344"/>
      <c r="H5" s="345"/>
      <c r="I5" s="349" t="s">
        <v>111</v>
      </c>
      <c r="J5" s="344"/>
      <c r="K5" s="345"/>
      <c r="L5" s="349" t="s">
        <v>91</v>
      </c>
      <c r="M5" s="344"/>
      <c r="N5" s="345"/>
      <c r="O5" s="349" t="s">
        <v>71</v>
      </c>
      <c r="P5" s="344"/>
      <c r="Q5" s="345"/>
      <c r="R5" s="349" t="s">
        <v>114</v>
      </c>
      <c r="S5" s="344"/>
      <c r="T5" s="345"/>
      <c r="U5" s="346" t="s">
        <v>95</v>
      </c>
      <c r="V5" s="347"/>
      <c r="W5" s="348"/>
      <c r="X5" s="346" t="s">
        <v>94</v>
      </c>
      <c r="Y5" s="347"/>
      <c r="Z5" s="348"/>
      <c r="AA5" s="346" t="s">
        <v>86</v>
      </c>
      <c r="AB5" s="347"/>
      <c r="AC5" s="348"/>
      <c r="AD5" s="346" t="s">
        <v>67</v>
      </c>
      <c r="AE5" s="347"/>
      <c r="AF5" s="348"/>
      <c r="AG5" s="350" t="s">
        <v>1270</v>
      </c>
      <c r="AH5" s="351"/>
      <c r="AI5" s="352"/>
      <c r="AJ5" s="350" t="s">
        <v>1271</v>
      </c>
      <c r="AK5" s="351"/>
      <c r="AL5" s="352"/>
      <c r="AM5" s="350" t="s">
        <v>1272</v>
      </c>
      <c r="AN5" s="351"/>
      <c r="AO5" s="352"/>
      <c r="AP5" s="198"/>
      <c r="AQ5" s="198"/>
      <c r="AR5" s="214"/>
      <c r="AS5" s="214"/>
    </row>
    <row r="6" spans="1:45" s="197" customFormat="1" ht="60" customHeight="1">
      <c r="A6" s="198"/>
      <c r="B6" s="198"/>
      <c r="C6" s="219"/>
      <c r="D6" s="217"/>
      <c r="E6" s="220"/>
      <c r="F6" s="219"/>
      <c r="G6" s="217"/>
      <c r="H6" s="220"/>
      <c r="I6" s="216"/>
      <c r="J6" s="217"/>
      <c r="K6" s="220"/>
      <c r="L6" s="282"/>
      <c r="M6" s="217"/>
      <c r="N6" s="283"/>
      <c r="O6" s="282"/>
      <c r="P6" s="284"/>
      <c r="Q6" s="283"/>
      <c r="R6" s="282"/>
      <c r="S6" s="217"/>
      <c r="T6" s="283"/>
      <c r="U6" s="227"/>
      <c r="V6" s="228"/>
      <c r="W6" s="229"/>
      <c r="X6" s="227"/>
      <c r="Y6" s="285"/>
      <c r="Z6" s="286"/>
      <c r="AA6" s="227"/>
      <c r="AB6" s="228"/>
      <c r="AC6" s="229"/>
      <c r="AD6" s="231"/>
      <c r="AE6" s="228"/>
      <c r="AF6" s="232"/>
      <c r="AG6" s="360" t="s">
        <v>1327</v>
      </c>
      <c r="AH6" s="361"/>
      <c r="AI6" s="362"/>
      <c r="AJ6" s="360" t="s">
        <v>1328</v>
      </c>
      <c r="AK6" s="361"/>
      <c r="AL6" s="362"/>
      <c r="AM6" s="360" t="s">
        <v>1330</v>
      </c>
      <c r="AN6" s="361"/>
      <c r="AO6" s="362"/>
      <c r="AP6" s="198"/>
      <c r="AQ6" s="198"/>
      <c r="AR6" s="214"/>
      <c r="AS6" s="214"/>
    </row>
    <row r="7" spans="1:45" ht="60" customHeight="1" thickBot="1">
      <c r="A7" s="240"/>
      <c r="B7" s="240"/>
      <c r="C7" s="241"/>
      <c r="D7" s="242"/>
      <c r="E7" s="244"/>
      <c r="F7" s="241"/>
      <c r="G7" s="242"/>
      <c r="H7" s="244"/>
      <c r="I7" s="241"/>
      <c r="J7" s="242"/>
      <c r="K7" s="288"/>
      <c r="L7" s="289"/>
      <c r="M7" s="242"/>
      <c r="N7" s="290"/>
      <c r="O7" s="241"/>
      <c r="P7" s="242"/>
      <c r="Q7" s="288"/>
      <c r="R7" s="289"/>
      <c r="S7" s="242"/>
      <c r="T7" s="291"/>
      <c r="U7" s="253"/>
      <c r="V7" s="251"/>
      <c r="W7" s="255"/>
      <c r="X7" s="253"/>
      <c r="Y7" s="251"/>
      <c r="Z7" s="255"/>
      <c r="AA7" s="253"/>
      <c r="AB7" s="251"/>
      <c r="AC7" s="255"/>
      <c r="AD7" s="253"/>
      <c r="AE7" s="254"/>
      <c r="AF7" s="292"/>
      <c r="AG7" s="363" t="s">
        <v>1275</v>
      </c>
      <c r="AH7" s="364"/>
      <c r="AI7" s="365"/>
      <c r="AJ7" s="363" t="s">
        <v>1277</v>
      </c>
      <c r="AK7" s="364"/>
      <c r="AL7" s="365"/>
      <c r="AM7" s="363" t="s">
        <v>1335</v>
      </c>
      <c r="AN7" s="364"/>
      <c r="AO7" s="365"/>
      <c r="AP7" s="240"/>
      <c r="AQ7" s="240"/>
      <c r="AR7" s="187"/>
      <c r="AS7" s="187"/>
    </row>
    <row r="8" spans="1:45" s="197" customFormat="1" ht="60" customHeight="1">
      <c r="A8" s="198"/>
      <c r="B8" s="198"/>
      <c r="C8" s="294"/>
      <c r="D8" s="349" t="s">
        <v>97</v>
      </c>
      <c r="E8" s="344"/>
      <c r="F8" s="345"/>
      <c r="G8" s="349" t="s">
        <v>83</v>
      </c>
      <c r="H8" s="344"/>
      <c r="I8" s="345"/>
      <c r="J8" s="349" t="s">
        <v>749</v>
      </c>
      <c r="K8" s="344"/>
      <c r="L8" s="345"/>
      <c r="M8" s="349" t="s">
        <v>92</v>
      </c>
      <c r="N8" s="344"/>
      <c r="O8" s="345"/>
      <c r="P8" s="349" t="s">
        <v>90</v>
      </c>
      <c r="Q8" s="344"/>
      <c r="R8" s="345"/>
      <c r="S8" s="349" t="s">
        <v>221</v>
      </c>
      <c r="T8" s="344"/>
      <c r="U8" s="345"/>
      <c r="V8" s="346" t="s">
        <v>81</v>
      </c>
      <c r="W8" s="347"/>
      <c r="X8" s="348"/>
      <c r="Y8" s="346" t="s">
        <v>74</v>
      </c>
      <c r="Z8" s="347"/>
      <c r="AA8" s="348"/>
      <c r="AB8" s="346" t="s">
        <v>102</v>
      </c>
      <c r="AC8" s="347"/>
      <c r="AD8" s="348"/>
      <c r="AE8" s="350" t="s">
        <v>1278</v>
      </c>
      <c r="AF8" s="351"/>
      <c r="AG8" s="352"/>
      <c r="AH8" s="346" t="s">
        <v>1279</v>
      </c>
      <c r="AI8" s="347"/>
      <c r="AJ8" s="348"/>
      <c r="AK8" s="198"/>
      <c r="AL8" s="198"/>
      <c r="AM8" s="198"/>
      <c r="AN8" s="198"/>
      <c r="AO8" s="198"/>
      <c r="AP8" s="198"/>
      <c r="AQ8" s="198"/>
      <c r="AR8" s="214"/>
      <c r="AS8" s="214"/>
    </row>
    <row r="9" spans="1:45" s="197" customFormat="1" ht="60" customHeight="1">
      <c r="A9" s="198"/>
      <c r="B9" s="198"/>
      <c r="C9" s="294"/>
      <c r="D9" s="216"/>
      <c r="E9" s="217"/>
      <c r="F9" s="295"/>
      <c r="G9" s="219"/>
      <c r="H9" s="217"/>
      <c r="I9" s="220"/>
      <c r="J9" s="219"/>
      <c r="K9" s="217"/>
      <c r="L9" s="220"/>
      <c r="M9" s="219"/>
      <c r="N9" s="217"/>
      <c r="O9" s="220"/>
      <c r="P9" s="219"/>
      <c r="Q9" s="217"/>
      <c r="R9" s="220"/>
      <c r="S9" s="282"/>
      <c r="T9" s="217"/>
      <c r="U9" s="283"/>
      <c r="V9" s="227"/>
      <c r="W9" s="230"/>
      <c r="X9" s="229"/>
      <c r="Y9" s="231"/>
      <c r="Z9" s="228"/>
      <c r="AA9" s="232"/>
      <c r="AB9" s="227"/>
      <c r="AC9" s="228"/>
      <c r="AD9" s="229"/>
      <c r="AE9" s="360" t="s">
        <v>1325</v>
      </c>
      <c r="AF9" s="361"/>
      <c r="AG9" s="362"/>
      <c r="AH9" s="227"/>
      <c r="AI9" s="228"/>
      <c r="AJ9" s="229"/>
      <c r="AK9" s="198"/>
      <c r="AL9" s="198"/>
      <c r="AM9" s="198"/>
      <c r="AN9" s="198"/>
      <c r="AO9" s="198"/>
      <c r="AP9" s="198"/>
      <c r="AQ9" s="198"/>
      <c r="AR9" s="214"/>
      <c r="AS9" s="214"/>
    </row>
    <row r="10" spans="1:45" ht="60" customHeight="1" thickBot="1">
      <c r="A10" s="240"/>
      <c r="B10" s="240"/>
      <c r="C10" s="240"/>
      <c r="D10" s="241"/>
      <c r="E10" s="242"/>
      <c r="F10" s="244"/>
      <c r="G10" s="241"/>
      <c r="H10" s="242"/>
      <c r="I10" s="244"/>
      <c r="J10" s="241"/>
      <c r="K10" s="242"/>
      <c r="L10" s="291"/>
      <c r="M10" s="241"/>
      <c r="N10" s="242"/>
      <c r="O10" s="291"/>
      <c r="P10" s="289"/>
      <c r="Q10" s="242"/>
      <c r="R10" s="291"/>
      <c r="S10" s="289"/>
      <c r="T10" s="242"/>
      <c r="U10" s="291"/>
      <c r="V10" s="253"/>
      <c r="W10" s="251"/>
      <c r="X10" s="255"/>
      <c r="Y10" s="253"/>
      <c r="Z10" s="251"/>
      <c r="AA10" s="255"/>
      <c r="AB10" s="253"/>
      <c r="AC10" s="251"/>
      <c r="AD10" s="255"/>
      <c r="AE10" s="363" t="s">
        <v>1324</v>
      </c>
      <c r="AF10" s="364"/>
      <c r="AG10" s="365"/>
      <c r="AH10" s="253"/>
      <c r="AI10" s="251"/>
      <c r="AJ10" s="255"/>
      <c r="AK10" s="240"/>
      <c r="AL10" s="240"/>
      <c r="AM10" s="240"/>
      <c r="AN10" s="240"/>
      <c r="AO10" s="240"/>
      <c r="AP10" s="240"/>
      <c r="AQ10" s="240"/>
      <c r="AR10" s="187"/>
      <c r="AS10" s="187"/>
    </row>
    <row r="11" spans="1:45" s="197" customFormat="1" ht="60" customHeight="1">
      <c r="A11" s="198"/>
      <c r="B11" s="198"/>
      <c r="C11" s="198"/>
      <c r="D11" s="198"/>
      <c r="E11" s="343" t="s">
        <v>214</v>
      </c>
      <c r="F11" s="344"/>
      <c r="G11" s="345"/>
      <c r="H11" s="343" t="s">
        <v>1286</v>
      </c>
      <c r="I11" s="344"/>
      <c r="J11" s="345"/>
      <c r="K11" s="343" t="s">
        <v>82</v>
      </c>
      <c r="L11" s="344"/>
      <c r="M11" s="345"/>
      <c r="N11" s="343" t="s">
        <v>93</v>
      </c>
      <c r="O11" s="344"/>
      <c r="P11" s="345"/>
      <c r="Q11" s="343" t="s">
        <v>738</v>
      </c>
      <c r="R11" s="344"/>
      <c r="S11" s="345"/>
      <c r="T11" s="343" t="s">
        <v>89</v>
      </c>
      <c r="U11" s="344"/>
      <c r="V11" s="345"/>
      <c r="W11" s="346" t="s">
        <v>88</v>
      </c>
      <c r="X11" s="347"/>
      <c r="Y11" s="348"/>
      <c r="Z11" s="346" t="s">
        <v>1287</v>
      </c>
      <c r="AA11" s="347"/>
      <c r="AB11" s="348"/>
      <c r="AC11" s="350" t="s">
        <v>1288</v>
      </c>
      <c r="AD11" s="351"/>
      <c r="AE11" s="352"/>
      <c r="AF11" s="350" t="s">
        <v>1289</v>
      </c>
      <c r="AG11" s="351"/>
      <c r="AH11" s="352"/>
      <c r="AI11" s="198"/>
      <c r="AJ11" s="198"/>
      <c r="AK11" s="198"/>
      <c r="AL11" s="198"/>
      <c r="AM11" s="198"/>
      <c r="AN11" s="198"/>
      <c r="AO11" s="198"/>
      <c r="AP11" s="198"/>
      <c r="AQ11" s="198"/>
      <c r="AR11" s="214"/>
      <c r="AS11" s="214"/>
    </row>
    <row r="12" spans="1:45" s="197" customFormat="1" ht="60" customHeight="1">
      <c r="A12" s="198"/>
      <c r="B12" s="198"/>
      <c r="C12" s="198"/>
      <c r="D12" s="198"/>
      <c r="E12" s="219"/>
      <c r="F12" s="217"/>
      <c r="G12" s="220"/>
      <c r="H12" s="219"/>
      <c r="I12" s="217"/>
      <c r="J12" s="220"/>
      <c r="K12" s="219"/>
      <c r="L12" s="217"/>
      <c r="M12" s="220"/>
      <c r="N12" s="219"/>
      <c r="O12" s="217"/>
      <c r="P12" s="220"/>
      <c r="Q12" s="282"/>
      <c r="R12" s="217"/>
      <c r="S12" s="283"/>
      <c r="T12" s="216"/>
      <c r="U12" s="217"/>
      <c r="V12" s="220"/>
      <c r="W12" s="227"/>
      <c r="X12" s="228"/>
      <c r="Y12" s="229"/>
      <c r="Z12" s="227"/>
      <c r="AA12" s="230"/>
      <c r="AB12" s="229"/>
      <c r="AC12" s="360"/>
      <c r="AD12" s="361"/>
      <c r="AE12" s="362"/>
      <c r="AF12" s="360" t="s">
        <v>1329</v>
      </c>
      <c r="AG12" s="361"/>
      <c r="AH12" s="362"/>
      <c r="AI12" s="198"/>
      <c r="AJ12" s="198"/>
      <c r="AK12" s="198"/>
      <c r="AL12" s="198"/>
      <c r="AM12" s="198"/>
      <c r="AN12" s="198"/>
      <c r="AO12" s="198"/>
      <c r="AP12" s="198"/>
      <c r="AQ12" s="198" t="s">
        <v>1291</v>
      </c>
      <c r="AR12" s="214"/>
      <c r="AS12" s="214"/>
    </row>
    <row r="13" spans="1:45" ht="60" customHeight="1" thickBot="1">
      <c r="A13" s="240"/>
      <c r="B13" s="240"/>
      <c r="C13" s="240"/>
      <c r="D13" s="240"/>
      <c r="E13" s="289"/>
      <c r="F13" s="242"/>
      <c r="G13" s="291"/>
      <c r="H13" s="241"/>
      <c r="I13" s="242"/>
      <c r="J13" s="244"/>
      <c r="K13" s="241"/>
      <c r="L13" s="242"/>
      <c r="M13" s="291"/>
      <c r="N13" s="241"/>
      <c r="O13" s="242"/>
      <c r="P13" s="291"/>
      <c r="Q13" s="289"/>
      <c r="R13" s="242"/>
      <c r="S13" s="291"/>
      <c r="T13" s="241"/>
      <c r="U13" s="242"/>
      <c r="V13" s="291"/>
      <c r="W13" s="253"/>
      <c r="X13" s="251"/>
      <c r="Y13" s="255"/>
      <c r="Z13" s="253"/>
      <c r="AA13" s="251"/>
      <c r="AB13" s="255"/>
      <c r="AC13" s="363"/>
      <c r="AD13" s="364"/>
      <c r="AE13" s="365"/>
      <c r="AF13" s="363" t="s">
        <v>1324</v>
      </c>
      <c r="AG13" s="364"/>
      <c r="AH13" s="365"/>
      <c r="AI13" s="240"/>
      <c r="AJ13" s="240"/>
      <c r="AK13" s="240"/>
      <c r="AL13" s="240"/>
      <c r="AM13" s="240"/>
      <c r="AN13" s="240"/>
      <c r="AO13" s="240"/>
      <c r="AP13" s="240"/>
      <c r="AQ13" s="240"/>
      <c r="AR13" s="187"/>
      <c r="AS13" s="187"/>
    </row>
    <row r="14" spans="1:45" ht="45" customHeight="1"/>
    <row r="15" spans="1:45" s="300" customFormat="1" ht="45" customHeight="1">
      <c r="A15" s="240"/>
      <c r="B15" s="240"/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  <c r="AO15" s="240"/>
      <c r="AP15" s="240"/>
      <c r="AQ15" s="240"/>
      <c r="AR15" s="187"/>
      <c r="AS15" s="187"/>
    </row>
    <row r="16" spans="1:45" s="301" customFormat="1" ht="45" customHeight="1">
      <c r="A16" s="188"/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</row>
    <row r="17" spans="1:46" s="301" customFormat="1" ht="45" customHeight="1">
      <c r="A17" s="240"/>
      <c r="B17" s="240"/>
      <c r="C17" s="240"/>
      <c r="D17" s="240"/>
      <c r="E17" s="240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  <c r="AI17" s="240"/>
      <c r="AJ17" s="240"/>
      <c r="AK17" s="240"/>
      <c r="AL17" s="240"/>
      <c r="AM17" s="240"/>
      <c r="AN17" s="240"/>
      <c r="AO17" s="240"/>
      <c r="AP17" s="240"/>
      <c r="AQ17" s="240"/>
      <c r="AR17" s="187"/>
      <c r="AS17" s="187"/>
    </row>
    <row r="18" spans="1:46" s="301" customFormat="1" ht="4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</row>
    <row r="19" spans="1:46" s="301" customFormat="1" ht="45" customHeight="1">
      <c r="A19" s="240"/>
      <c r="B19" s="240"/>
      <c r="C19" s="240"/>
      <c r="D19" s="240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0"/>
      <c r="AQ19" s="240"/>
      <c r="AR19" s="187"/>
      <c r="AS19" s="187"/>
    </row>
    <row r="20" spans="1:46" ht="45" customHeight="1"/>
    <row r="21" spans="1:46" s="302" customFormat="1" ht="45" customHeight="1">
      <c r="A21" s="240"/>
      <c r="B21" s="240"/>
      <c r="C21" s="240"/>
      <c r="D21" s="240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  <c r="AA21" s="240"/>
      <c r="AB21" s="240"/>
      <c r="AC21" s="240"/>
      <c r="AD21" s="240"/>
      <c r="AE21" s="240"/>
      <c r="AF21" s="240"/>
      <c r="AG21" s="240"/>
      <c r="AH21" s="240"/>
      <c r="AI21" s="240"/>
      <c r="AJ21" s="240"/>
      <c r="AK21" s="240"/>
      <c r="AL21" s="240"/>
      <c r="AM21" s="240"/>
      <c r="AN21" s="240"/>
      <c r="AO21" s="240"/>
      <c r="AP21" s="240"/>
      <c r="AQ21" s="240"/>
      <c r="AR21" s="187"/>
      <c r="AS21" s="187"/>
      <c r="AT21" s="188"/>
    </row>
    <row r="22" spans="1:46" s="302" customFormat="1" ht="45" customHeight="1">
      <c r="A22" s="188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</row>
    <row r="23" spans="1:46" s="303" customFormat="1" ht="45" customHeight="1">
      <c r="A23" s="240"/>
      <c r="B23" s="240"/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0"/>
      <c r="AA23" s="240"/>
      <c r="AB23" s="240"/>
      <c r="AC23" s="240"/>
      <c r="AD23" s="240"/>
      <c r="AE23" s="240"/>
      <c r="AF23" s="240"/>
      <c r="AG23" s="240"/>
      <c r="AH23" s="240"/>
      <c r="AI23" s="240"/>
      <c r="AJ23" s="240"/>
      <c r="AK23" s="240"/>
      <c r="AL23" s="240"/>
      <c r="AM23" s="240"/>
      <c r="AN23" s="240"/>
      <c r="AO23" s="240"/>
      <c r="AP23" s="240"/>
      <c r="AQ23" s="240"/>
      <c r="AR23" s="187"/>
      <c r="AS23" s="187"/>
      <c r="AT23" s="188"/>
    </row>
    <row r="24" spans="1:46" s="302" customFormat="1" ht="4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</row>
    <row r="25" spans="1:46" s="302" customFormat="1" ht="45" customHeight="1">
      <c r="A25" s="240"/>
      <c r="B25" s="240"/>
      <c r="C25" s="240"/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Y25" s="240"/>
      <c r="Z25" s="240"/>
      <c r="AA25" s="240"/>
      <c r="AB25" s="240"/>
      <c r="AC25" s="240"/>
      <c r="AD25" s="240"/>
      <c r="AE25" s="240"/>
      <c r="AF25" s="240"/>
      <c r="AG25" s="240"/>
      <c r="AH25" s="240"/>
      <c r="AI25" s="240"/>
      <c r="AJ25" s="240"/>
      <c r="AK25" s="240"/>
      <c r="AL25" s="240"/>
      <c r="AM25" s="240"/>
      <c r="AN25" s="240"/>
      <c r="AO25" s="240"/>
      <c r="AP25" s="240"/>
      <c r="AQ25" s="240"/>
      <c r="AR25" s="187"/>
      <c r="AS25" s="187"/>
      <c r="AT25" s="188"/>
    </row>
    <row r="26" spans="1:46" s="302" customFormat="1" ht="45" hidden="1" customHeight="1" outlineLevel="1">
      <c r="A26" s="188"/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</row>
    <row r="27" spans="1:46" s="302" customFormat="1" ht="45" hidden="1" customHeight="1" outlineLevel="1">
      <c r="A27" s="240"/>
      <c r="B27" s="240"/>
      <c r="C27" s="240"/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240"/>
      <c r="X27" s="240"/>
      <c r="Y27" s="240"/>
      <c r="Z27" s="240"/>
      <c r="AA27" s="240"/>
      <c r="AB27" s="240"/>
      <c r="AC27" s="240"/>
      <c r="AD27" s="240"/>
      <c r="AE27" s="240"/>
      <c r="AF27" s="240"/>
      <c r="AG27" s="240"/>
      <c r="AH27" s="240"/>
      <c r="AI27" s="240"/>
      <c r="AJ27" s="240"/>
      <c r="AK27" s="240"/>
      <c r="AL27" s="240"/>
      <c r="AM27" s="240"/>
      <c r="AN27" s="240"/>
      <c r="AO27" s="240"/>
      <c r="AP27" s="240"/>
      <c r="AQ27" s="240"/>
      <c r="AR27" s="187"/>
      <c r="AS27" s="187"/>
      <c r="AT27" s="188"/>
    </row>
    <row r="28" spans="1:46" s="302" customFormat="1" ht="45" hidden="1" customHeight="1" outlineLevel="1">
      <c r="A28" s="188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</row>
    <row r="29" spans="1:46" s="302" customFormat="1" ht="45" hidden="1" customHeight="1" outlineLevel="1">
      <c r="A29" s="240"/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240"/>
      <c r="W29" s="240"/>
      <c r="X29" s="240"/>
      <c r="Y29" s="240"/>
      <c r="Z29" s="240"/>
      <c r="AA29" s="240"/>
      <c r="AB29" s="240"/>
      <c r="AC29" s="240"/>
      <c r="AD29" s="240"/>
      <c r="AE29" s="240"/>
      <c r="AF29" s="240"/>
      <c r="AG29" s="240"/>
      <c r="AH29" s="240"/>
      <c r="AI29" s="240"/>
      <c r="AJ29" s="240"/>
      <c r="AK29" s="240"/>
      <c r="AL29" s="240"/>
      <c r="AM29" s="240"/>
      <c r="AN29" s="240"/>
      <c r="AO29" s="240"/>
      <c r="AP29" s="240"/>
      <c r="AQ29" s="240"/>
      <c r="AR29" s="187"/>
      <c r="AS29" s="187"/>
      <c r="AT29" s="188"/>
    </row>
    <row r="30" spans="1:46" s="305" customFormat="1" ht="45" hidden="1" customHeight="1" outlineLevel="1">
      <c r="A30" s="188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</row>
    <row r="31" spans="1:46" s="302" customFormat="1" ht="45" hidden="1" customHeight="1" outlineLevel="1">
      <c r="A31" s="240"/>
      <c r="B31" s="240"/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  <c r="AA31" s="240"/>
      <c r="AB31" s="240"/>
      <c r="AC31" s="240"/>
      <c r="AD31" s="240"/>
      <c r="AE31" s="240"/>
      <c r="AF31" s="240"/>
      <c r="AG31" s="240"/>
      <c r="AH31" s="240"/>
      <c r="AI31" s="240"/>
      <c r="AJ31" s="240"/>
      <c r="AK31" s="240"/>
      <c r="AL31" s="240"/>
      <c r="AM31" s="240"/>
      <c r="AN31" s="240"/>
      <c r="AO31" s="240"/>
      <c r="AP31" s="240"/>
      <c r="AQ31" s="240"/>
      <c r="AR31" s="187"/>
      <c r="AS31" s="187"/>
      <c r="AT31" s="188"/>
    </row>
    <row r="32" spans="1:46" s="302" customFormat="1" ht="45" customHeight="1" outlineLevel="1">
      <c r="A32" s="188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</row>
    <row r="33" spans="1:46" s="302" customFormat="1" ht="45" customHeight="1">
      <c r="A33" s="240"/>
      <c r="B33" s="240"/>
      <c r="C33" s="240"/>
      <c r="D33" s="240"/>
      <c r="E33" s="240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0"/>
      <c r="U33" s="240"/>
      <c r="V33" s="240"/>
      <c r="W33" s="240"/>
      <c r="X33" s="240"/>
      <c r="Y33" s="240"/>
      <c r="Z33" s="240"/>
      <c r="AA33" s="240"/>
      <c r="AB33" s="240"/>
      <c r="AC33" s="240"/>
      <c r="AD33" s="240"/>
      <c r="AE33" s="240"/>
      <c r="AF33" s="240"/>
      <c r="AG33" s="240"/>
      <c r="AH33" s="240"/>
      <c r="AI33" s="240"/>
      <c r="AJ33" s="240"/>
      <c r="AK33" s="240"/>
      <c r="AL33" s="240"/>
      <c r="AM33" s="240"/>
      <c r="AN33" s="240"/>
      <c r="AO33" s="240"/>
      <c r="AP33" s="240"/>
      <c r="AQ33" s="240"/>
      <c r="AR33" s="187"/>
      <c r="AS33" s="187"/>
      <c r="AT33" s="188"/>
    </row>
    <row r="34" spans="1:46" s="302" customFormat="1" ht="45" customHeight="1">
      <c r="A34" s="188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</row>
    <row r="35" spans="1:46" s="302" customFormat="1" ht="45" customHeight="1">
      <c r="A35" s="240"/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/>
      <c r="Z35" s="240"/>
      <c r="AA35" s="240"/>
      <c r="AB35" s="240"/>
      <c r="AC35" s="240"/>
      <c r="AD35" s="240"/>
      <c r="AE35" s="240"/>
      <c r="AF35" s="240"/>
      <c r="AG35" s="240"/>
      <c r="AH35" s="240"/>
      <c r="AI35" s="240"/>
      <c r="AJ35" s="240"/>
      <c r="AK35" s="240"/>
      <c r="AL35" s="240"/>
      <c r="AM35" s="240"/>
      <c r="AN35" s="240"/>
      <c r="AO35" s="240"/>
      <c r="AP35" s="240"/>
      <c r="AQ35" s="240"/>
      <c r="AR35" s="187"/>
      <c r="AS35" s="187"/>
      <c r="AT35" s="188"/>
    </row>
    <row r="36" spans="1:46" s="302" customFormat="1" ht="45" customHeight="1">
      <c r="A36" s="188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</row>
    <row r="37" spans="1:46" s="302" customFormat="1" ht="45" customHeight="1">
      <c r="A37" s="240"/>
      <c r="B37" s="240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0"/>
      <c r="Y37" s="240"/>
      <c r="Z37" s="240"/>
      <c r="AA37" s="240"/>
      <c r="AB37" s="240"/>
      <c r="AC37" s="240"/>
      <c r="AD37" s="240"/>
      <c r="AE37" s="240"/>
      <c r="AF37" s="240"/>
      <c r="AG37" s="240"/>
      <c r="AH37" s="240"/>
      <c r="AI37" s="240"/>
      <c r="AJ37" s="240"/>
      <c r="AK37" s="240"/>
      <c r="AL37" s="240"/>
      <c r="AM37" s="240"/>
      <c r="AN37" s="240"/>
      <c r="AO37" s="240"/>
      <c r="AP37" s="240"/>
      <c r="AQ37" s="240"/>
      <c r="AR37" s="187"/>
      <c r="AS37" s="187"/>
    </row>
    <row r="38" spans="1:46" s="302" customFormat="1" ht="45" customHeight="1">
      <c r="A38" s="188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</row>
    <row r="39" spans="1:46" s="302" customFormat="1" ht="45" customHeight="1">
      <c r="A39" s="240"/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  <c r="AA39" s="240"/>
      <c r="AB39" s="240"/>
      <c r="AC39" s="240"/>
      <c r="AD39" s="240"/>
      <c r="AE39" s="240"/>
      <c r="AF39" s="240"/>
      <c r="AG39" s="240"/>
      <c r="AH39" s="240"/>
      <c r="AI39" s="240"/>
      <c r="AJ39" s="240"/>
      <c r="AK39" s="240"/>
      <c r="AL39" s="240"/>
      <c r="AM39" s="240"/>
      <c r="AN39" s="240"/>
      <c r="AO39" s="240"/>
      <c r="AP39" s="240"/>
      <c r="AQ39" s="240"/>
      <c r="AR39" s="187"/>
      <c r="AS39" s="187"/>
    </row>
    <row r="40" spans="1:46" ht="45" customHeight="1">
      <c r="AT40" s="302"/>
    </row>
    <row r="41" spans="1:46" ht="45" customHeight="1">
      <c r="A41" s="240"/>
      <c r="B41" s="240"/>
      <c r="C41" s="240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  <c r="AA41" s="240"/>
      <c r="AB41" s="240"/>
      <c r="AC41" s="240"/>
      <c r="AD41" s="240"/>
      <c r="AE41" s="240"/>
      <c r="AF41" s="240"/>
      <c r="AG41" s="240"/>
      <c r="AH41" s="240"/>
      <c r="AI41" s="240"/>
      <c r="AJ41" s="240"/>
      <c r="AK41" s="240"/>
      <c r="AL41" s="240"/>
      <c r="AM41" s="240"/>
      <c r="AN41" s="240"/>
      <c r="AO41" s="240"/>
      <c r="AP41" s="240"/>
      <c r="AQ41" s="240"/>
      <c r="AR41" s="187"/>
      <c r="AS41" s="187"/>
      <c r="AT41" s="302"/>
    </row>
    <row r="42" spans="1:46" ht="45" customHeight="1">
      <c r="AT42" s="302"/>
    </row>
    <row r="43" spans="1:46" ht="45" customHeight="1">
      <c r="A43" s="240"/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  <c r="AA43" s="240"/>
      <c r="AB43" s="240"/>
      <c r="AC43" s="240"/>
      <c r="AD43" s="240"/>
      <c r="AE43" s="240"/>
      <c r="AF43" s="240"/>
      <c r="AG43" s="240"/>
      <c r="AH43" s="240"/>
      <c r="AI43" s="240"/>
      <c r="AJ43" s="240"/>
      <c r="AK43" s="240"/>
      <c r="AL43" s="240"/>
      <c r="AM43" s="240"/>
      <c r="AN43" s="240"/>
      <c r="AO43" s="240"/>
      <c r="AP43" s="240"/>
      <c r="AQ43" s="240"/>
      <c r="AR43" s="187"/>
      <c r="AS43" s="187"/>
    </row>
    <row r="44" spans="1:46" ht="45" customHeight="1"/>
    <row r="45" spans="1:46" ht="45" customHeight="1">
      <c r="A45" s="240"/>
      <c r="B45" s="240"/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0"/>
      <c r="X45" s="240"/>
      <c r="Y45" s="240"/>
      <c r="Z45" s="240"/>
      <c r="AA45" s="240"/>
      <c r="AB45" s="240"/>
      <c r="AC45" s="240"/>
      <c r="AD45" s="240"/>
      <c r="AE45" s="240"/>
      <c r="AF45" s="240"/>
      <c r="AG45" s="240"/>
      <c r="AH45" s="240"/>
      <c r="AI45" s="240"/>
      <c r="AJ45" s="240"/>
      <c r="AK45" s="240"/>
      <c r="AL45" s="240"/>
      <c r="AM45" s="240"/>
      <c r="AN45" s="240"/>
      <c r="AO45" s="240"/>
      <c r="AP45" s="240"/>
      <c r="AQ45" s="240"/>
      <c r="AR45" s="187"/>
      <c r="AS45" s="187"/>
    </row>
    <row r="46" spans="1:46" ht="45" customHeight="1"/>
    <row r="47" spans="1:46" ht="45" customHeight="1">
      <c r="A47" s="240"/>
      <c r="B47" s="240"/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  <c r="AB47" s="240"/>
      <c r="AC47" s="240"/>
      <c r="AD47" s="240"/>
      <c r="AE47" s="240"/>
      <c r="AF47" s="240"/>
      <c r="AG47" s="240"/>
      <c r="AH47" s="240"/>
      <c r="AI47" s="240"/>
      <c r="AJ47" s="240"/>
      <c r="AK47" s="240"/>
      <c r="AL47" s="240"/>
      <c r="AM47" s="240"/>
      <c r="AN47" s="240"/>
      <c r="AO47" s="240"/>
      <c r="AP47" s="240"/>
      <c r="AQ47" s="240"/>
      <c r="AR47" s="187"/>
      <c r="AS47" s="187"/>
    </row>
    <row r="48" spans="1:46" ht="45" customHeight="1"/>
    <row r="49" spans="1:45" ht="45" customHeight="1">
      <c r="A49" s="240"/>
      <c r="B49" s="240"/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0"/>
      <c r="AI49" s="240"/>
      <c r="AJ49" s="240"/>
      <c r="AK49" s="240"/>
      <c r="AL49" s="240"/>
      <c r="AM49" s="240"/>
      <c r="AN49" s="240"/>
      <c r="AO49" s="240"/>
      <c r="AP49" s="240"/>
      <c r="AQ49" s="240"/>
      <c r="AR49" s="187"/>
      <c r="AS49" s="187"/>
    </row>
    <row r="50" spans="1:45" ht="45" customHeight="1"/>
    <row r="51" spans="1:45" ht="45" customHeight="1">
      <c r="A51" s="240"/>
      <c r="B51" s="240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  <c r="AA51" s="240"/>
      <c r="AB51" s="240"/>
      <c r="AC51" s="240"/>
      <c r="AD51" s="240"/>
      <c r="AE51" s="240"/>
      <c r="AF51" s="240"/>
      <c r="AG51" s="240"/>
      <c r="AH51" s="240"/>
      <c r="AI51" s="240"/>
      <c r="AJ51" s="240"/>
      <c r="AK51" s="240"/>
      <c r="AL51" s="240"/>
      <c r="AM51" s="240"/>
      <c r="AN51" s="240"/>
      <c r="AO51" s="240"/>
      <c r="AP51" s="240"/>
      <c r="AQ51" s="240"/>
      <c r="AR51" s="187"/>
      <c r="AS51" s="187"/>
    </row>
    <row r="52" spans="1:45" ht="45" customHeight="1"/>
    <row r="53" spans="1:45" ht="45" customHeight="1">
      <c r="A53" s="240"/>
      <c r="B53" s="240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  <c r="Z53" s="240"/>
      <c r="AA53" s="240"/>
      <c r="AB53" s="240"/>
      <c r="AC53" s="240"/>
      <c r="AD53" s="240"/>
      <c r="AE53" s="240"/>
      <c r="AF53" s="240"/>
      <c r="AG53" s="240"/>
      <c r="AH53" s="240"/>
      <c r="AI53" s="240"/>
      <c r="AJ53" s="240"/>
      <c r="AK53" s="240"/>
      <c r="AL53" s="240"/>
      <c r="AM53" s="240"/>
      <c r="AN53" s="240"/>
      <c r="AO53" s="240"/>
      <c r="AP53" s="240"/>
      <c r="AQ53" s="240"/>
      <c r="AR53" s="187"/>
      <c r="AS53" s="187"/>
    </row>
    <row r="54" spans="1:45" ht="45" customHeight="1"/>
    <row r="55" spans="1:45" ht="45" customHeight="1">
      <c r="A55" s="240"/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0"/>
      <c r="AI55" s="240"/>
      <c r="AJ55" s="240"/>
      <c r="AK55" s="240"/>
      <c r="AL55" s="240"/>
      <c r="AM55" s="240"/>
      <c r="AN55" s="240"/>
      <c r="AO55" s="240"/>
      <c r="AP55" s="240"/>
      <c r="AQ55" s="240"/>
      <c r="AR55" s="187"/>
      <c r="AS55" s="187"/>
    </row>
    <row r="56" spans="1:45" ht="45" customHeight="1"/>
    <row r="57" spans="1:45" ht="45" customHeight="1">
      <c r="A57" s="240"/>
      <c r="B57" s="240"/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0"/>
      <c r="AA57" s="240"/>
      <c r="AB57" s="240"/>
      <c r="AC57" s="240"/>
      <c r="AD57" s="240"/>
      <c r="AE57" s="240"/>
      <c r="AF57" s="240"/>
      <c r="AG57" s="240"/>
      <c r="AH57" s="240"/>
      <c r="AI57" s="240"/>
      <c r="AJ57" s="240"/>
      <c r="AK57" s="240"/>
      <c r="AL57" s="240"/>
      <c r="AM57" s="240"/>
      <c r="AN57" s="240"/>
      <c r="AO57" s="240"/>
      <c r="AP57" s="240"/>
      <c r="AQ57" s="240"/>
      <c r="AR57" s="187"/>
      <c r="AS57" s="187"/>
    </row>
    <row r="58" spans="1:45" ht="46.5" customHeight="1"/>
    <row r="59" spans="1:45" ht="54" customHeight="1">
      <c r="A59" s="240"/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  <c r="AA59" s="240"/>
      <c r="AB59" s="240"/>
      <c r="AC59" s="240"/>
      <c r="AD59" s="240"/>
      <c r="AE59" s="240"/>
      <c r="AF59" s="240"/>
      <c r="AG59" s="240"/>
      <c r="AH59" s="240"/>
      <c r="AI59" s="240"/>
      <c r="AJ59" s="240"/>
      <c r="AK59" s="240"/>
      <c r="AL59" s="240"/>
      <c r="AM59" s="240"/>
      <c r="AN59" s="240"/>
      <c r="AO59" s="240"/>
      <c r="AP59" s="240"/>
      <c r="AQ59" s="240"/>
      <c r="AR59" s="187"/>
      <c r="AS59" s="187"/>
    </row>
    <row r="60" spans="1:45" ht="54" customHeight="1"/>
    <row r="61" spans="1:45" ht="54" customHeight="1">
      <c r="A61" s="240"/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  <c r="AA61" s="240"/>
      <c r="AB61" s="240"/>
      <c r="AC61" s="240"/>
      <c r="AD61" s="240"/>
      <c r="AE61" s="240"/>
      <c r="AF61" s="240"/>
      <c r="AG61" s="240"/>
      <c r="AH61" s="240"/>
      <c r="AI61" s="240"/>
      <c r="AJ61" s="240"/>
      <c r="AK61" s="240"/>
      <c r="AL61" s="240"/>
      <c r="AM61" s="240"/>
      <c r="AN61" s="240"/>
      <c r="AO61" s="240"/>
      <c r="AP61" s="240"/>
      <c r="AQ61" s="240"/>
      <c r="AR61" s="187"/>
      <c r="AS61" s="187"/>
    </row>
    <row r="63" spans="1:45" ht="25.5">
      <c r="A63" s="240"/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  <c r="Z63" s="240"/>
      <c r="AA63" s="240"/>
      <c r="AB63" s="240"/>
      <c r="AC63" s="240"/>
      <c r="AD63" s="240"/>
      <c r="AE63" s="240"/>
      <c r="AF63" s="240"/>
      <c r="AG63" s="240"/>
      <c r="AH63" s="240"/>
      <c r="AI63" s="240"/>
      <c r="AJ63" s="240"/>
      <c r="AK63" s="240"/>
      <c r="AL63" s="240"/>
      <c r="AM63" s="240"/>
      <c r="AN63" s="240"/>
      <c r="AO63" s="240"/>
      <c r="AP63" s="240"/>
      <c r="AQ63" s="240"/>
      <c r="AR63" s="187"/>
      <c r="AS63" s="187"/>
    </row>
    <row r="65" spans="1:45" ht="25.5">
      <c r="A65" s="240"/>
      <c r="B65" s="240"/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  <c r="Z65" s="240"/>
      <c r="AA65" s="240"/>
      <c r="AB65" s="240"/>
      <c r="AC65" s="240"/>
      <c r="AD65" s="240"/>
      <c r="AE65" s="240"/>
      <c r="AF65" s="240"/>
      <c r="AG65" s="240"/>
      <c r="AH65" s="240"/>
      <c r="AI65" s="240"/>
      <c r="AJ65" s="240"/>
      <c r="AK65" s="240"/>
      <c r="AL65" s="240"/>
      <c r="AM65" s="240"/>
      <c r="AN65" s="240"/>
      <c r="AO65" s="240"/>
      <c r="AP65" s="240"/>
      <c r="AQ65" s="240"/>
      <c r="AR65" s="187"/>
      <c r="AS65" s="187"/>
    </row>
    <row r="67" spans="1:45" ht="25.5">
      <c r="A67" s="240"/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  <c r="Z67" s="240"/>
      <c r="AA67" s="240"/>
      <c r="AB67" s="240"/>
      <c r="AC67" s="240"/>
      <c r="AD67" s="240"/>
      <c r="AE67" s="240"/>
      <c r="AF67" s="240"/>
      <c r="AG67" s="240"/>
      <c r="AH67" s="240"/>
      <c r="AI67" s="240"/>
      <c r="AJ67" s="240"/>
      <c r="AK67" s="240"/>
      <c r="AL67" s="240"/>
      <c r="AM67" s="240"/>
      <c r="AN67" s="240"/>
      <c r="AO67" s="240"/>
      <c r="AP67" s="240"/>
      <c r="AQ67" s="240"/>
      <c r="AR67" s="187"/>
      <c r="AS67" s="187"/>
    </row>
    <row r="69" spans="1:45" ht="25.5">
      <c r="A69" s="240"/>
      <c r="B69" s="240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  <c r="Z69" s="240"/>
      <c r="AA69" s="240"/>
      <c r="AB69" s="240"/>
      <c r="AC69" s="240"/>
      <c r="AD69" s="240"/>
      <c r="AE69" s="240"/>
      <c r="AF69" s="240"/>
      <c r="AG69" s="240"/>
      <c r="AH69" s="240"/>
      <c r="AI69" s="240"/>
      <c r="AJ69" s="240"/>
      <c r="AK69" s="240"/>
      <c r="AL69" s="240"/>
      <c r="AM69" s="240"/>
      <c r="AN69" s="240"/>
      <c r="AO69" s="240"/>
      <c r="AP69" s="240"/>
      <c r="AQ69" s="240"/>
      <c r="AR69" s="187"/>
      <c r="AS69" s="187"/>
    </row>
    <row r="71" spans="1:45" ht="25.5">
      <c r="A71" s="240"/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0"/>
      <c r="AA71" s="240"/>
      <c r="AB71" s="240"/>
      <c r="AC71" s="240"/>
      <c r="AD71" s="240"/>
      <c r="AE71" s="240"/>
      <c r="AF71" s="240"/>
      <c r="AG71" s="240"/>
      <c r="AH71" s="240"/>
      <c r="AI71" s="240"/>
      <c r="AJ71" s="240"/>
      <c r="AK71" s="240"/>
      <c r="AL71" s="240"/>
      <c r="AM71" s="240"/>
      <c r="AN71" s="240"/>
      <c r="AO71" s="240"/>
      <c r="AP71" s="240"/>
      <c r="AQ71" s="240"/>
      <c r="AR71" s="187"/>
      <c r="AS71" s="187"/>
    </row>
    <row r="73" spans="1:45" ht="45" customHeight="1">
      <c r="A73" s="240"/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0"/>
      <c r="X73" s="240"/>
      <c r="Y73" s="240"/>
      <c r="Z73" s="240"/>
      <c r="AA73" s="240"/>
      <c r="AB73" s="240"/>
      <c r="AC73" s="240"/>
      <c r="AD73" s="240"/>
      <c r="AE73" s="240"/>
      <c r="AF73" s="240"/>
      <c r="AG73" s="240"/>
      <c r="AH73" s="240"/>
      <c r="AI73" s="240"/>
      <c r="AJ73" s="240"/>
      <c r="AK73" s="240"/>
      <c r="AL73" s="240"/>
      <c r="AM73" s="240"/>
      <c r="AN73" s="240"/>
      <c r="AO73" s="240"/>
      <c r="AP73" s="240"/>
      <c r="AQ73" s="240"/>
      <c r="AR73" s="187"/>
      <c r="AS73" s="187"/>
    </row>
    <row r="74" spans="1:45" ht="45" customHeight="1"/>
    <row r="75" spans="1:45" ht="45" customHeight="1">
      <c r="A75" s="240"/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0"/>
      <c r="W75" s="240"/>
      <c r="X75" s="240"/>
      <c r="Y75" s="240"/>
      <c r="Z75" s="240"/>
      <c r="AA75" s="240"/>
      <c r="AB75" s="240"/>
      <c r="AC75" s="240"/>
      <c r="AD75" s="240"/>
      <c r="AE75" s="240"/>
      <c r="AF75" s="240"/>
      <c r="AG75" s="240"/>
      <c r="AH75" s="240"/>
      <c r="AI75" s="240"/>
      <c r="AJ75" s="240"/>
      <c r="AK75" s="240"/>
      <c r="AL75" s="240"/>
      <c r="AM75" s="240"/>
      <c r="AN75" s="240"/>
      <c r="AO75" s="240"/>
      <c r="AP75" s="240"/>
      <c r="AQ75" s="240"/>
      <c r="AR75" s="187"/>
      <c r="AS75" s="187"/>
    </row>
    <row r="76" spans="1:45" ht="45" customHeight="1"/>
    <row r="77" spans="1:45" ht="25.5">
      <c r="A77" s="240"/>
      <c r="B77" s="240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  <c r="Z77" s="240"/>
      <c r="AA77" s="240"/>
      <c r="AB77" s="240"/>
      <c r="AC77" s="240"/>
      <c r="AD77" s="240"/>
      <c r="AE77" s="240"/>
      <c r="AF77" s="240"/>
      <c r="AG77" s="240"/>
      <c r="AH77" s="240"/>
      <c r="AI77" s="240"/>
      <c r="AJ77" s="240"/>
      <c r="AK77" s="240"/>
      <c r="AL77" s="240"/>
      <c r="AM77" s="240"/>
      <c r="AN77" s="240"/>
      <c r="AO77" s="240"/>
      <c r="AP77" s="240"/>
      <c r="AQ77" s="240"/>
      <c r="AR77" s="187"/>
      <c r="AS77" s="187"/>
    </row>
    <row r="79" spans="1:45" ht="25.5">
      <c r="A79" s="240"/>
      <c r="B79" s="240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0"/>
      <c r="AA79" s="240"/>
      <c r="AB79" s="240"/>
      <c r="AC79" s="240"/>
      <c r="AD79" s="240"/>
      <c r="AE79" s="240"/>
      <c r="AF79" s="240"/>
      <c r="AG79" s="240"/>
      <c r="AH79" s="240"/>
      <c r="AI79" s="240"/>
      <c r="AJ79" s="240"/>
      <c r="AK79" s="240"/>
      <c r="AL79" s="240"/>
      <c r="AM79" s="240"/>
      <c r="AN79" s="240"/>
      <c r="AO79" s="240"/>
      <c r="AP79" s="240"/>
      <c r="AQ79" s="240"/>
      <c r="AR79" s="187"/>
      <c r="AS79" s="187"/>
    </row>
    <row r="81" spans="1:45" ht="25.5">
      <c r="A81" s="240"/>
      <c r="B81" s="240"/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0"/>
      <c r="V81" s="240"/>
      <c r="W81" s="240"/>
      <c r="X81" s="240"/>
      <c r="Y81" s="240"/>
      <c r="Z81" s="240"/>
      <c r="AA81" s="240"/>
      <c r="AB81" s="240"/>
      <c r="AC81" s="240"/>
      <c r="AD81" s="240"/>
      <c r="AE81" s="240"/>
      <c r="AF81" s="240"/>
      <c r="AG81" s="240"/>
      <c r="AH81" s="240"/>
      <c r="AI81" s="240"/>
      <c r="AJ81" s="240"/>
      <c r="AK81" s="240"/>
      <c r="AL81" s="240"/>
      <c r="AM81" s="240"/>
      <c r="AN81" s="240"/>
      <c r="AO81" s="240"/>
      <c r="AP81" s="240"/>
      <c r="AQ81" s="240"/>
      <c r="AR81" s="187"/>
      <c r="AS81" s="187"/>
    </row>
    <row r="83" spans="1:45" ht="25.5">
      <c r="A83" s="240"/>
      <c r="B83" s="240"/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240"/>
      <c r="X83" s="240"/>
      <c r="Y83" s="240"/>
      <c r="Z83" s="240"/>
      <c r="AA83" s="240"/>
      <c r="AB83" s="240"/>
      <c r="AC83" s="240"/>
      <c r="AD83" s="240"/>
      <c r="AE83" s="240"/>
      <c r="AF83" s="240"/>
      <c r="AG83" s="240"/>
      <c r="AH83" s="240"/>
      <c r="AI83" s="240"/>
      <c r="AJ83" s="240"/>
      <c r="AK83" s="240"/>
      <c r="AL83" s="240"/>
      <c r="AM83" s="240"/>
      <c r="AN83" s="240"/>
      <c r="AO83" s="240"/>
      <c r="AP83" s="240"/>
      <c r="AQ83" s="240"/>
      <c r="AR83" s="187"/>
      <c r="AS83" s="187"/>
    </row>
    <row r="85" spans="1:45" ht="25.5">
      <c r="A85" s="240"/>
      <c r="B85" s="240"/>
      <c r="C85" s="240"/>
      <c r="D85" s="240"/>
      <c r="E85" s="240"/>
      <c r="F85" s="240"/>
      <c r="G85" s="240"/>
      <c r="H85" s="240"/>
      <c r="I85" s="240"/>
      <c r="J85" s="240"/>
      <c r="K85" s="240"/>
      <c r="L85" s="240"/>
      <c r="M85" s="240"/>
      <c r="N85" s="240"/>
      <c r="O85" s="240"/>
      <c r="P85" s="240"/>
      <c r="Q85" s="240"/>
      <c r="R85" s="240"/>
      <c r="S85" s="240"/>
      <c r="T85" s="240"/>
      <c r="U85" s="240"/>
      <c r="V85" s="240"/>
      <c r="W85" s="240"/>
      <c r="X85" s="240"/>
      <c r="Y85" s="240"/>
      <c r="Z85" s="240"/>
      <c r="AA85" s="240"/>
      <c r="AB85" s="240"/>
      <c r="AC85" s="240"/>
      <c r="AD85" s="240"/>
      <c r="AE85" s="240"/>
      <c r="AF85" s="240"/>
      <c r="AG85" s="240"/>
      <c r="AH85" s="240"/>
      <c r="AI85" s="240"/>
      <c r="AJ85" s="240"/>
      <c r="AK85" s="240"/>
      <c r="AL85" s="240"/>
      <c r="AM85" s="240"/>
      <c r="AN85" s="240"/>
      <c r="AO85" s="240"/>
      <c r="AP85" s="240"/>
      <c r="AQ85" s="240"/>
      <c r="AR85" s="187"/>
      <c r="AS85" s="187"/>
    </row>
    <row r="87" spans="1:45" ht="25.5">
      <c r="A87" s="240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240"/>
      <c r="AH87" s="240"/>
      <c r="AI87" s="240"/>
      <c r="AJ87" s="240"/>
      <c r="AK87" s="240"/>
      <c r="AL87" s="240"/>
      <c r="AM87" s="240"/>
      <c r="AN87" s="240"/>
      <c r="AO87" s="240"/>
      <c r="AP87" s="240"/>
      <c r="AQ87" s="240"/>
      <c r="AR87" s="187"/>
      <c r="AS87" s="187"/>
    </row>
    <row r="89" spans="1:45" ht="25.5">
      <c r="A89" s="240"/>
      <c r="B89" s="240"/>
      <c r="C89" s="240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40"/>
      <c r="Q89" s="240"/>
      <c r="R89" s="240"/>
      <c r="S89" s="240"/>
      <c r="T89" s="240"/>
      <c r="U89" s="240"/>
      <c r="V89" s="240"/>
      <c r="W89" s="240"/>
      <c r="X89" s="240"/>
      <c r="Y89" s="240"/>
      <c r="Z89" s="240"/>
      <c r="AA89" s="240"/>
      <c r="AB89" s="240"/>
      <c r="AC89" s="240"/>
      <c r="AD89" s="240"/>
      <c r="AE89" s="240"/>
      <c r="AF89" s="240"/>
      <c r="AG89" s="240"/>
      <c r="AH89" s="240"/>
      <c r="AI89" s="240"/>
      <c r="AJ89" s="240"/>
      <c r="AK89" s="240"/>
      <c r="AL89" s="240"/>
      <c r="AM89" s="240"/>
      <c r="AN89" s="240"/>
      <c r="AO89" s="240"/>
      <c r="AP89" s="240"/>
      <c r="AQ89" s="240"/>
      <c r="AR89" s="187"/>
      <c r="AS89" s="187"/>
    </row>
    <row r="91" spans="1:45" ht="25.5">
      <c r="A91" s="240"/>
      <c r="B91" s="240"/>
      <c r="C91" s="240"/>
      <c r="D91" s="240"/>
      <c r="E91" s="240"/>
      <c r="F91" s="240"/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  <c r="Z91" s="240"/>
      <c r="AA91" s="240"/>
      <c r="AB91" s="240"/>
      <c r="AC91" s="240"/>
      <c r="AD91" s="240"/>
      <c r="AE91" s="240"/>
      <c r="AF91" s="240"/>
      <c r="AG91" s="240"/>
      <c r="AH91" s="240"/>
      <c r="AI91" s="240"/>
      <c r="AJ91" s="240"/>
      <c r="AK91" s="240"/>
      <c r="AL91" s="240"/>
      <c r="AM91" s="240"/>
      <c r="AN91" s="240"/>
      <c r="AO91" s="240"/>
      <c r="AP91" s="240"/>
      <c r="AQ91" s="240"/>
      <c r="AR91" s="187"/>
      <c r="AS91" s="187"/>
    </row>
    <row r="93" spans="1:45" ht="25.5">
      <c r="A93" s="240"/>
      <c r="B93" s="240"/>
      <c r="C93" s="240"/>
      <c r="D93" s="240"/>
      <c r="E93" s="240"/>
      <c r="F93" s="240"/>
      <c r="G93" s="240"/>
      <c r="H93" s="240"/>
      <c r="I93" s="240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0"/>
      <c r="V93" s="240"/>
      <c r="W93" s="240"/>
      <c r="X93" s="240"/>
      <c r="Y93" s="240"/>
      <c r="Z93" s="240"/>
      <c r="AA93" s="240"/>
      <c r="AB93" s="240"/>
      <c r="AC93" s="240"/>
      <c r="AD93" s="240"/>
      <c r="AE93" s="240"/>
      <c r="AF93" s="240"/>
      <c r="AG93" s="240"/>
      <c r="AH93" s="240"/>
      <c r="AI93" s="240"/>
      <c r="AJ93" s="240"/>
      <c r="AK93" s="240"/>
      <c r="AL93" s="240"/>
      <c r="AM93" s="240"/>
      <c r="AN93" s="240"/>
      <c r="AO93" s="240"/>
      <c r="AP93" s="240"/>
      <c r="AQ93" s="240"/>
      <c r="AR93" s="187"/>
      <c r="AS93" s="187"/>
    </row>
    <row r="95" spans="1:45" ht="25.5">
      <c r="A95" s="240"/>
      <c r="B95" s="240"/>
      <c r="C95" s="240"/>
      <c r="D95" s="240"/>
      <c r="E95" s="240"/>
      <c r="F95" s="240"/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  <c r="Z95" s="240"/>
      <c r="AA95" s="240"/>
      <c r="AB95" s="240"/>
      <c r="AC95" s="240"/>
      <c r="AD95" s="240"/>
      <c r="AE95" s="240"/>
      <c r="AF95" s="240"/>
      <c r="AG95" s="240"/>
      <c r="AH95" s="240"/>
      <c r="AI95" s="240"/>
      <c r="AJ95" s="240"/>
      <c r="AK95" s="240"/>
      <c r="AL95" s="240"/>
      <c r="AM95" s="240"/>
      <c r="AN95" s="240"/>
      <c r="AO95" s="240"/>
      <c r="AP95" s="240"/>
      <c r="AQ95" s="240"/>
      <c r="AR95" s="187"/>
      <c r="AS95" s="187"/>
    </row>
    <row r="97" spans="1:45" ht="25.5">
      <c r="A97" s="240"/>
      <c r="B97" s="240"/>
      <c r="C97" s="240"/>
      <c r="D97" s="240"/>
      <c r="E97" s="240"/>
      <c r="F97" s="240"/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  <c r="Z97" s="240"/>
      <c r="AA97" s="240"/>
      <c r="AB97" s="240"/>
      <c r="AC97" s="240"/>
      <c r="AD97" s="240"/>
      <c r="AE97" s="240"/>
      <c r="AF97" s="240"/>
      <c r="AG97" s="240"/>
      <c r="AH97" s="240"/>
      <c r="AI97" s="240"/>
      <c r="AJ97" s="240"/>
      <c r="AK97" s="240"/>
      <c r="AL97" s="240"/>
      <c r="AM97" s="240"/>
      <c r="AN97" s="240"/>
      <c r="AO97" s="240"/>
      <c r="AP97" s="240"/>
      <c r="AQ97" s="240"/>
      <c r="AR97" s="187"/>
      <c r="AS97" s="187"/>
    </row>
    <row r="99" spans="1:45" ht="25.5">
      <c r="A99" s="240"/>
      <c r="B99" s="240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0"/>
      <c r="AA99" s="240"/>
      <c r="AB99" s="240"/>
      <c r="AC99" s="240"/>
      <c r="AD99" s="240"/>
      <c r="AE99" s="240"/>
      <c r="AF99" s="240"/>
      <c r="AG99" s="240"/>
      <c r="AH99" s="240"/>
      <c r="AI99" s="240"/>
      <c r="AJ99" s="240"/>
      <c r="AK99" s="240"/>
      <c r="AL99" s="240"/>
      <c r="AM99" s="240"/>
      <c r="AN99" s="240"/>
      <c r="AO99" s="240"/>
      <c r="AP99" s="240"/>
      <c r="AQ99" s="240"/>
      <c r="AR99" s="187"/>
      <c r="AS99" s="187"/>
    </row>
    <row r="101" spans="1:45" ht="25.5">
      <c r="A101" s="240"/>
      <c r="B101" s="240"/>
      <c r="C101" s="240"/>
      <c r="D101" s="240"/>
      <c r="E101" s="240"/>
      <c r="F101" s="240"/>
      <c r="G101" s="240"/>
      <c r="H101" s="240"/>
      <c r="I101" s="240"/>
      <c r="J101" s="240"/>
      <c r="K101" s="240"/>
      <c r="L101" s="240"/>
      <c r="M101" s="240"/>
      <c r="N101" s="240"/>
      <c r="O101" s="240"/>
      <c r="P101" s="240"/>
      <c r="Q101" s="240"/>
      <c r="R101" s="240"/>
      <c r="S101" s="240"/>
      <c r="T101" s="240"/>
      <c r="U101" s="240"/>
      <c r="V101" s="240"/>
      <c r="W101" s="240"/>
      <c r="X101" s="240"/>
      <c r="Y101" s="240"/>
      <c r="Z101" s="240"/>
      <c r="AA101" s="240"/>
      <c r="AB101" s="240"/>
      <c r="AC101" s="240"/>
      <c r="AD101" s="240"/>
      <c r="AE101" s="240"/>
      <c r="AF101" s="240"/>
      <c r="AG101" s="240"/>
      <c r="AH101" s="240"/>
      <c r="AI101" s="240"/>
      <c r="AJ101" s="240"/>
      <c r="AK101" s="240"/>
      <c r="AL101" s="240"/>
      <c r="AM101" s="240"/>
      <c r="AN101" s="240"/>
      <c r="AO101" s="240"/>
      <c r="AP101" s="240"/>
      <c r="AQ101" s="240"/>
      <c r="AR101" s="187"/>
      <c r="AS101" s="187"/>
    </row>
    <row r="103" spans="1:45" ht="25.5">
      <c r="A103" s="240"/>
      <c r="B103" s="240"/>
      <c r="C103" s="240"/>
      <c r="D103" s="240"/>
      <c r="E103" s="240"/>
      <c r="F103" s="240"/>
      <c r="G103" s="240"/>
      <c r="H103" s="240"/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  <c r="Z103" s="240"/>
      <c r="AA103" s="240"/>
      <c r="AB103" s="240"/>
      <c r="AC103" s="240"/>
      <c r="AD103" s="240"/>
      <c r="AE103" s="240"/>
      <c r="AF103" s="240"/>
      <c r="AG103" s="240"/>
      <c r="AH103" s="240"/>
      <c r="AI103" s="240"/>
      <c r="AJ103" s="240"/>
      <c r="AK103" s="240"/>
      <c r="AL103" s="240"/>
      <c r="AM103" s="240"/>
      <c r="AN103" s="240"/>
      <c r="AO103" s="240"/>
      <c r="AP103" s="240"/>
      <c r="AQ103" s="240"/>
      <c r="AR103" s="187"/>
      <c r="AS103" s="187"/>
    </row>
    <row r="105" spans="1:45" ht="25.5">
      <c r="A105" s="240"/>
      <c r="B105" s="240"/>
      <c r="C105" s="240"/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40"/>
      <c r="P105" s="240"/>
      <c r="Q105" s="240"/>
      <c r="R105" s="240"/>
      <c r="S105" s="240"/>
      <c r="T105" s="240"/>
      <c r="U105" s="240"/>
      <c r="V105" s="240"/>
      <c r="W105" s="240"/>
      <c r="X105" s="240"/>
      <c r="Y105" s="240"/>
      <c r="Z105" s="240"/>
      <c r="AA105" s="240"/>
      <c r="AB105" s="240"/>
      <c r="AC105" s="240"/>
      <c r="AD105" s="240"/>
      <c r="AE105" s="240"/>
      <c r="AF105" s="240"/>
      <c r="AG105" s="240"/>
      <c r="AH105" s="240"/>
      <c r="AI105" s="240"/>
      <c r="AJ105" s="240"/>
      <c r="AK105" s="240"/>
      <c r="AL105" s="240"/>
      <c r="AM105" s="240"/>
      <c r="AN105" s="240"/>
      <c r="AO105" s="240"/>
      <c r="AP105" s="240"/>
      <c r="AQ105" s="240"/>
      <c r="AR105" s="187"/>
      <c r="AS105" s="187"/>
    </row>
    <row r="107" spans="1:45" ht="25.5">
      <c r="A107" s="240"/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  <c r="Z107" s="240"/>
      <c r="AA107" s="240"/>
      <c r="AB107" s="240"/>
      <c r="AC107" s="240"/>
      <c r="AD107" s="240"/>
      <c r="AE107" s="240"/>
      <c r="AF107" s="240"/>
      <c r="AG107" s="240"/>
      <c r="AH107" s="240"/>
      <c r="AI107" s="240"/>
      <c r="AJ107" s="240"/>
      <c r="AK107" s="240"/>
      <c r="AL107" s="240"/>
      <c r="AM107" s="240"/>
      <c r="AN107" s="240"/>
      <c r="AO107" s="240"/>
      <c r="AP107" s="240"/>
      <c r="AQ107" s="240"/>
      <c r="AR107" s="187"/>
      <c r="AS107" s="187"/>
    </row>
    <row r="109" spans="1:45" ht="25.5">
      <c r="A109" s="240"/>
      <c r="B109" s="240"/>
      <c r="C109" s="240"/>
      <c r="D109" s="240"/>
      <c r="E109" s="240"/>
      <c r="F109" s="240"/>
      <c r="G109" s="240"/>
      <c r="H109" s="240"/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0"/>
      <c r="AA109" s="240"/>
      <c r="AB109" s="240"/>
      <c r="AC109" s="240"/>
      <c r="AD109" s="240"/>
      <c r="AE109" s="240"/>
      <c r="AF109" s="240"/>
      <c r="AG109" s="240"/>
      <c r="AH109" s="240"/>
      <c r="AI109" s="240"/>
      <c r="AJ109" s="240"/>
      <c r="AK109" s="240"/>
      <c r="AL109" s="240"/>
      <c r="AM109" s="240"/>
      <c r="AN109" s="240"/>
      <c r="AO109" s="240"/>
      <c r="AP109" s="240"/>
      <c r="AQ109" s="240"/>
      <c r="AR109" s="187"/>
      <c r="AS109" s="187"/>
    </row>
    <row r="111" spans="1:45" ht="25.5">
      <c r="A111" s="240"/>
      <c r="B111" s="240"/>
      <c r="C111" s="240"/>
      <c r="D111" s="240"/>
      <c r="E111" s="240"/>
      <c r="F111" s="240"/>
      <c r="G111" s="240"/>
      <c r="H111" s="240"/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  <c r="Z111" s="240"/>
      <c r="AA111" s="240"/>
      <c r="AB111" s="240"/>
      <c r="AC111" s="240"/>
      <c r="AD111" s="240"/>
      <c r="AE111" s="240"/>
      <c r="AF111" s="240"/>
      <c r="AG111" s="240"/>
      <c r="AH111" s="240"/>
      <c r="AI111" s="240"/>
      <c r="AJ111" s="240"/>
      <c r="AK111" s="240"/>
      <c r="AL111" s="240"/>
      <c r="AM111" s="240"/>
      <c r="AN111" s="240"/>
      <c r="AO111" s="240"/>
      <c r="AP111" s="240"/>
      <c r="AQ111" s="240"/>
      <c r="AR111" s="187"/>
      <c r="AS111" s="187"/>
    </row>
    <row r="113" spans="1:45" ht="25.5">
      <c r="A113" s="240"/>
      <c r="B113" s="240"/>
      <c r="C113" s="240"/>
      <c r="D113" s="240"/>
      <c r="E113" s="240"/>
      <c r="F113" s="240"/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  <c r="Z113" s="240"/>
      <c r="AA113" s="240"/>
      <c r="AB113" s="240"/>
      <c r="AC113" s="240"/>
      <c r="AD113" s="240"/>
      <c r="AE113" s="240"/>
      <c r="AF113" s="240"/>
      <c r="AG113" s="240"/>
      <c r="AH113" s="240"/>
      <c r="AI113" s="240"/>
      <c r="AJ113" s="240"/>
      <c r="AK113" s="240"/>
      <c r="AL113" s="240"/>
      <c r="AM113" s="240"/>
      <c r="AN113" s="240"/>
      <c r="AO113" s="240"/>
      <c r="AP113" s="240"/>
      <c r="AQ113" s="240"/>
      <c r="AR113" s="187"/>
      <c r="AS113" s="187"/>
    </row>
    <row r="115" spans="1:45" ht="25.5">
      <c r="A115" s="240"/>
      <c r="B115" s="240"/>
      <c r="C115" s="240"/>
      <c r="D115" s="240"/>
      <c r="E115" s="240"/>
      <c r="F115" s="240"/>
      <c r="G115" s="240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  <c r="Z115" s="240"/>
      <c r="AA115" s="240"/>
      <c r="AB115" s="240"/>
      <c r="AC115" s="240"/>
      <c r="AD115" s="240"/>
      <c r="AE115" s="240"/>
      <c r="AF115" s="240"/>
      <c r="AG115" s="240"/>
      <c r="AH115" s="240"/>
      <c r="AI115" s="240"/>
      <c r="AJ115" s="240"/>
      <c r="AK115" s="240"/>
      <c r="AL115" s="240"/>
      <c r="AM115" s="240"/>
      <c r="AN115" s="240"/>
      <c r="AO115" s="240"/>
      <c r="AP115" s="240"/>
      <c r="AQ115" s="240"/>
      <c r="AR115" s="187"/>
      <c r="AS115" s="187"/>
    </row>
    <row r="117" spans="1:45" ht="25.5">
      <c r="A117" s="240"/>
      <c r="B117" s="240"/>
      <c r="C117" s="240"/>
      <c r="D117" s="240"/>
      <c r="E117" s="240"/>
      <c r="F117" s="240"/>
      <c r="G117" s="240"/>
      <c r="H117" s="240"/>
      <c r="I117" s="240"/>
      <c r="J117" s="240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  <c r="Y117" s="240"/>
      <c r="Z117" s="240"/>
      <c r="AA117" s="240"/>
      <c r="AB117" s="240"/>
      <c r="AC117" s="240"/>
      <c r="AD117" s="240"/>
      <c r="AE117" s="240"/>
      <c r="AF117" s="240"/>
      <c r="AG117" s="240"/>
      <c r="AH117" s="240"/>
      <c r="AI117" s="240"/>
      <c r="AJ117" s="240"/>
      <c r="AK117" s="240"/>
      <c r="AL117" s="240"/>
      <c r="AM117" s="240"/>
      <c r="AN117" s="240"/>
      <c r="AO117" s="240"/>
      <c r="AP117" s="240"/>
      <c r="AQ117" s="240"/>
      <c r="AR117" s="187"/>
      <c r="AS117" s="187"/>
    </row>
    <row r="119" spans="1:45" ht="25.5">
      <c r="A119" s="240"/>
      <c r="B119" s="240"/>
      <c r="C119" s="240"/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  <c r="Z119" s="240"/>
      <c r="AA119" s="240"/>
      <c r="AB119" s="240"/>
      <c r="AC119" s="240"/>
      <c r="AD119" s="240"/>
      <c r="AE119" s="240"/>
      <c r="AF119" s="240"/>
      <c r="AG119" s="240"/>
      <c r="AH119" s="240"/>
      <c r="AI119" s="240"/>
      <c r="AJ119" s="240"/>
      <c r="AK119" s="240"/>
      <c r="AL119" s="240"/>
      <c r="AM119" s="240"/>
      <c r="AN119" s="240"/>
      <c r="AO119" s="240"/>
      <c r="AP119" s="240"/>
      <c r="AQ119" s="240"/>
      <c r="AR119" s="187"/>
      <c r="AS119" s="187"/>
    </row>
    <row r="121" spans="1:45" ht="25.5">
      <c r="A121" s="240"/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0"/>
      <c r="W121" s="240"/>
      <c r="X121" s="240"/>
      <c r="Y121" s="240"/>
      <c r="Z121" s="240"/>
      <c r="AA121" s="240"/>
      <c r="AB121" s="240"/>
      <c r="AC121" s="240"/>
      <c r="AD121" s="240"/>
      <c r="AE121" s="240"/>
      <c r="AF121" s="240"/>
      <c r="AG121" s="240"/>
      <c r="AH121" s="240"/>
      <c r="AI121" s="240"/>
      <c r="AJ121" s="240"/>
      <c r="AK121" s="240"/>
      <c r="AL121" s="240"/>
      <c r="AM121" s="240"/>
      <c r="AN121" s="240"/>
      <c r="AO121" s="240"/>
      <c r="AP121" s="240"/>
      <c r="AQ121" s="240"/>
      <c r="AR121" s="187"/>
      <c r="AS121" s="187"/>
    </row>
    <row r="123" spans="1:45" ht="25.5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  <c r="Z123" s="240"/>
      <c r="AA123" s="240"/>
      <c r="AB123" s="240"/>
      <c r="AC123" s="240"/>
      <c r="AD123" s="240"/>
      <c r="AE123" s="240"/>
      <c r="AF123" s="240"/>
      <c r="AG123" s="240"/>
      <c r="AH123" s="240"/>
      <c r="AI123" s="240"/>
      <c r="AJ123" s="240"/>
      <c r="AK123" s="240"/>
      <c r="AL123" s="240"/>
      <c r="AM123" s="240"/>
      <c r="AN123" s="240"/>
      <c r="AO123" s="240"/>
      <c r="AP123" s="240"/>
      <c r="AQ123" s="240"/>
      <c r="AR123" s="187"/>
      <c r="AS123" s="187"/>
    </row>
    <row r="125" spans="1:45" ht="25.5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0"/>
      <c r="W125" s="240"/>
      <c r="X125" s="240"/>
      <c r="Y125" s="240"/>
      <c r="Z125" s="240"/>
      <c r="AA125" s="240"/>
      <c r="AB125" s="240"/>
      <c r="AC125" s="240"/>
      <c r="AD125" s="240"/>
      <c r="AE125" s="240"/>
      <c r="AF125" s="240"/>
      <c r="AG125" s="240"/>
      <c r="AH125" s="240"/>
      <c r="AI125" s="240"/>
      <c r="AJ125" s="240"/>
      <c r="AK125" s="240"/>
      <c r="AL125" s="240"/>
      <c r="AM125" s="240"/>
      <c r="AN125" s="240"/>
      <c r="AO125" s="240"/>
      <c r="AP125" s="240"/>
      <c r="AQ125" s="240"/>
      <c r="AR125" s="187"/>
      <c r="AS125" s="187"/>
    </row>
    <row r="127" spans="1:45" ht="25.5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  <c r="Z127" s="240"/>
      <c r="AA127" s="240"/>
      <c r="AB127" s="240"/>
      <c r="AC127" s="240"/>
      <c r="AD127" s="240"/>
      <c r="AE127" s="240"/>
      <c r="AF127" s="240"/>
      <c r="AG127" s="240"/>
      <c r="AH127" s="240"/>
      <c r="AI127" s="240"/>
      <c r="AJ127" s="240"/>
      <c r="AK127" s="240"/>
      <c r="AL127" s="240"/>
      <c r="AM127" s="240"/>
      <c r="AN127" s="240"/>
      <c r="AO127" s="240"/>
      <c r="AP127" s="240"/>
      <c r="AQ127" s="240"/>
      <c r="AR127" s="187"/>
      <c r="AS127" s="187"/>
    </row>
    <row r="129" spans="1:45" ht="25.5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0"/>
      <c r="W129" s="240"/>
      <c r="X129" s="240"/>
      <c r="Y129" s="240"/>
      <c r="Z129" s="240"/>
      <c r="AA129" s="240"/>
      <c r="AB129" s="240"/>
      <c r="AC129" s="240"/>
      <c r="AD129" s="240"/>
      <c r="AE129" s="240"/>
      <c r="AF129" s="240"/>
      <c r="AG129" s="240"/>
      <c r="AH129" s="240"/>
      <c r="AI129" s="240"/>
      <c r="AJ129" s="240"/>
      <c r="AK129" s="240"/>
      <c r="AL129" s="240"/>
      <c r="AM129" s="240"/>
      <c r="AN129" s="240"/>
      <c r="AO129" s="240"/>
      <c r="AP129" s="240"/>
      <c r="AQ129" s="240"/>
      <c r="AR129" s="187"/>
      <c r="AS129" s="187"/>
    </row>
    <row r="131" spans="1:45" ht="25.5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0"/>
      <c r="W131" s="240"/>
      <c r="X131" s="240"/>
      <c r="Y131" s="240"/>
      <c r="Z131" s="240"/>
      <c r="AA131" s="240"/>
      <c r="AB131" s="240"/>
      <c r="AC131" s="240"/>
      <c r="AD131" s="240"/>
      <c r="AE131" s="240"/>
      <c r="AF131" s="240"/>
      <c r="AG131" s="240"/>
      <c r="AH131" s="240"/>
      <c r="AI131" s="240"/>
      <c r="AJ131" s="240"/>
      <c r="AK131" s="240"/>
      <c r="AL131" s="240"/>
      <c r="AM131" s="240"/>
      <c r="AN131" s="240"/>
      <c r="AO131" s="240"/>
      <c r="AP131" s="240"/>
      <c r="AQ131" s="240"/>
      <c r="AR131" s="187"/>
      <c r="AS131" s="187"/>
    </row>
    <row r="133" spans="1:45" ht="25.5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  <c r="Z133" s="240"/>
      <c r="AA133" s="240"/>
      <c r="AB133" s="240"/>
      <c r="AC133" s="240"/>
      <c r="AD133" s="240"/>
      <c r="AE133" s="240"/>
      <c r="AF133" s="240"/>
      <c r="AG133" s="240"/>
      <c r="AH133" s="240"/>
      <c r="AI133" s="240"/>
      <c r="AJ133" s="240"/>
      <c r="AK133" s="240"/>
      <c r="AL133" s="240"/>
      <c r="AM133" s="240"/>
      <c r="AN133" s="240"/>
      <c r="AO133" s="240"/>
      <c r="AP133" s="240"/>
      <c r="AQ133" s="240"/>
      <c r="AR133" s="187"/>
      <c r="AS133" s="187"/>
    </row>
    <row r="135" spans="1:45" ht="25.5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0"/>
      <c r="W135" s="240"/>
      <c r="X135" s="240"/>
      <c r="Y135" s="240"/>
      <c r="Z135" s="240"/>
      <c r="AA135" s="240"/>
      <c r="AB135" s="240"/>
      <c r="AC135" s="240"/>
      <c r="AD135" s="240"/>
      <c r="AE135" s="240"/>
      <c r="AF135" s="240"/>
      <c r="AG135" s="240"/>
      <c r="AH135" s="240"/>
      <c r="AI135" s="240"/>
      <c r="AJ135" s="240"/>
      <c r="AK135" s="240"/>
      <c r="AL135" s="240"/>
      <c r="AM135" s="240"/>
      <c r="AN135" s="240"/>
      <c r="AO135" s="240"/>
      <c r="AP135" s="240"/>
      <c r="AQ135" s="240"/>
      <c r="AR135" s="187"/>
      <c r="AS135" s="187"/>
    </row>
    <row r="137" spans="1:45" ht="25.5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240"/>
      <c r="S137" s="240"/>
      <c r="T137" s="240"/>
      <c r="U137" s="240"/>
      <c r="V137" s="240"/>
      <c r="W137" s="240"/>
      <c r="X137" s="240"/>
      <c r="Y137" s="240"/>
      <c r="Z137" s="240"/>
      <c r="AA137" s="240"/>
      <c r="AB137" s="240"/>
      <c r="AC137" s="240"/>
      <c r="AD137" s="240"/>
      <c r="AE137" s="240"/>
      <c r="AF137" s="240"/>
      <c r="AG137" s="240"/>
      <c r="AH137" s="240"/>
      <c r="AI137" s="240"/>
      <c r="AJ137" s="240"/>
      <c r="AK137" s="240"/>
      <c r="AL137" s="240"/>
      <c r="AM137" s="240"/>
      <c r="AN137" s="240"/>
      <c r="AO137" s="240"/>
      <c r="AP137" s="240"/>
      <c r="AQ137" s="240"/>
      <c r="AR137" s="187"/>
      <c r="AS137" s="187"/>
    </row>
    <row r="139" spans="1:45" ht="25.5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  <c r="S139" s="240"/>
      <c r="T139" s="240"/>
      <c r="U139" s="240"/>
      <c r="V139" s="240"/>
      <c r="W139" s="240"/>
      <c r="X139" s="240"/>
      <c r="Y139" s="240"/>
      <c r="Z139" s="240"/>
      <c r="AA139" s="240"/>
      <c r="AB139" s="240"/>
      <c r="AC139" s="240"/>
      <c r="AD139" s="240"/>
      <c r="AE139" s="240"/>
      <c r="AF139" s="240"/>
      <c r="AG139" s="240"/>
      <c r="AH139" s="240"/>
      <c r="AI139" s="240"/>
      <c r="AJ139" s="240"/>
      <c r="AK139" s="240"/>
      <c r="AL139" s="240"/>
      <c r="AM139" s="240"/>
      <c r="AN139" s="240"/>
      <c r="AO139" s="240"/>
      <c r="AP139" s="240"/>
      <c r="AQ139" s="240"/>
      <c r="AR139" s="187"/>
      <c r="AS139" s="187"/>
    </row>
    <row r="141" spans="1:45" ht="25.5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240"/>
      <c r="O141" s="240"/>
      <c r="P141" s="240"/>
      <c r="Q141" s="240"/>
      <c r="R141" s="240"/>
      <c r="S141" s="240"/>
      <c r="T141" s="240"/>
      <c r="U141" s="240"/>
      <c r="V141" s="240"/>
      <c r="W141" s="240"/>
      <c r="X141" s="240"/>
      <c r="Y141" s="240"/>
      <c r="Z141" s="240"/>
      <c r="AA141" s="240"/>
      <c r="AB141" s="240"/>
      <c r="AC141" s="240"/>
      <c r="AD141" s="240"/>
      <c r="AE141" s="240"/>
      <c r="AF141" s="240"/>
      <c r="AG141" s="240"/>
      <c r="AH141" s="240"/>
      <c r="AI141" s="240"/>
      <c r="AJ141" s="240"/>
      <c r="AK141" s="240"/>
      <c r="AL141" s="240"/>
      <c r="AM141" s="240"/>
      <c r="AN141" s="240"/>
      <c r="AO141" s="240"/>
      <c r="AP141" s="240"/>
      <c r="AQ141" s="240"/>
      <c r="AR141" s="187"/>
      <c r="AS141" s="187"/>
    </row>
    <row r="143" spans="1:45" ht="25.5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  <c r="Z143" s="240"/>
      <c r="AA143" s="240"/>
      <c r="AB143" s="240"/>
      <c r="AC143" s="240"/>
      <c r="AD143" s="240"/>
      <c r="AE143" s="240"/>
      <c r="AF143" s="240"/>
      <c r="AG143" s="240"/>
      <c r="AH143" s="240"/>
      <c r="AI143" s="240"/>
      <c r="AJ143" s="240"/>
      <c r="AK143" s="240"/>
      <c r="AL143" s="240"/>
      <c r="AM143" s="240"/>
      <c r="AN143" s="240"/>
      <c r="AO143" s="240"/>
      <c r="AP143" s="240"/>
      <c r="AQ143" s="240"/>
      <c r="AR143" s="187"/>
      <c r="AS143" s="187"/>
    </row>
    <row r="145" spans="1:45" ht="25.5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  <c r="Z145" s="240"/>
      <c r="AA145" s="240"/>
      <c r="AB145" s="240"/>
      <c r="AC145" s="240"/>
      <c r="AD145" s="240"/>
      <c r="AE145" s="240"/>
      <c r="AF145" s="240"/>
      <c r="AG145" s="240"/>
      <c r="AH145" s="240"/>
      <c r="AI145" s="240"/>
      <c r="AJ145" s="240"/>
      <c r="AK145" s="240"/>
      <c r="AL145" s="240"/>
      <c r="AM145" s="240"/>
      <c r="AN145" s="240"/>
      <c r="AO145" s="240"/>
      <c r="AP145" s="240"/>
      <c r="AQ145" s="240"/>
      <c r="AR145" s="187"/>
      <c r="AS145" s="187"/>
    </row>
    <row r="147" spans="1:45" ht="25.5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  <c r="Z147" s="240"/>
      <c r="AA147" s="240"/>
      <c r="AB147" s="240"/>
      <c r="AC147" s="240"/>
      <c r="AD147" s="240"/>
      <c r="AE147" s="240"/>
      <c r="AF147" s="240"/>
      <c r="AG147" s="240"/>
      <c r="AH147" s="240"/>
      <c r="AI147" s="240"/>
      <c r="AJ147" s="240"/>
      <c r="AK147" s="240"/>
      <c r="AL147" s="240"/>
      <c r="AM147" s="240"/>
      <c r="AN147" s="240"/>
      <c r="AO147" s="240"/>
      <c r="AP147" s="240"/>
      <c r="AQ147" s="240"/>
      <c r="AR147" s="187"/>
      <c r="AS147" s="187"/>
    </row>
    <row r="149" spans="1:45" ht="25.5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  <c r="Z149" s="240"/>
      <c r="AA149" s="240"/>
      <c r="AB149" s="240"/>
      <c r="AC149" s="240"/>
      <c r="AD149" s="240"/>
      <c r="AE149" s="240"/>
      <c r="AF149" s="240"/>
      <c r="AG149" s="240"/>
      <c r="AH149" s="240"/>
      <c r="AI149" s="240"/>
      <c r="AJ149" s="240"/>
      <c r="AK149" s="240"/>
      <c r="AL149" s="240"/>
      <c r="AM149" s="240"/>
      <c r="AN149" s="240"/>
      <c r="AO149" s="240"/>
      <c r="AP149" s="240"/>
      <c r="AQ149" s="240"/>
      <c r="AR149" s="187"/>
      <c r="AS149" s="187"/>
    </row>
    <row r="151" spans="1:45" ht="25.5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  <c r="Z151" s="240"/>
      <c r="AA151" s="240"/>
      <c r="AB151" s="240"/>
      <c r="AC151" s="240"/>
      <c r="AD151" s="240"/>
      <c r="AE151" s="240"/>
      <c r="AF151" s="240"/>
      <c r="AG151" s="240"/>
      <c r="AH151" s="240"/>
      <c r="AI151" s="240"/>
      <c r="AJ151" s="240"/>
      <c r="AK151" s="240"/>
      <c r="AL151" s="240"/>
      <c r="AM151" s="240"/>
      <c r="AN151" s="240"/>
      <c r="AO151" s="240"/>
      <c r="AP151" s="240"/>
      <c r="AQ151" s="240"/>
      <c r="AR151" s="187"/>
      <c r="AS151" s="187"/>
    </row>
    <row r="153" spans="1:45" ht="25.5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  <c r="Z153" s="240"/>
      <c r="AA153" s="240"/>
      <c r="AB153" s="240"/>
      <c r="AC153" s="240"/>
      <c r="AD153" s="240"/>
      <c r="AE153" s="240"/>
      <c r="AF153" s="240"/>
      <c r="AG153" s="240"/>
      <c r="AH153" s="240"/>
      <c r="AI153" s="240"/>
      <c r="AJ153" s="240"/>
      <c r="AK153" s="240"/>
      <c r="AL153" s="240"/>
      <c r="AM153" s="240"/>
      <c r="AN153" s="240"/>
      <c r="AO153" s="240"/>
      <c r="AP153" s="240"/>
      <c r="AQ153" s="240"/>
      <c r="AR153" s="187"/>
      <c r="AS153" s="187"/>
    </row>
  </sheetData>
  <mergeCells count="16">
    <mergeCell ref="T3:V3"/>
    <mergeCell ref="T4:V4"/>
    <mergeCell ref="AF3:AH3"/>
    <mergeCell ref="AF4:AH4"/>
    <mergeCell ref="AC12:AE12"/>
    <mergeCell ref="AF12:AH12"/>
    <mergeCell ref="AG6:AI6"/>
    <mergeCell ref="AG7:AI7"/>
    <mergeCell ref="AE9:AG9"/>
    <mergeCell ref="AE10:AG10"/>
    <mergeCell ref="AC13:AE13"/>
    <mergeCell ref="AF13:AH13"/>
    <mergeCell ref="AM6:AO6"/>
    <mergeCell ref="AM7:AO7"/>
    <mergeCell ref="AJ6:AL6"/>
    <mergeCell ref="AJ7:AL7"/>
  </mergeCells>
  <phoneticPr fontId="3" type="noConversion"/>
  <pageMargins left="0.7" right="0.7" top="0.75" bottom="0.75" header="0.3" footer="0.3"/>
  <pageSetup paperSize="9" orientation="portrait" horizontalDpi="200" verticalDpi="200" r:id="rId1"/>
  <ignoredErrors>
    <ignoredError sqref="N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95C9-02E9-42A1-9AB5-9579FD3BBBC0}">
  <sheetPr>
    <tabColor rgb="FFFF0000"/>
  </sheetPr>
  <dimension ref="A1:CN153"/>
  <sheetViews>
    <sheetView showGridLines="0" tabSelected="1" zoomScale="55" zoomScaleNormal="55" workbookViewId="0">
      <selection activeCell="AP21" sqref="AP21"/>
    </sheetView>
  </sheetViews>
  <sheetFormatPr defaultColWidth="7.19921875" defaultRowHeight="36" outlineLevelRow="1"/>
  <cols>
    <col min="1" max="1" width="6.59765625" style="188" customWidth="1"/>
    <col min="2" max="42" width="7.8984375" style="188" customWidth="1"/>
    <col min="43" max="45" width="6.59765625" style="188" customWidth="1"/>
    <col min="46" max="46" width="7.19921875" style="188"/>
    <col min="47" max="47" width="6.19921875" style="188" customWidth="1"/>
    <col min="48" max="50" width="13.69921875" style="189" customWidth="1"/>
    <col min="51" max="51" width="13.69921875" style="190" customWidth="1"/>
    <col min="52" max="52" width="13.69921875" style="191" customWidth="1"/>
    <col min="53" max="53" width="13.69921875" style="189" customWidth="1"/>
    <col min="54" max="54" width="7.19921875" style="188"/>
    <col min="55" max="55" width="62.296875" style="192" customWidth="1"/>
    <col min="56" max="56" width="23.796875" style="193" bestFit="1" customWidth="1"/>
    <col min="57" max="57" width="6.19921875" style="188" customWidth="1"/>
    <col min="58" max="58" width="15.19921875" style="188" customWidth="1"/>
    <col min="59" max="59" width="15.19921875" customWidth="1"/>
    <col min="60" max="63" width="15.19921875" style="188" customWidth="1"/>
    <col min="64" max="64" width="7.19921875" style="188"/>
    <col min="65" max="65" width="75.19921875" style="196" customWidth="1"/>
    <col min="66" max="66" width="6.19921875" style="188" customWidth="1"/>
    <col min="67" max="67" width="15.19921875" style="188" customWidth="1"/>
    <col min="68" max="68" width="15.19921875" customWidth="1"/>
    <col min="69" max="72" width="15.19921875" style="188" customWidth="1"/>
    <col min="73" max="73" width="7.19921875" style="188"/>
    <col min="74" max="74" width="69.8984375" style="196" bestFit="1" customWidth="1"/>
    <col min="75" max="75" width="6.19921875" style="188" customWidth="1"/>
    <col min="76" max="76" width="15.19921875" customWidth="1"/>
    <col min="77" max="81" width="15.19921875" style="188" customWidth="1"/>
    <col min="82" max="82" width="7.19921875" style="188"/>
    <col min="83" max="83" width="72.59765625" style="196" bestFit="1" customWidth="1"/>
    <col min="84" max="84" width="6.19921875" style="188" customWidth="1"/>
    <col min="85" max="85" width="15.19921875" customWidth="1"/>
    <col min="86" max="90" width="15.19921875" style="188" customWidth="1"/>
    <col min="91" max="91" width="7.19921875" style="188"/>
    <col min="92" max="92" width="67.09765625" style="196" bestFit="1" customWidth="1"/>
    <col min="93" max="16384" width="7.19921875" style="188"/>
  </cols>
  <sheetData>
    <row r="1" spans="1:92" ht="45" customHeight="1" thickBot="1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7"/>
      <c r="AS1" s="187"/>
      <c r="BF1" s="194" t="s">
        <v>1245</v>
      </c>
      <c r="BG1" s="194" t="s">
        <v>1245</v>
      </c>
      <c r="BH1" s="195" t="s">
        <v>1204</v>
      </c>
      <c r="BO1" s="194" t="s">
        <v>1245</v>
      </c>
      <c r="BP1" s="194" t="s">
        <v>1245</v>
      </c>
      <c r="BQ1" s="194" t="s">
        <v>1246</v>
      </c>
      <c r="BX1" s="194" t="s">
        <v>1245</v>
      </c>
      <c r="BY1" s="195" t="s">
        <v>1204</v>
      </c>
      <c r="BZ1" s="197"/>
      <c r="CG1" s="194" t="s">
        <v>1245</v>
      </c>
      <c r="CH1" s="197"/>
      <c r="CI1" s="197"/>
    </row>
    <row r="2" spans="1:92" s="197" customFormat="1" ht="60" customHeight="1">
      <c r="A2" s="198"/>
      <c r="B2" s="334" t="s">
        <v>1247</v>
      </c>
      <c r="C2" s="335"/>
      <c r="D2" s="336"/>
      <c r="E2" s="334" t="s">
        <v>1248</v>
      </c>
      <c r="F2" s="335"/>
      <c r="G2" s="336"/>
      <c r="H2" s="354" t="s">
        <v>1249</v>
      </c>
      <c r="I2" s="355"/>
      <c r="J2" s="356"/>
      <c r="K2" s="354" t="s">
        <v>1250</v>
      </c>
      <c r="L2" s="355"/>
      <c r="M2" s="356"/>
      <c r="N2" s="357">
        <v>0.05</v>
      </c>
      <c r="O2" s="358"/>
      <c r="P2" s="359"/>
      <c r="Q2" s="354" t="s">
        <v>1251</v>
      </c>
      <c r="R2" s="355"/>
      <c r="S2" s="356"/>
      <c r="T2" s="354" t="s">
        <v>1252</v>
      </c>
      <c r="U2" s="355"/>
      <c r="V2" s="356"/>
      <c r="W2" s="337" t="s">
        <v>1253</v>
      </c>
      <c r="X2" s="338"/>
      <c r="Y2" s="339"/>
      <c r="Z2" s="337" t="s">
        <v>1254</v>
      </c>
      <c r="AA2" s="338"/>
      <c r="AB2" s="339"/>
      <c r="AC2" s="337" t="s">
        <v>1255</v>
      </c>
      <c r="AD2" s="338"/>
      <c r="AE2" s="339"/>
      <c r="AF2" s="340" t="s">
        <v>1256</v>
      </c>
      <c r="AG2" s="341"/>
      <c r="AH2" s="342"/>
      <c r="AI2" s="340" t="s">
        <v>1257</v>
      </c>
      <c r="AJ2" s="341"/>
      <c r="AK2" s="342"/>
      <c r="AL2" s="198"/>
      <c r="AM2" s="198"/>
      <c r="AN2" s="198"/>
      <c r="AO2" s="198"/>
      <c r="AP2" s="198"/>
      <c r="AQ2" s="198"/>
      <c r="AR2" s="214"/>
      <c r="AS2" s="214"/>
      <c r="AU2" s="188"/>
      <c r="AV2" s="189"/>
      <c r="AW2" s="189"/>
      <c r="AX2" s="189"/>
      <c r="AY2" s="190"/>
      <c r="AZ2" s="191"/>
      <c r="BA2" s="189"/>
      <c r="BB2" s="188"/>
      <c r="BC2" s="192"/>
      <c r="BD2" s="193"/>
      <c r="BE2" s="188"/>
      <c r="BF2" s="215" t="s">
        <v>1258</v>
      </c>
      <c r="BG2" s="215" t="s">
        <v>1259</v>
      </c>
      <c r="BH2" s="215" t="s">
        <v>1260</v>
      </c>
      <c r="BM2" s="196"/>
      <c r="BN2" s="188"/>
      <c r="BO2" s="215" t="s">
        <v>1258</v>
      </c>
      <c r="BP2" s="215" t="s">
        <v>1259</v>
      </c>
      <c r="BQ2" s="215"/>
      <c r="BV2" s="196"/>
      <c r="BW2" s="188"/>
      <c r="BX2" s="215" t="s">
        <v>1261</v>
      </c>
      <c r="BY2" s="215" t="s">
        <v>1260</v>
      </c>
      <c r="CE2" s="196"/>
      <c r="CF2" s="188"/>
      <c r="CG2" s="215" t="s">
        <v>1262</v>
      </c>
      <c r="CN2" s="196"/>
    </row>
    <row r="3" spans="1:92" s="197" customFormat="1" ht="60" customHeight="1">
      <c r="A3" s="198"/>
      <c r="B3" s="216" t="s">
        <v>9</v>
      </c>
      <c r="C3" s="217"/>
      <c r="D3" s="218" t="s">
        <v>7</v>
      </c>
      <c r="E3" s="219"/>
      <c r="F3" s="217"/>
      <c r="G3" s="220"/>
      <c r="H3" s="377" t="s">
        <v>1339</v>
      </c>
      <c r="I3" s="378"/>
      <c r="J3" s="379"/>
      <c r="K3" s="377" t="s">
        <v>1330</v>
      </c>
      <c r="L3" s="378"/>
      <c r="M3" s="379"/>
      <c r="N3" s="377" t="s">
        <v>1337</v>
      </c>
      <c r="O3" s="378"/>
      <c r="P3" s="379"/>
      <c r="Q3" s="377" t="s">
        <v>1329</v>
      </c>
      <c r="R3" s="378"/>
      <c r="S3" s="379"/>
      <c r="T3" s="377" t="s">
        <v>1338</v>
      </c>
      <c r="U3" s="378"/>
      <c r="V3" s="379"/>
      <c r="W3" s="227" t="s">
        <v>171</v>
      </c>
      <c r="X3" s="228"/>
      <c r="Y3" s="229" t="s">
        <v>393</v>
      </c>
      <c r="Z3" s="227" t="s">
        <v>176</v>
      </c>
      <c r="AA3" s="230">
        <v>0</v>
      </c>
      <c r="AB3" s="229" t="s">
        <v>384</v>
      </c>
      <c r="AC3" s="231"/>
      <c r="AD3" s="228"/>
      <c r="AE3" s="232"/>
      <c r="AF3" s="233"/>
      <c r="AG3" s="234"/>
      <c r="AH3" s="235"/>
      <c r="AI3" s="233"/>
      <c r="AJ3" s="234"/>
      <c r="AK3" s="235"/>
      <c r="AL3" s="198"/>
      <c r="AM3" s="198"/>
      <c r="AN3" s="198"/>
      <c r="AO3" s="198"/>
      <c r="AP3" s="198"/>
      <c r="AQ3" s="198"/>
      <c r="AR3" s="214"/>
      <c r="AS3" s="214"/>
      <c r="AV3" s="236" t="s">
        <v>1263</v>
      </c>
      <c r="AX3" s="237"/>
      <c r="AY3" s="238"/>
      <c r="AZ3" s="237"/>
      <c r="BA3" s="237"/>
      <c r="BC3" s="192"/>
      <c r="BD3" s="239"/>
      <c r="BM3" s="196"/>
      <c r="BV3" s="196"/>
      <c r="CE3" s="196"/>
      <c r="CN3" s="196"/>
    </row>
    <row r="4" spans="1:92" ht="60" customHeight="1" thickBot="1">
      <c r="A4" s="240"/>
      <c r="B4" s="241" t="s">
        <v>61</v>
      </c>
      <c r="C4" s="242"/>
      <c r="D4" s="243" t="s">
        <v>59</v>
      </c>
      <c r="E4" s="241" t="s">
        <v>138</v>
      </c>
      <c r="F4" s="242"/>
      <c r="G4" s="244" t="s">
        <v>99</v>
      </c>
      <c r="H4" s="245" t="s">
        <v>725</v>
      </c>
      <c r="I4" s="246"/>
      <c r="J4" s="380" t="s">
        <v>1340</v>
      </c>
      <c r="K4" s="248" t="s">
        <v>723</v>
      </c>
      <c r="L4" s="246"/>
      <c r="M4" s="380" t="s">
        <v>1342</v>
      </c>
      <c r="N4" s="245" t="s">
        <v>724</v>
      </c>
      <c r="O4" s="246"/>
      <c r="P4" s="380" t="s">
        <v>1343</v>
      </c>
      <c r="Q4" s="248" t="s">
        <v>722</v>
      </c>
      <c r="R4" s="246"/>
      <c r="S4" s="380" t="s">
        <v>1344</v>
      </c>
      <c r="T4" s="248" t="s">
        <v>1336</v>
      </c>
      <c r="U4" s="246"/>
      <c r="V4" s="247" t="s">
        <v>1341</v>
      </c>
      <c r="W4" s="250" t="s">
        <v>1266</v>
      </c>
      <c r="X4" s="251"/>
      <c r="Y4" s="252" t="s">
        <v>10</v>
      </c>
      <c r="Z4" s="253" t="s">
        <v>164</v>
      </c>
      <c r="AA4" s="254"/>
      <c r="AB4" s="255" t="s">
        <v>206</v>
      </c>
      <c r="AC4" s="253" t="s">
        <v>167</v>
      </c>
      <c r="AD4" s="251">
        <v>0</v>
      </c>
      <c r="AE4" s="252" t="s">
        <v>212</v>
      </c>
      <c r="AF4" s="256" t="s">
        <v>1267</v>
      </c>
      <c r="AG4" s="251"/>
      <c r="AH4" s="255" t="s">
        <v>1268</v>
      </c>
      <c r="AI4" s="257" t="s">
        <v>179</v>
      </c>
      <c r="AJ4" s="254"/>
      <c r="AK4" s="258"/>
      <c r="AL4" s="240"/>
      <c r="AM4" s="240"/>
      <c r="AN4" s="240"/>
      <c r="AO4" s="240"/>
      <c r="AP4" s="240"/>
      <c r="AQ4" s="240"/>
      <c r="AR4" s="187"/>
      <c r="AS4" s="187"/>
      <c r="AU4" s="259"/>
      <c r="AV4" s="195" t="s">
        <v>1204</v>
      </c>
      <c r="AW4" s="260" t="s">
        <v>66</v>
      </c>
      <c r="AX4" s="261" t="s">
        <v>109</v>
      </c>
      <c r="AY4" s="262" t="s">
        <v>740</v>
      </c>
      <c r="AZ4" s="195" t="s">
        <v>1245</v>
      </c>
      <c r="BA4" s="263" t="s">
        <v>1269</v>
      </c>
      <c r="BB4" s="197"/>
      <c r="BD4" s="239"/>
      <c r="BE4" s="259"/>
      <c r="BF4" s="195" t="s">
        <v>1204</v>
      </c>
      <c r="BG4" s="264" t="s">
        <v>66</v>
      </c>
      <c r="BH4" s="265" t="s">
        <v>109</v>
      </c>
      <c r="BI4" s="266" t="s">
        <v>740</v>
      </c>
      <c r="BJ4" s="267" t="s">
        <v>1245</v>
      </c>
      <c r="BK4" s="268" t="s">
        <v>1269</v>
      </c>
      <c r="BN4" s="259"/>
      <c r="BO4" s="195" t="s">
        <v>1204</v>
      </c>
      <c r="BP4" s="264" t="s">
        <v>66</v>
      </c>
      <c r="BQ4" s="265" t="s">
        <v>109</v>
      </c>
      <c r="BR4" s="266" t="s">
        <v>740</v>
      </c>
      <c r="BS4" s="267" t="s">
        <v>1245</v>
      </c>
      <c r="BT4" s="268" t="s">
        <v>1269</v>
      </c>
      <c r="BW4" s="259"/>
      <c r="BX4" s="195" t="s">
        <v>1204</v>
      </c>
      <c r="BY4" s="264" t="s">
        <v>66</v>
      </c>
      <c r="BZ4" s="265" t="s">
        <v>109</v>
      </c>
      <c r="CA4" s="266" t="s">
        <v>740</v>
      </c>
      <c r="CB4" s="267" t="s">
        <v>1245</v>
      </c>
      <c r="CC4" s="268" t="s">
        <v>1269</v>
      </c>
      <c r="CF4" s="259"/>
      <c r="CG4" s="195" t="s">
        <v>1204</v>
      </c>
      <c r="CH4" s="264" t="s">
        <v>66</v>
      </c>
      <c r="CI4" s="265" t="s">
        <v>109</v>
      </c>
      <c r="CJ4" s="266" t="s">
        <v>740</v>
      </c>
      <c r="CK4" s="267" t="s">
        <v>1245</v>
      </c>
      <c r="CL4" s="268" t="s">
        <v>1269</v>
      </c>
    </row>
    <row r="5" spans="1:92" s="197" customFormat="1" ht="60" customHeight="1">
      <c r="A5" s="198"/>
      <c r="B5" s="198"/>
      <c r="C5" s="334" t="s">
        <v>201</v>
      </c>
      <c r="D5" s="335"/>
      <c r="E5" s="336"/>
      <c r="F5" s="334" t="s">
        <v>98</v>
      </c>
      <c r="G5" s="335"/>
      <c r="H5" s="336"/>
      <c r="I5" s="334" t="s">
        <v>111</v>
      </c>
      <c r="J5" s="335"/>
      <c r="K5" s="336"/>
      <c r="L5" s="334" t="s">
        <v>91</v>
      </c>
      <c r="M5" s="335"/>
      <c r="N5" s="336"/>
      <c r="O5" s="334" t="s">
        <v>71</v>
      </c>
      <c r="P5" s="335"/>
      <c r="Q5" s="336"/>
      <c r="R5" s="334" t="s">
        <v>114</v>
      </c>
      <c r="S5" s="335"/>
      <c r="T5" s="336"/>
      <c r="U5" s="337" t="s">
        <v>95</v>
      </c>
      <c r="V5" s="338"/>
      <c r="W5" s="339"/>
      <c r="X5" s="337" t="s">
        <v>94</v>
      </c>
      <c r="Y5" s="338"/>
      <c r="Z5" s="339"/>
      <c r="AA5" s="337" t="s">
        <v>86</v>
      </c>
      <c r="AB5" s="338"/>
      <c r="AC5" s="339"/>
      <c r="AD5" s="337" t="s">
        <v>67</v>
      </c>
      <c r="AE5" s="338"/>
      <c r="AF5" s="339"/>
      <c r="AG5" s="354" t="s">
        <v>1270</v>
      </c>
      <c r="AH5" s="355"/>
      <c r="AI5" s="356"/>
      <c r="AJ5" s="354" t="s">
        <v>1271</v>
      </c>
      <c r="AK5" s="355"/>
      <c r="AL5" s="356"/>
      <c r="AM5" s="340" t="s">
        <v>1272</v>
      </c>
      <c r="AN5" s="341"/>
      <c r="AO5" s="342"/>
      <c r="AP5" s="198"/>
      <c r="AQ5" s="198"/>
      <c r="AR5" s="214"/>
      <c r="AS5" s="214"/>
      <c r="AU5" s="269">
        <f xml:space="preserve"> ROW() - 4</f>
        <v>1</v>
      </c>
      <c r="AV5" s="270" cm="1">
        <f t="array" ref="AV5:AY46" xml:space="preserve"> TRANSPOSE(D17:AS20)</f>
        <v>0</v>
      </c>
      <c r="AW5" s="271">
        <v>0</v>
      </c>
      <c r="AX5" s="261">
        <v>0</v>
      </c>
      <c r="AY5" s="262">
        <v>0</v>
      </c>
      <c r="AZ5" s="272" t="s">
        <v>1273</v>
      </c>
      <c r="BA5" s="273">
        <f t="shared" ref="BA5:BA64" si="0" xml:space="preserve"> LEN(AV5)</f>
        <v>1</v>
      </c>
      <c r="BB5" s="188"/>
      <c r="BC5" s="274" t="str">
        <f xml:space="preserve"> "    """ &amp; AX5 &amp; """: { commit: """ &amp; AY5 &amp; """ }" &amp; "  # " &amp; "/" &amp; AV5 &amp; "/ ==&gt; " &amp; AW5</f>
        <v xml:space="preserve">    "0": { commit: "0" }  # /0/ ==&gt; 0</v>
      </c>
      <c r="BD5" s="275"/>
      <c r="BE5" s="269">
        <f xml:space="preserve"> ROW() - 4</f>
        <v>1</v>
      </c>
      <c r="BF5" s="276" t="e" cm="1">
        <f t="array" ref="BF5" xml:space="preserve"> _xlfn._xlws.SORT( _xlfn._xlws.FILTER($AV5:$BA64,($AZ5:$AZ64=BF2)*($AZ5:$AZ64&lt;&gt;BG2)*($AV5:$BA64=BH2), "無符合資料"), 6, -1)</f>
        <v>#VALUE!</v>
      </c>
      <c r="BG5" s="277"/>
      <c r="BH5" s="278"/>
      <c r="BI5" s="262"/>
      <c r="BJ5" s="279"/>
      <c r="BK5" s="280"/>
      <c r="BM5" s="196" t="str">
        <f t="shared" ref="BM5:BM27" si="1" xml:space="preserve"> IFERROR( IF(LEN(BG5)=0, "", IF(BG5=BF5, "", "    - xform/" &amp; BF5 &amp; "/" &amp; BG5 &amp; "/  # " &amp; "【" &amp; BH5 &amp; "】 ==&gt; " &amp; BJ5 &amp; "： " &amp; BI5 &amp; " [" &amp; BF5 &amp; "]")), "")</f>
        <v/>
      </c>
      <c r="BN5" s="269">
        <f xml:space="preserve"> ROW() - 4</f>
        <v>1</v>
      </c>
      <c r="BO5" s="276" cm="1">
        <f t="array" ref="BO5:BT19" xml:space="preserve"> _xlfn._xlws.SORT( _xlfn._xlws.FILTER($AV5:$BA64,($AZ5:$AZ64=BO2)*($AZ5:$AZ64&lt;&gt;BP2), "無符合資料"), 6, -1)</f>
        <v>0</v>
      </c>
      <c r="BP5" s="277">
        <v>0</v>
      </c>
      <c r="BQ5" s="278">
        <v>0</v>
      </c>
      <c r="BR5" s="262">
        <v>0</v>
      </c>
      <c r="BS5" s="279" t="str">
        <v>韻</v>
      </c>
      <c r="BT5" s="280">
        <v>1</v>
      </c>
      <c r="BV5" s="196" t="str">
        <f t="shared" ref="BV5:BV27" si="2" xml:space="preserve"> IFERROR( IF(LEN(BP5)=0, "", IF(EXACT(BP5,BO5), "", "    - xform/" &amp; BO5 &amp; "/" &amp; BP5 &amp; "/  # " &amp; "【" &amp; BQ5 &amp; "】 ==&gt; " &amp; BS5 &amp; "： " &amp; BR5 &amp; " [" &amp; BO5 &amp; "]")), "")</f>
        <v/>
      </c>
      <c r="BW5" s="269">
        <f xml:space="preserve"> ROW() - 4</f>
        <v>1</v>
      </c>
      <c r="BX5" s="276" cm="1">
        <f t="array" ref="BX5:CC25" xml:space="preserve"> _xlfn._xlws.SORT( _xlfn._xlws.FILTER($AV$5:$BA$64,($AZ5:$AZ64=BX2)*($AV5:$AV64&lt;&gt;BY2), "無符合資料"), 6, -1)</f>
        <v>0</v>
      </c>
      <c r="BY5" s="277">
        <v>0</v>
      </c>
      <c r="BZ5" s="278">
        <v>0</v>
      </c>
      <c r="CA5" s="262">
        <v>0</v>
      </c>
      <c r="CB5" s="279" t="str">
        <v>聲</v>
      </c>
      <c r="CC5" s="280">
        <v>1</v>
      </c>
      <c r="CE5" s="281" t="str">
        <f t="shared" ref="CE5:CE14" si="3" xml:space="preserve"> IFERROR( IF(LEN(BY5)=0, "", IF(EXACT(BY5,BX5), "", "    - xform/^" &amp; BX5 &amp; "/" &amp; BY5 &amp; "/  # " &amp; "【" &amp; BZ5 &amp; "】 ==&gt; " &amp; CB5 &amp; "： " &amp; CA5 &amp; " [" &amp; BX5 &amp; "]")), "")</f>
        <v/>
      </c>
      <c r="CF5" s="269">
        <f xml:space="preserve"> ROW() - 4</f>
        <v>1</v>
      </c>
      <c r="CG5" s="276" cm="1">
        <f t="array" ref="CG5:CL6" xml:space="preserve"> _xlfn._xlws.FILTER($AV$5:$BA$64,($AZ5:$AZ64=CG2), "無符合資料")</f>
        <v>0</v>
      </c>
      <c r="CH5" s="277">
        <v>0</v>
      </c>
      <c r="CI5" s="278">
        <v>0</v>
      </c>
      <c r="CJ5" s="262">
        <v>0</v>
      </c>
      <c r="CK5" s="279" t="str">
        <v>鍵</v>
      </c>
      <c r="CL5" s="280">
        <v>0</v>
      </c>
      <c r="CN5" s="196"/>
    </row>
    <row r="6" spans="1:92" s="197" customFormat="1" ht="60" customHeight="1">
      <c r="A6" s="198"/>
      <c r="B6" s="198"/>
      <c r="C6" s="219"/>
      <c r="D6" s="217"/>
      <c r="E6" s="220"/>
      <c r="F6" s="219"/>
      <c r="G6" s="217"/>
      <c r="H6" s="220"/>
      <c r="I6" s="216" t="s">
        <v>141</v>
      </c>
      <c r="J6" s="217"/>
      <c r="K6" s="220" t="s">
        <v>293</v>
      </c>
      <c r="L6" s="282" t="s">
        <v>150</v>
      </c>
      <c r="M6" s="217"/>
      <c r="N6" s="283" t="s">
        <v>746</v>
      </c>
      <c r="O6" s="282"/>
      <c r="P6" s="284"/>
      <c r="Q6" s="283"/>
      <c r="R6" s="282" t="s">
        <v>145</v>
      </c>
      <c r="S6" s="217"/>
      <c r="T6" s="283" t="s">
        <v>305</v>
      </c>
      <c r="U6" s="227" t="s">
        <v>172</v>
      </c>
      <c r="V6" s="228"/>
      <c r="W6" s="229" t="s">
        <v>454</v>
      </c>
      <c r="X6" s="227" t="s">
        <v>175</v>
      </c>
      <c r="Y6" s="285"/>
      <c r="Z6" s="286" t="s">
        <v>495</v>
      </c>
      <c r="AA6" s="227" t="s">
        <v>169</v>
      </c>
      <c r="AB6" s="228"/>
      <c r="AC6" s="229" t="s">
        <v>218</v>
      </c>
      <c r="AD6" s="231"/>
      <c r="AE6" s="228"/>
      <c r="AF6" s="232"/>
      <c r="AG6" s="377" t="s">
        <v>1327</v>
      </c>
      <c r="AH6" s="378"/>
      <c r="AI6" s="379"/>
      <c r="AJ6" s="377" t="s">
        <v>1328</v>
      </c>
      <c r="AK6" s="378"/>
      <c r="AL6" s="379"/>
      <c r="AM6" s="227"/>
      <c r="AN6" s="285"/>
      <c r="AO6" s="287"/>
      <c r="AP6" s="198"/>
      <c r="AQ6" s="198"/>
      <c r="AR6" s="214"/>
      <c r="AS6" s="214"/>
      <c r="AU6" s="269">
        <f t="shared" ref="AU6:AU64" si="4" xml:space="preserve"> ROW() - 4</f>
        <v>2</v>
      </c>
      <c r="AV6" s="270">
        <v>0</v>
      </c>
      <c r="AW6" s="271">
        <v>0</v>
      </c>
      <c r="AX6" s="261">
        <v>0</v>
      </c>
      <c r="AY6" s="262">
        <v>0</v>
      </c>
      <c r="AZ6" s="272" t="s">
        <v>1273</v>
      </c>
      <c r="BA6" s="273">
        <f t="shared" si="0"/>
        <v>1</v>
      </c>
      <c r="BC6" s="274" t="str">
        <f t="shared" ref="BC6:BC15" si="5" xml:space="preserve"> "    """ &amp; AX6 &amp; """: { commit: """ &amp; AY6 &amp; """ }" &amp; "  # " &amp; "/" &amp; AV7 &amp; "/ ==&gt; " &amp; AW6</f>
        <v xml:space="preserve">    "0": { commit: "0" }  # /0/ ==&gt; 0</v>
      </c>
      <c r="BD6" s="275"/>
      <c r="BE6" s="269">
        <f t="shared" ref="BE6:BE64" si="6" xml:space="preserve"> ROW() - 4</f>
        <v>2</v>
      </c>
      <c r="BF6" s="276"/>
      <c r="BG6" s="277"/>
      <c r="BH6" s="278"/>
      <c r="BI6" s="262"/>
      <c r="BJ6" s="279"/>
      <c r="BK6" s="280"/>
      <c r="BM6" s="196" t="str">
        <f t="shared" si="1"/>
        <v/>
      </c>
      <c r="BN6" s="269">
        <f t="shared" ref="BN6:BN64" si="7" xml:space="preserve"> ROW() - 4</f>
        <v>2</v>
      </c>
      <c r="BO6" s="276">
        <v>0</v>
      </c>
      <c r="BP6" s="277">
        <v>0</v>
      </c>
      <c r="BQ6" s="278">
        <v>0</v>
      </c>
      <c r="BR6" s="262">
        <v>0</v>
      </c>
      <c r="BS6" s="279" t="str">
        <v>韻</v>
      </c>
      <c r="BT6" s="280">
        <v>1</v>
      </c>
      <c r="BV6" s="196" t="str">
        <f t="shared" si="2"/>
        <v/>
      </c>
      <c r="BW6" s="269">
        <f t="shared" ref="BW6:BW64" si="8" xml:space="preserve"> ROW() - 4</f>
        <v>2</v>
      </c>
      <c r="BX6" s="276">
        <v>0</v>
      </c>
      <c r="BY6" s="277">
        <v>0</v>
      </c>
      <c r="BZ6" s="278">
        <v>0</v>
      </c>
      <c r="CA6" s="262">
        <v>0</v>
      </c>
      <c r="CB6" s="279" t="str">
        <v>聲</v>
      </c>
      <c r="CC6" s="280">
        <v>1</v>
      </c>
      <c r="CE6" s="281" t="str">
        <f t="shared" si="3"/>
        <v/>
      </c>
      <c r="CF6" s="269">
        <f t="shared" ref="CF6:CF64" si="9" xml:space="preserve"> ROW() - 4</f>
        <v>2</v>
      </c>
      <c r="CG6" s="276">
        <v>0</v>
      </c>
      <c r="CH6" s="277">
        <v>0</v>
      </c>
      <c r="CI6" s="278">
        <v>0</v>
      </c>
      <c r="CJ6" s="262">
        <v>0</v>
      </c>
      <c r="CK6" s="279" t="str">
        <v>鍵</v>
      </c>
      <c r="CL6" s="280">
        <v>0</v>
      </c>
      <c r="CN6" s="196"/>
    </row>
    <row r="7" spans="1:92" ht="60" customHeight="1" thickBot="1">
      <c r="A7" s="240"/>
      <c r="B7" s="240"/>
      <c r="C7" s="241" t="s">
        <v>105</v>
      </c>
      <c r="D7" s="242"/>
      <c r="E7" s="244" t="s">
        <v>103</v>
      </c>
      <c r="F7" s="241" t="s">
        <v>139</v>
      </c>
      <c r="G7" s="242"/>
      <c r="H7" s="244" t="s">
        <v>21</v>
      </c>
      <c r="I7" s="241" t="s">
        <v>142</v>
      </c>
      <c r="J7" s="242">
        <v>0</v>
      </c>
      <c r="K7" s="288" t="s">
        <v>73</v>
      </c>
      <c r="L7" s="289" t="s">
        <v>151</v>
      </c>
      <c r="M7" s="242"/>
      <c r="N7" s="290" t="s">
        <v>746</v>
      </c>
      <c r="O7" s="241" t="s">
        <v>161</v>
      </c>
      <c r="P7" s="242"/>
      <c r="Q7" s="288" t="s">
        <v>1274</v>
      </c>
      <c r="R7" s="289" t="s">
        <v>146</v>
      </c>
      <c r="S7" s="242"/>
      <c r="T7" s="291" t="s">
        <v>121</v>
      </c>
      <c r="U7" s="253" t="s">
        <v>64</v>
      </c>
      <c r="V7" s="251"/>
      <c r="W7" s="255" t="s">
        <v>62</v>
      </c>
      <c r="X7" s="253" t="s">
        <v>155</v>
      </c>
      <c r="Y7" s="251"/>
      <c r="Z7" s="255" t="s">
        <v>184</v>
      </c>
      <c r="AA7" s="253" t="s">
        <v>170</v>
      </c>
      <c r="AB7" s="251"/>
      <c r="AC7" s="255" t="s">
        <v>220</v>
      </c>
      <c r="AD7" s="253" t="s">
        <v>158</v>
      </c>
      <c r="AE7" s="254"/>
      <c r="AF7" s="292" t="s">
        <v>45</v>
      </c>
      <c r="AG7" s="248"/>
      <c r="AH7" s="246"/>
      <c r="AI7" s="380" t="s">
        <v>1346</v>
      </c>
      <c r="AJ7" s="248" t="s">
        <v>1276</v>
      </c>
      <c r="AK7" s="246"/>
      <c r="AL7" s="380" t="s">
        <v>1347</v>
      </c>
      <c r="AM7" s="253"/>
      <c r="AN7" s="254"/>
      <c r="AO7" s="255"/>
      <c r="AP7" s="240"/>
      <c r="AQ7" s="240"/>
      <c r="AR7" s="187"/>
      <c r="AS7" s="187"/>
      <c r="AU7" s="269">
        <f t="shared" si="4"/>
        <v>3</v>
      </c>
      <c r="AV7" s="270">
        <v>0</v>
      </c>
      <c r="AW7" s="271">
        <v>0</v>
      </c>
      <c r="AX7" s="261">
        <v>0</v>
      </c>
      <c r="AY7" s="262">
        <v>0</v>
      </c>
      <c r="AZ7" s="272" t="s">
        <v>1273</v>
      </c>
      <c r="BA7" s="273">
        <f t="shared" si="0"/>
        <v>1</v>
      </c>
      <c r="BB7" s="197"/>
      <c r="BC7" s="274" t="str">
        <f t="shared" si="5"/>
        <v xml:space="preserve">    "0": { commit: "0" }  # /0/ ==&gt; 0</v>
      </c>
      <c r="BD7" s="275"/>
      <c r="BE7" s="269">
        <f t="shared" si="6"/>
        <v>3</v>
      </c>
      <c r="BF7" s="276"/>
      <c r="BG7" s="277"/>
      <c r="BH7" s="278"/>
      <c r="BI7" s="262"/>
      <c r="BJ7" s="279"/>
      <c r="BK7" s="280"/>
      <c r="BM7" s="196" t="str">
        <f t="shared" si="1"/>
        <v/>
      </c>
      <c r="BN7" s="269">
        <f t="shared" si="7"/>
        <v>3</v>
      </c>
      <c r="BO7" s="276">
        <v>0</v>
      </c>
      <c r="BP7" s="277">
        <v>0</v>
      </c>
      <c r="BQ7" s="278">
        <v>0</v>
      </c>
      <c r="BR7" s="262">
        <v>0</v>
      </c>
      <c r="BS7" s="279" t="str">
        <v>韻</v>
      </c>
      <c r="BT7" s="280">
        <v>1</v>
      </c>
      <c r="BV7" s="196" t="str">
        <f t="shared" si="2"/>
        <v/>
      </c>
      <c r="BW7" s="269">
        <f t="shared" si="8"/>
        <v>3</v>
      </c>
      <c r="BX7" s="276">
        <v>0</v>
      </c>
      <c r="BY7" s="277">
        <v>0</v>
      </c>
      <c r="BZ7" s="278">
        <v>0</v>
      </c>
      <c r="CA7" s="262">
        <v>0</v>
      </c>
      <c r="CB7" s="279" t="str">
        <v>聲</v>
      </c>
      <c r="CC7" s="280">
        <v>1</v>
      </c>
      <c r="CE7" s="281" t="str">
        <f t="shared" si="3"/>
        <v/>
      </c>
      <c r="CF7" s="269">
        <f t="shared" si="9"/>
        <v>3</v>
      </c>
      <c r="CG7" s="276"/>
      <c r="CH7" s="277"/>
      <c r="CI7" s="278"/>
      <c r="CJ7" s="262"/>
      <c r="CK7" s="279"/>
      <c r="CL7" s="280"/>
    </row>
    <row r="8" spans="1:92" s="197" customFormat="1" ht="60" customHeight="1">
      <c r="A8" s="198"/>
      <c r="B8" s="198"/>
      <c r="C8" s="294"/>
      <c r="D8" s="334" t="s">
        <v>97</v>
      </c>
      <c r="E8" s="335"/>
      <c r="F8" s="336"/>
      <c r="G8" s="334" t="s">
        <v>83</v>
      </c>
      <c r="H8" s="335"/>
      <c r="I8" s="336"/>
      <c r="J8" s="334" t="s">
        <v>749</v>
      </c>
      <c r="K8" s="335"/>
      <c r="L8" s="336"/>
      <c r="M8" s="334" t="s">
        <v>92</v>
      </c>
      <c r="N8" s="335"/>
      <c r="O8" s="336"/>
      <c r="P8" s="334" t="s">
        <v>90</v>
      </c>
      <c r="Q8" s="335"/>
      <c r="R8" s="336"/>
      <c r="S8" s="334" t="s">
        <v>221</v>
      </c>
      <c r="T8" s="335"/>
      <c r="U8" s="336"/>
      <c r="V8" s="337" t="s">
        <v>81</v>
      </c>
      <c r="W8" s="338"/>
      <c r="X8" s="339"/>
      <c r="Y8" s="337" t="s">
        <v>74</v>
      </c>
      <c r="Z8" s="338"/>
      <c r="AA8" s="339"/>
      <c r="AB8" s="337" t="s">
        <v>102</v>
      </c>
      <c r="AC8" s="338"/>
      <c r="AD8" s="339"/>
      <c r="AE8" s="337" t="s">
        <v>1278</v>
      </c>
      <c r="AF8" s="338"/>
      <c r="AG8" s="339"/>
      <c r="AH8" s="354" t="s">
        <v>1279</v>
      </c>
      <c r="AI8" s="355"/>
      <c r="AJ8" s="356"/>
      <c r="AK8" s="198"/>
      <c r="AL8" s="198"/>
      <c r="AM8" s="198"/>
      <c r="AN8" s="198"/>
      <c r="AO8" s="198"/>
      <c r="AP8" s="198"/>
      <c r="AQ8" s="198"/>
      <c r="AR8" s="214"/>
      <c r="AS8" s="214"/>
      <c r="AU8" s="269">
        <f t="shared" si="4"/>
        <v>4</v>
      </c>
      <c r="AV8" s="270">
        <v>0</v>
      </c>
      <c r="AW8" s="271">
        <v>0</v>
      </c>
      <c r="AX8" s="261">
        <v>0</v>
      </c>
      <c r="AY8" s="262">
        <v>0</v>
      </c>
      <c r="AZ8" s="272" t="s">
        <v>1273</v>
      </c>
      <c r="BA8" s="273">
        <f t="shared" si="0"/>
        <v>1</v>
      </c>
      <c r="BB8" s="188"/>
      <c r="BC8" s="274" t="str">
        <f t="shared" si="5"/>
        <v xml:space="preserve">    "0": { commit: "0" }  # /0/ ==&gt; 0</v>
      </c>
      <c r="BD8" s="275"/>
      <c r="BE8" s="269">
        <f t="shared" si="6"/>
        <v>4</v>
      </c>
      <c r="BF8" s="276"/>
      <c r="BG8" s="277"/>
      <c r="BH8" s="278"/>
      <c r="BI8" s="262"/>
      <c r="BJ8" s="279"/>
      <c r="BK8" s="280"/>
      <c r="BM8" s="196" t="str">
        <f t="shared" si="1"/>
        <v/>
      </c>
      <c r="BN8" s="269">
        <f t="shared" si="7"/>
        <v>4</v>
      </c>
      <c r="BO8" s="276">
        <v>0</v>
      </c>
      <c r="BP8" s="277">
        <v>0</v>
      </c>
      <c r="BQ8" s="278">
        <v>0</v>
      </c>
      <c r="BR8" s="262">
        <v>0</v>
      </c>
      <c r="BS8" s="279" t="str">
        <v>韻</v>
      </c>
      <c r="BT8" s="280">
        <v>1</v>
      </c>
      <c r="BV8" s="196" t="str">
        <f t="shared" si="2"/>
        <v/>
      </c>
      <c r="BW8" s="269">
        <f t="shared" si="8"/>
        <v>4</v>
      </c>
      <c r="BX8" s="276">
        <v>0</v>
      </c>
      <c r="BY8" s="277">
        <v>0</v>
      </c>
      <c r="BZ8" s="278">
        <v>0</v>
      </c>
      <c r="CA8" s="262">
        <v>0</v>
      </c>
      <c r="CB8" s="279" t="str">
        <v>聲</v>
      </c>
      <c r="CC8" s="280">
        <v>1</v>
      </c>
      <c r="CE8" s="281" t="str">
        <f t="shared" si="3"/>
        <v/>
      </c>
      <c r="CF8" s="269">
        <f t="shared" si="9"/>
        <v>4</v>
      </c>
      <c r="CG8" s="276"/>
      <c r="CH8" s="277"/>
      <c r="CI8" s="278"/>
      <c r="CJ8" s="262"/>
      <c r="CK8" s="279"/>
      <c r="CL8" s="280"/>
      <c r="CN8" s="196"/>
    </row>
    <row r="9" spans="1:92" s="197" customFormat="1" ht="60" customHeight="1">
      <c r="A9" s="198"/>
      <c r="B9" s="198"/>
      <c r="C9" s="294"/>
      <c r="D9" s="216"/>
      <c r="E9" s="217"/>
      <c r="F9" s="295"/>
      <c r="G9" s="219"/>
      <c r="H9" s="217"/>
      <c r="I9" s="220"/>
      <c r="J9" s="219"/>
      <c r="K9" s="217"/>
      <c r="L9" s="220"/>
      <c r="M9" s="219"/>
      <c r="N9" s="217"/>
      <c r="O9" s="220"/>
      <c r="P9" s="219"/>
      <c r="Q9" s="217"/>
      <c r="R9" s="220"/>
      <c r="S9" s="282"/>
      <c r="T9" s="217"/>
      <c r="U9" s="283"/>
      <c r="V9" s="227" t="s">
        <v>173</v>
      </c>
      <c r="W9" s="230">
        <v>0</v>
      </c>
      <c r="X9" s="229" t="s">
        <v>1280</v>
      </c>
      <c r="Y9" s="231" t="s">
        <v>107</v>
      </c>
      <c r="Z9" s="228"/>
      <c r="AA9" s="232" t="s">
        <v>106</v>
      </c>
      <c r="AB9" s="227" t="s">
        <v>177</v>
      </c>
      <c r="AC9" s="228"/>
      <c r="AD9" s="229" t="s">
        <v>1281</v>
      </c>
      <c r="AE9" s="227"/>
      <c r="AF9" s="228"/>
      <c r="AG9" s="229"/>
      <c r="AH9" s="377" t="s">
        <v>1325</v>
      </c>
      <c r="AI9" s="378"/>
      <c r="AJ9" s="379"/>
      <c r="AK9" s="198"/>
      <c r="AL9" s="198"/>
      <c r="AM9" s="198"/>
      <c r="AN9" s="198"/>
      <c r="AO9" s="198"/>
      <c r="AP9" s="198"/>
      <c r="AQ9" s="198"/>
      <c r="AR9" s="214"/>
      <c r="AS9" s="214"/>
      <c r="AU9" s="269">
        <f t="shared" si="4"/>
        <v>5</v>
      </c>
      <c r="AV9" s="270">
        <v>0</v>
      </c>
      <c r="AW9" s="271">
        <v>0</v>
      </c>
      <c r="AX9" s="261">
        <v>0</v>
      </c>
      <c r="AY9" s="262">
        <v>0</v>
      </c>
      <c r="AZ9" s="272" t="s">
        <v>1273</v>
      </c>
      <c r="BA9" s="273">
        <f t="shared" si="0"/>
        <v>1</v>
      </c>
      <c r="BC9" s="274" t="str">
        <f t="shared" si="5"/>
        <v xml:space="preserve">    "0": { commit: "0" }  # /0/ ==&gt; 0</v>
      </c>
      <c r="BD9" s="275"/>
      <c r="BE9" s="269">
        <f t="shared" si="6"/>
        <v>5</v>
      </c>
      <c r="BF9" s="276"/>
      <c r="BG9" s="277"/>
      <c r="BH9" s="278"/>
      <c r="BI9" s="262"/>
      <c r="BJ9" s="279"/>
      <c r="BK9" s="280"/>
      <c r="BM9" s="196" t="str">
        <f t="shared" si="1"/>
        <v/>
      </c>
      <c r="BN9" s="269">
        <f t="shared" si="7"/>
        <v>5</v>
      </c>
      <c r="BO9" s="276">
        <v>0</v>
      </c>
      <c r="BP9" s="277">
        <v>0</v>
      </c>
      <c r="BQ9" s="278">
        <v>0</v>
      </c>
      <c r="BR9" s="262">
        <v>0</v>
      </c>
      <c r="BS9" s="279" t="str">
        <v>韻</v>
      </c>
      <c r="BT9" s="280">
        <v>1</v>
      </c>
      <c r="BV9" s="196" t="str">
        <f t="shared" si="2"/>
        <v/>
      </c>
      <c r="BW9" s="269">
        <f t="shared" si="8"/>
        <v>5</v>
      </c>
      <c r="BX9" s="276">
        <v>0</v>
      </c>
      <c r="BY9" s="277">
        <v>0</v>
      </c>
      <c r="BZ9" s="278">
        <v>0</v>
      </c>
      <c r="CA9" s="262">
        <v>0</v>
      </c>
      <c r="CB9" s="279" t="str">
        <v>聲</v>
      </c>
      <c r="CC9" s="280">
        <v>1</v>
      </c>
      <c r="CE9" s="281" t="str">
        <f t="shared" si="3"/>
        <v/>
      </c>
      <c r="CF9" s="269">
        <f t="shared" si="9"/>
        <v>5</v>
      </c>
      <c r="CG9" s="276"/>
      <c r="CH9" s="277"/>
      <c r="CI9" s="278"/>
      <c r="CJ9" s="262"/>
      <c r="CK9" s="279"/>
      <c r="CL9" s="280"/>
      <c r="CN9" s="196"/>
    </row>
    <row r="10" spans="1:92" ht="60" customHeight="1" thickBot="1">
      <c r="A10" s="240"/>
      <c r="B10" s="240"/>
      <c r="C10" s="240"/>
      <c r="D10" s="241" t="s">
        <v>133</v>
      </c>
      <c r="E10" s="242"/>
      <c r="F10" s="244" t="s">
        <v>1282</v>
      </c>
      <c r="G10" s="241" t="s">
        <v>137</v>
      </c>
      <c r="H10" s="242"/>
      <c r="I10" s="244" t="s">
        <v>1283</v>
      </c>
      <c r="J10" s="241" t="s">
        <v>143</v>
      </c>
      <c r="K10" s="242">
        <v>0</v>
      </c>
      <c r="L10" s="291" t="s">
        <v>25</v>
      </c>
      <c r="M10" s="241" t="s">
        <v>152</v>
      </c>
      <c r="N10" s="242"/>
      <c r="O10" s="291" t="s">
        <v>747</v>
      </c>
      <c r="P10" s="289" t="s">
        <v>162</v>
      </c>
      <c r="Q10" s="242"/>
      <c r="R10" s="291" t="s">
        <v>1284</v>
      </c>
      <c r="S10" s="289" t="s">
        <v>147</v>
      </c>
      <c r="T10" s="242"/>
      <c r="U10" s="291" t="s">
        <v>78</v>
      </c>
      <c r="V10" s="253" t="s">
        <v>134</v>
      </c>
      <c r="W10" s="251"/>
      <c r="X10" s="255" t="s">
        <v>63</v>
      </c>
      <c r="Y10" s="253" t="s">
        <v>156</v>
      </c>
      <c r="Z10" s="251"/>
      <c r="AA10" s="255" t="s">
        <v>485</v>
      </c>
      <c r="AB10" s="253" t="s">
        <v>165</v>
      </c>
      <c r="AC10" s="251"/>
      <c r="AD10" s="255" t="s">
        <v>208</v>
      </c>
      <c r="AE10" s="253" t="s">
        <v>168</v>
      </c>
      <c r="AF10" s="254"/>
      <c r="AG10" s="255" t="s">
        <v>215</v>
      </c>
      <c r="AH10" s="248"/>
      <c r="AI10" s="246"/>
      <c r="AJ10" s="380" t="s">
        <v>1345</v>
      </c>
      <c r="AK10" s="240"/>
      <c r="AL10" s="240"/>
      <c r="AM10" s="240"/>
      <c r="AN10" s="240"/>
      <c r="AO10" s="240"/>
      <c r="AP10" s="240"/>
      <c r="AQ10" s="240"/>
      <c r="AR10" s="187"/>
      <c r="AS10" s="187"/>
      <c r="AU10" s="269">
        <f t="shared" si="4"/>
        <v>6</v>
      </c>
      <c r="AV10" s="270">
        <v>0</v>
      </c>
      <c r="AW10" s="271">
        <v>0</v>
      </c>
      <c r="AX10" s="261">
        <v>0</v>
      </c>
      <c r="AY10" s="262">
        <v>0</v>
      </c>
      <c r="AZ10" s="272" t="s">
        <v>1273</v>
      </c>
      <c r="BA10" s="273">
        <f t="shared" si="0"/>
        <v>1</v>
      </c>
      <c r="BB10" s="197"/>
      <c r="BC10" s="274" t="str">
        <f t="shared" si="5"/>
        <v xml:space="preserve">    "0": { commit: "0" }  # /0/ ==&gt; 0</v>
      </c>
      <c r="BD10" s="275"/>
      <c r="BE10" s="269">
        <f t="shared" si="6"/>
        <v>6</v>
      </c>
      <c r="BF10" s="276"/>
      <c r="BG10" s="277"/>
      <c r="BH10" s="278"/>
      <c r="BI10" s="262"/>
      <c r="BJ10" s="279"/>
      <c r="BK10" s="280"/>
      <c r="BM10" s="196" t="str">
        <f t="shared" si="1"/>
        <v/>
      </c>
      <c r="BN10" s="269">
        <f t="shared" si="7"/>
        <v>6</v>
      </c>
      <c r="BO10" s="276">
        <v>0</v>
      </c>
      <c r="BP10" s="277">
        <v>0</v>
      </c>
      <c r="BQ10" s="278">
        <v>0</v>
      </c>
      <c r="BR10" s="262">
        <v>0</v>
      </c>
      <c r="BS10" s="279" t="str">
        <v>韻</v>
      </c>
      <c r="BT10" s="280">
        <v>1</v>
      </c>
      <c r="BV10" s="196" t="str">
        <f t="shared" si="2"/>
        <v/>
      </c>
      <c r="BW10" s="269">
        <f t="shared" si="8"/>
        <v>6</v>
      </c>
      <c r="BX10" s="276">
        <v>0</v>
      </c>
      <c r="BY10" s="277">
        <v>0</v>
      </c>
      <c r="BZ10" s="278">
        <v>0</v>
      </c>
      <c r="CA10" s="262">
        <v>0</v>
      </c>
      <c r="CB10" s="279" t="str">
        <v>聲</v>
      </c>
      <c r="CC10" s="280">
        <v>1</v>
      </c>
      <c r="CE10" s="281" t="str">
        <f t="shared" si="3"/>
        <v/>
      </c>
      <c r="CF10" s="269">
        <f t="shared" si="9"/>
        <v>6</v>
      </c>
      <c r="CG10" s="276"/>
      <c r="CH10" s="277"/>
      <c r="CI10" s="278"/>
      <c r="CJ10" s="262"/>
      <c r="CK10" s="279"/>
      <c r="CL10" s="280"/>
    </row>
    <row r="11" spans="1:92" s="197" customFormat="1" ht="60" customHeight="1">
      <c r="A11" s="198"/>
      <c r="B11" s="198"/>
      <c r="C11" s="198"/>
      <c r="D11" s="198"/>
      <c r="E11" s="334" t="s">
        <v>214</v>
      </c>
      <c r="F11" s="335"/>
      <c r="G11" s="336"/>
      <c r="H11" s="334" t="s">
        <v>1286</v>
      </c>
      <c r="I11" s="335"/>
      <c r="J11" s="336"/>
      <c r="K11" s="334" t="s">
        <v>82</v>
      </c>
      <c r="L11" s="335"/>
      <c r="M11" s="336"/>
      <c r="N11" s="334" t="s">
        <v>93</v>
      </c>
      <c r="O11" s="335"/>
      <c r="P11" s="336"/>
      <c r="Q11" s="334" t="s">
        <v>738</v>
      </c>
      <c r="R11" s="335"/>
      <c r="S11" s="336"/>
      <c r="T11" s="334" t="s">
        <v>89</v>
      </c>
      <c r="U11" s="335"/>
      <c r="V11" s="336"/>
      <c r="W11" s="337" t="s">
        <v>88</v>
      </c>
      <c r="X11" s="338"/>
      <c r="Y11" s="339"/>
      <c r="Z11" s="337" t="s">
        <v>1287</v>
      </c>
      <c r="AA11" s="338"/>
      <c r="AB11" s="339"/>
      <c r="AC11" s="337" t="s">
        <v>1288</v>
      </c>
      <c r="AD11" s="338"/>
      <c r="AE11" s="339"/>
      <c r="AF11" s="340" t="s">
        <v>1289</v>
      </c>
      <c r="AG11" s="341"/>
      <c r="AH11" s="342"/>
      <c r="AI11" s="198"/>
      <c r="AJ11" s="198"/>
      <c r="AK11" s="198"/>
      <c r="AL11" s="198"/>
      <c r="AM11" s="198"/>
      <c r="AN11" s="198"/>
      <c r="AO11" s="198"/>
      <c r="AP11" s="198"/>
      <c r="AQ11" s="198"/>
      <c r="AR11" s="214"/>
      <c r="AS11" s="214"/>
      <c r="AU11" s="269">
        <f t="shared" si="4"/>
        <v>7</v>
      </c>
      <c r="AV11" s="270">
        <v>0</v>
      </c>
      <c r="AW11" s="271">
        <v>0</v>
      </c>
      <c r="AX11" s="261">
        <v>0</v>
      </c>
      <c r="AY11" s="262">
        <v>0</v>
      </c>
      <c r="AZ11" s="272" t="s">
        <v>1273</v>
      </c>
      <c r="BA11" s="273">
        <f t="shared" si="0"/>
        <v>1</v>
      </c>
      <c r="BB11" s="188"/>
      <c r="BC11" s="274" t="str">
        <f t="shared" si="5"/>
        <v xml:space="preserve">    "0": { commit: "0" }  # /0/ ==&gt; 0</v>
      </c>
      <c r="BD11" s="275"/>
      <c r="BE11" s="269">
        <f t="shared" si="6"/>
        <v>7</v>
      </c>
      <c r="BF11" s="276"/>
      <c r="BG11" s="277"/>
      <c r="BH11" s="278"/>
      <c r="BI11" s="262"/>
      <c r="BJ11" s="279"/>
      <c r="BK11" s="280"/>
      <c r="BM11" s="196" t="str">
        <f t="shared" si="1"/>
        <v/>
      </c>
      <c r="BN11" s="269">
        <f t="shared" si="7"/>
        <v>7</v>
      </c>
      <c r="BO11" s="276">
        <v>0</v>
      </c>
      <c r="BP11" s="277">
        <v>0</v>
      </c>
      <c r="BQ11" s="278">
        <v>0</v>
      </c>
      <c r="BR11" s="262">
        <v>0</v>
      </c>
      <c r="BS11" s="279" t="str">
        <v>韻</v>
      </c>
      <c r="BT11" s="280">
        <v>1</v>
      </c>
      <c r="BV11" s="196" t="str">
        <f t="shared" si="2"/>
        <v/>
      </c>
      <c r="BW11" s="269">
        <f t="shared" si="8"/>
        <v>7</v>
      </c>
      <c r="BX11" s="276">
        <v>0</v>
      </c>
      <c r="BY11" s="277">
        <v>0</v>
      </c>
      <c r="BZ11" s="278">
        <v>0</v>
      </c>
      <c r="CA11" s="262">
        <v>0</v>
      </c>
      <c r="CB11" s="279" t="str">
        <v>聲</v>
      </c>
      <c r="CC11" s="280">
        <v>1</v>
      </c>
      <c r="CE11" s="281" t="str">
        <f t="shared" si="3"/>
        <v/>
      </c>
      <c r="CF11" s="269">
        <f t="shared" si="9"/>
        <v>7</v>
      </c>
      <c r="CG11" s="276"/>
      <c r="CH11" s="277"/>
      <c r="CI11" s="278"/>
      <c r="CJ11" s="262"/>
      <c r="CK11" s="279"/>
      <c r="CL11" s="280"/>
      <c r="CN11" s="196"/>
    </row>
    <row r="12" spans="1:92" s="197" customFormat="1" ht="60" customHeight="1">
      <c r="A12" s="198"/>
      <c r="B12" s="198"/>
      <c r="C12" s="198"/>
      <c r="D12" s="198"/>
      <c r="E12" s="219"/>
      <c r="F12" s="217"/>
      <c r="G12" s="220"/>
      <c r="H12" s="219"/>
      <c r="I12" s="217"/>
      <c r="J12" s="220"/>
      <c r="K12" s="219"/>
      <c r="L12" s="217"/>
      <c r="M12" s="220"/>
      <c r="N12" s="219"/>
      <c r="O12" s="217"/>
      <c r="P12" s="220"/>
      <c r="Q12" s="282"/>
      <c r="R12" s="217"/>
      <c r="S12" s="283"/>
      <c r="T12" s="216" t="s">
        <v>144</v>
      </c>
      <c r="U12" s="217"/>
      <c r="V12" s="220" t="s">
        <v>1290</v>
      </c>
      <c r="W12" s="227" t="s">
        <v>166</v>
      </c>
      <c r="X12" s="228"/>
      <c r="Y12" s="229" t="s">
        <v>210</v>
      </c>
      <c r="Z12" s="227" t="s">
        <v>174</v>
      </c>
      <c r="AA12" s="230">
        <v>0</v>
      </c>
      <c r="AB12" s="229" t="s">
        <v>418</v>
      </c>
      <c r="AC12" s="296"/>
      <c r="AD12" s="297"/>
      <c r="AE12" s="298"/>
      <c r="AF12" s="299"/>
      <c r="AG12" s="228"/>
      <c r="AH12" s="229"/>
      <c r="AI12" s="198"/>
      <c r="AJ12" s="198"/>
      <c r="AK12" s="198"/>
      <c r="AL12" s="198"/>
      <c r="AM12" s="198"/>
      <c r="AN12" s="198"/>
      <c r="AO12" s="198"/>
      <c r="AP12" s="198"/>
      <c r="AQ12" s="198" t="s">
        <v>1291</v>
      </c>
      <c r="AR12" s="214"/>
      <c r="AS12" s="214"/>
      <c r="AU12" s="269">
        <f t="shared" si="4"/>
        <v>8</v>
      </c>
      <c r="AV12" s="270">
        <v>0</v>
      </c>
      <c r="AW12" s="271">
        <v>0</v>
      </c>
      <c r="AX12" s="261">
        <v>0</v>
      </c>
      <c r="AY12" s="262">
        <v>0</v>
      </c>
      <c r="AZ12" s="272" t="s">
        <v>1273</v>
      </c>
      <c r="BA12" s="273">
        <f t="shared" si="0"/>
        <v>1</v>
      </c>
      <c r="BC12" s="274" t="str">
        <f t="shared" si="5"/>
        <v xml:space="preserve">    "0": { commit: "0" }  # /0/ ==&gt; 0</v>
      </c>
      <c r="BD12" s="275"/>
      <c r="BE12" s="269">
        <f t="shared" si="6"/>
        <v>8</v>
      </c>
      <c r="BF12" s="276"/>
      <c r="BG12" s="277"/>
      <c r="BH12" s="278"/>
      <c r="BI12" s="262"/>
      <c r="BJ12" s="279"/>
      <c r="BK12" s="280"/>
      <c r="BM12" s="196" t="str">
        <f t="shared" si="1"/>
        <v/>
      </c>
      <c r="BN12" s="269">
        <f t="shared" si="7"/>
        <v>8</v>
      </c>
      <c r="BO12" s="276">
        <v>0</v>
      </c>
      <c r="BP12" s="277">
        <v>0</v>
      </c>
      <c r="BQ12" s="278">
        <v>0</v>
      </c>
      <c r="BR12" s="262">
        <v>0</v>
      </c>
      <c r="BS12" s="279" t="str">
        <v>韻</v>
      </c>
      <c r="BT12" s="280">
        <v>1</v>
      </c>
      <c r="BV12" s="196" t="str">
        <f t="shared" si="2"/>
        <v/>
      </c>
      <c r="BW12" s="269">
        <f t="shared" si="8"/>
        <v>8</v>
      </c>
      <c r="BX12" s="276">
        <v>0</v>
      </c>
      <c r="BY12" s="277">
        <v>0</v>
      </c>
      <c r="BZ12" s="278">
        <v>0</v>
      </c>
      <c r="CA12" s="262">
        <v>0</v>
      </c>
      <c r="CB12" s="279" t="str">
        <v>聲</v>
      </c>
      <c r="CC12" s="280">
        <v>1</v>
      </c>
      <c r="CE12" s="281" t="str">
        <f t="shared" si="3"/>
        <v/>
      </c>
      <c r="CF12" s="269">
        <f t="shared" si="9"/>
        <v>8</v>
      </c>
      <c r="CG12" s="276"/>
      <c r="CH12" s="277"/>
      <c r="CI12" s="278"/>
      <c r="CJ12" s="262"/>
      <c r="CK12" s="279"/>
      <c r="CL12" s="280"/>
      <c r="CN12" s="196"/>
    </row>
    <row r="13" spans="1:92" ht="60" customHeight="1" thickBot="1">
      <c r="A13" s="240"/>
      <c r="B13" s="240"/>
      <c r="C13" s="240"/>
      <c r="D13" s="240"/>
      <c r="E13" s="289" t="s">
        <v>163</v>
      </c>
      <c r="F13" s="242"/>
      <c r="G13" s="291" t="s">
        <v>1292</v>
      </c>
      <c r="H13" s="241" t="s">
        <v>140</v>
      </c>
      <c r="I13" s="242"/>
      <c r="J13" s="244" t="s">
        <v>72</v>
      </c>
      <c r="K13" s="241" t="s">
        <v>149</v>
      </c>
      <c r="L13" s="242"/>
      <c r="M13" s="291" t="s">
        <v>80</v>
      </c>
      <c r="N13" s="241" t="s">
        <v>153</v>
      </c>
      <c r="O13" s="242"/>
      <c r="P13" s="291" t="s">
        <v>748</v>
      </c>
      <c r="Q13" s="289" t="s">
        <v>160</v>
      </c>
      <c r="R13" s="242"/>
      <c r="S13" s="291" t="s">
        <v>1293</v>
      </c>
      <c r="T13" s="241" t="s">
        <v>148</v>
      </c>
      <c r="U13" s="242"/>
      <c r="V13" s="291" t="s">
        <v>79</v>
      </c>
      <c r="W13" s="253" t="s">
        <v>157</v>
      </c>
      <c r="X13" s="251"/>
      <c r="Y13" s="255" t="s">
        <v>188</v>
      </c>
      <c r="Z13" s="253" t="s">
        <v>154</v>
      </c>
      <c r="AA13" s="251">
        <v>0</v>
      </c>
      <c r="AB13" s="255" t="s">
        <v>85</v>
      </c>
      <c r="AC13" s="256"/>
      <c r="AD13" s="251"/>
      <c r="AE13" s="255"/>
      <c r="AF13" s="253" t="s">
        <v>159</v>
      </c>
      <c r="AG13" s="251"/>
      <c r="AH13" s="255" t="s">
        <v>192</v>
      </c>
      <c r="AI13" s="240"/>
      <c r="AJ13" s="240"/>
      <c r="AK13" s="240"/>
      <c r="AL13" s="240"/>
      <c r="AM13" s="240"/>
      <c r="AN13" s="240"/>
      <c r="AO13" s="240"/>
      <c r="AP13" s="240"/>
      <c r="AQ13" s="240"/>
      <c r="AR13" s="187"/>
      <c r="AS13" s="187"/>
      <c r="AU13" s="269">
        <f t="shared" si="4"/>
        <v>9</v>
      </c>
      <c r="AV13" s="270">
        <v>0</v>
      </c>
      <c r="AW13" s="271">
        <v>0</v>
      </c>
      <c r="AX13" s="261">
        <v>0</v>
      </c>
      <c r="AY13" s="262">
        <v>0</v>
      </c>
      <c r="AZ13" s="272" t="s">
        <v>1273</v>
      </c>
      <c r="BA13" s="273">
        <f t="shared" si="0"/>
        <v>1</v>
      </c>
      <c r="BB13" s="197"/>
      <c r="BC13" s="274" t="str">
        <f t="shared" si="5"/>
        <v xml:space="preserve">    "0": { commit: "0" }  # /0/ ==&gt; 0</v>
      </c>
      <c r="BD13" s="275"/>
      <c r="BE13" s="269">
        <f t="shared" si="6"/>
        <v>9</v>
      </c>
      <c r="BF13" s="276"/>
      <c r="BG13" s="277"/>
      <c r="BH13" s="278"/>
      <c r="BI13" s="262"/>
      <c r="BJ13" s="279"/>
      <c r="BK13" s="280"/>
      <c r="BM13" s="196" t="str">
        <f t="shared" si="1"/>
        <v/>
      </c>
      <c r="BN13" s="269">
        <f t="shared" si="7"/>
        <v>9</v>
      </c>
      <c r="BO13" s="276">
        <v>0</v>
      </c>
      <c r="BP13" s="277">
        <v>0</v>
      </c>
      <c r="BQ13" s="278">
        <v>0</v>
      </c>
      <c r="BR13" s="262">
        <v>0</v>
      </c>
      <c r="BS13" s="279" t="str">
        <v>韻</v>
      </c>
      <c r="BT13" s="280">
        <v>0</v>
      </c>
      <c r="BV13" s="196" t="str">
        <f t="shared" si="2"/>
        <v/>
      </c>
      <c r="BW13" s="269">
        <f t="shared" si="8"/>
        <v>9</v>
      </c>
      <c r="BX13" s="276">
        <v>0</v>
      </c>
      <c r="BY13" s="277">
        <v>0</v>
      </c>
      <c r="BZ13" s="278">
        <v>0</v>
      </c>
      <c r="CA13" s="262">
        <v>0</v>
      </c>
      <c r="CB13" s="279" t="str">
        <v>聲</v>
      </c>
      <c r="CC13" s="280">
        <v>1</v>
      </c>
      <c r="CE13" s="281" t="str">
        <f t="shared" si="3"/>
        <v/>
      </c>
      <c r="CF13" s="269">
        <f t="shared" si="9"/>
        <v>9</v>
      </c>
      <c r="CG13" s="276"/>
      <c r="CH13" s="277"/>
      <c r="CI13" s="278"/>
      <c r="CJ13" s="262"/>
      <c r="CK13" s="279"/>
      <c r="CL13" s="280"/>
    </row>
    <row r="14" spans="1:92" ht="45" customHeight="1">
      <c r="AU14" s="269">
        <f t="shared" si="4"/>
        <v>10</v>
      </c>
      <c r="AV14" s="270">
        <v>0</v>
      </c>
      <c r="AW14" s="271">
        <v>0</v>
      </c>
      <c r="AX14" s="261">
        <v>0</v>
      </c>
      <c r="AY14" s="262">
        <v>0</v>
      </c>
      <c r="AZ14" s="272" t="s">
        <v>1273</v>
      </c>
      <c r="BA14" s="273">
        <f t="shared" si="0"/>
        <v>1</v>
      </c>
      <c r="BC14" s="274" t="str">
        <f t="shared" si="5"/>
        <v xml:space="preserve">    "0": { commit: "0" }  # /0/ ==&gt; 0</v>
      </c>
      <c r="BD14" s="275"/>
      <c r="BE14" s="269">
        <f t="shared" si="6"/>
        <v>10</v>
      </c>
      <c r="BF14" s="276"/>
      <c r="BG14" s="277"/>
      <c r="BH14" s="278"/>
      <c r="BI14" s="262"/>
      <c r="BJ14" s="279"/>
      <c r="BK14" s="280"/>
      <c r="BM14" s="196" t="str">
        <f t="shared" si="1"/>
        <v/>
      </c>
      <c r="BN14" s="269">
        <f t="shared" si="7"/>
        <v>10</v>
      </c>
      <c r="BO14" s="276">
        <v>0</v>
      </c>
      <c r="BP14" s="277">
        <v>0</v>
      </c>
      <c r="BQ14" s="278">
        <v>0</v>
      </c>
      <c r="BR14" s="262">
        <v>0</v>
      </c>
      <c r="BS14" s="279" t="str">
        <v>韻</v>
      </c>
      <c r="BT14" s="280">
        <v>0</v>
      </c>
      <c r="BV14" s="196" t="str">
        <f t="shared" si="2"/>
        <v/>
      </c>
      <c r="BW14" s="269">
        <f t="shared" si="8"/>
        <v>10</v>
      </c>
      <c r="BX14" s="276">
        <v>0</v>
      </c>
      <c r="BY14" s="277">
        <v>0</v>
      </c>
      <c r="BZ14" s="278">
        <v>0</v>
      </c>
      <c r="CA14" s="262">
        <v>0</v>
      </c>
      <c r="CB14" s="279" t="str">
        <v>聲</v>
      </c>
      <c r="CC14" s="280">
        <v>1</v>
      </c>
      <c r="CE14" s="281" t="str">
        <f t="shared" si="3"/>
        <v/>
      </c>
      <c r="CF14" s="269">
        <f t="shared" si="9"/>
        <v>10</v>
      </c>
      <c r="CG14" s="276"/>
      <c r="CH14" s="277"/>
      <c r="CI14" s="278"/>
      <c r="CJ14" s="262"/>
      <c r="CK14" s="279"/>
      <c r="CL14" s="280"/>
    </row>
    <row r="15" spans="1:92" s="300" customFormat="1" ht="45" customHeight="1">
      <c r="A15" s="240"/>
      <c r="B15" s="240"/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  <c r="AO15" s="240"/>
      <c r="AP15" s="240"/>
      <c r="AQ15" s="240"/>
      <c r="AR15" s="187"/>
      <c r="AS15" s="187"/>
      <c r="AU15" s="269">
        <f t="shared" si="4"/>
        <v>11</v>
      </c>
      <c r="AV15" s="270">
        <v>0</v>
      </c>
      <c r="AW15" s="271">
        <v>0</v>
      </c>
      <c r="AX15" s="261">
        <v>0</v>
      </c>
      <c r="AY15" s="262">
        <v>0</v>
      </c>
      <c r="AZ15" s="272" t="s">
        <v>1273</v>
      </c>
      <c r="BA15" s="273">
        <f t="shared" si="0"/>
        <v>1</v>
      </c>
      <c r="BB15" s="188"/>
      <c r="BC15" s="274" t="str">
        <f t="shared" si="5"/>
        <v xml:space="preserve">    "0": { commit: "0" }  # /0/ ==&gt; 0</v>
      </c>
      <c r="BD15" s="275"/>
      <c r="BE15" s="269">
        <f t="shared" si="6"/>
        <v>11</v>
      </c>
      <c r="BF15" s="276"/>
      <c r="BG15" s="277"/>
      <c r="BH15" s="278"/>
      <c r="BI15" s="262"/>
      <c r="BJ15" s="279"/>
      <c r="BK15" s="280"/>
      <c r="BM15" s="196" t="str">
        <f t="shared" si="1"/>
        <v/>
      </c>
      <c r="BN15" s="269">
        <f t="shared" si="7"/>
        <v>11</v>
      </c>
      <c r="BO15" s="276">
        <v>0</v>
      </c>
      <c r="BP15" s="277">
        <v>0</v>
      </c>
      <c r="BQ15" s="278">
        <v>0</v>
      </c>
      <c r="BR15" s="262">
        <v>0</v>
      </c>
      <c r="BS15" s="279" t="str">
        <v>韻</v>
      </c>
      <c r="BT15" s="280">
        <v>0</v>
      </c>
      <c r="BV15" s="196" t="str">
        <f t="shared" si="2"/>
        <v/>
      </c>
      <c r="BW15" s="269">
        <f t="shared" si="8"/>
        <v>11</v>
      </c>
      <c r="BX15" s="276">
        <v>0</v>
      </c>
      <c r="BY15" s="277">
        <v>0</v>
      </c>
      <c r="BZ15" s="278">
        <v>0</v>
      </c>
      <c r="CA15" s="262">
        <v>0</v>
      </c>
      <c r="CB15" s="279" t="str">
        <v>聲</v>
      </c>
      <c r="CC15" s="280">
        <v>1</v>
      </c>
      <c r="CE15" s="281" t="str">
        <f xml:space="preserve"> _xlfn.CONCAT("    - xform/^", BY15, "/", BY15, "/", "      # ", CA15, " [", BX15, "]" )</f>
        <v xml:space="preserve">    - xform/^0/0/      # 0 [0]</v>
      </c>
      <c r="CF15" s="269">
        <f t="shared" si="9"/>
        <v>11</v>
      </c>
      <c r="CG15" s="276"/>
      <c r="CH15" s="277"/>
      <c r="CI15" s="278"/>
      <c r="CJ15" s="262"/>
      <c r="CK15" s="279"/>
      <c r="CL15" s="280"/>
      <c r="CN15" s="196"/>
    </row>
    <row r="16" spans="1:92" s="301" customFormat="1" ht="45" customHeight="1">
      <c r="A16" s="188"/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U16" s="269">
        <f t="shared" si="4"/>
        <v>12</v>
      </c>
      <c r="AV16" s="270">
        <v>0</v>
      </c>
      <c r="AW16" s="271">
        <v>0</v>
      </c>
      <c r="AX16" s="261">
        <v>0</v>
      </c>
      <c r="AY16" s="262">
        <v>0</v>
      </c>
      <c r="AZ16" s="272" t="s">
        <v>1273</v>
      </c>
      <c r="BA16" s="273">
        <f t="shared" si="0"/>
        <v>1</v>
      </c>
      <c r="BB16" s="300"/>
      <c r="BC16" s="274" t="str">
        <f xml:space="preserve"> "    """ &amp; AX16 &amp; """: { commit: """ &amp; AY16 &amp; """ }" &amp; "  # " &amp; "/" &amp; AV17 &amp; "/ ==&gt; " &amp; AW16</f>
        <v xml:space="preserve">    "0": { commit: "0" }  # /0/ ==&gt; 0</v>
      </c>
      <c r="BD16" s="275"/>
      <c r="BE16" s="269">
        <f t="shared" si="6"/>
        <v>12</v>
      </c>
      <c r="BF16" s="276"/>
      <c r="BG16" s="277"/>
      <c r="BH16" s="278"/>
      <c r="BI16" s="262"/>
      <c r="BJ16" s="279"/>
      <c r="BK16" s="280"/>
      <c r="BM16" s="196" t="str">
        <f t="shared" si="1"/>
        <v/>
      </c>
      <c r="BN16" s="269">
        <f t="shared" si="7"/>
        <v>12</v>
      </c>
      <c r="BO16" s="276">
        <v>0</v>
      </c>
      <c r="BP16" s="277">
        <v>0</v>
      </c>
      <c r="BQ16" s="278">
        <v>0</v>
      </c>
      <c r="BR16" s="262">
        <v>0</v>
      </c>
      <c r="BS16" s="279" t="str">
        <v>韻</v>
      </c>
      <c r="BT16" s="280">
        <v>0</v>
      </c>
      <c r="BV16" s="196" t="str">
        <f t="shared" si="2"/>
        <v/>
      </c>
      <c r="BW16" s="269">
        <f t="shared" si="8"/>
        <v>12</v>
      </c>
      <c r="BX16" s="276">
        <v>0</v>
      </c>
      <c r="BY16" s="277">
        <v>0</v>
      </c>
      <c r="BZ16" s="278">
        <v>0</v>
      </c>
      <c r="CA16" s="262">
        <v>0</v>
      </c>
      <c r="CB16" s="279" t="str">
        <v>聲</v>
      </c>
      <c r="CC16" s="280">
        <v>1</v>
      </c>
      <c r="CE16" s="281" t="str">
        <f t="shared" ref="CE16:CE25" si="10" xml:space="preserve"> _xlfn.CONCAT("    - xform/^", BY16, "/", BY16, "/", "      # ", CA16, " [", BX16, "]" )</f>
        <v xml:space="preserve">    - xform/^0/0/      # 0 [0]</v>
      </c>
      <c r="CF16" s="269">
        <f t="shared" si="9"/>
        <v>12</v>
      </c>
      <c r="CG16" s="276"/>
      <c r="CH16" s="277"/>
      <c r="CI16" s="278"/>
      <c r="CJ16" s="262"/>
      <c r="CK16" s="279"/>
      <c r="CL16" s="280"/>
      <c r="CN16" s="196"/>
    </row>
    <row r="17" spans="1:92" s="301" customFormat="1" ht="45" customHeight="1">
      <c r="A17" s="240"/>
      <c r="B17" s="240"/>
      <c r="C17" s="240"/>
      <c r="D17" s="240"/>
      <c r="E17" s="240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  <c r="AI17" s="240"/>
      <c r="AJ17" s="240"/>
      <c r="AK17" s="240"/>
      <c r="AL17" s="240"/>
      <c r="AM17" s="240"/>
      <c r="AN17" s="240"/>
      <c r="AO17" s="240"/>
      <c r="AP17" s="240"/>
      <c r="AQ17" s="240"/>
      <c r="AR17" s="187"/>
      <c r="AS17" s="187"/>
      <c r="AU17" s="269">
        <f t="shared" si="4"/>
        <v>13</v>
      </c>
      <c r="AV17" s="270">
        <v>0</v>
      </c>
      <c r="AW17" s="271">
        <v>0</v>
      </c>
      <c r="AX17" s="261">
        <v>0</v>
      </c>
      <c r="AY17" s="262">
        <v>0</v>
      </c>
      <c r="AZ17" s="272" t="s">
        <v>1273</v>
      </c>
      <c r="BA17" s="273">
        <f t="shared" si="0"/>
        <v>1</v>
      </c>
      <c r="BC17" s="274" t="str">
        <f t="shared" ref="BC17:BC31" si="11" xml:space="preserve"> "    """ &amp; AX17 &amp; """: { commit: """ &amp; AY17 &amp; """ }" &amp; "  # " &amp; "/" &amp; AV18 &amp; "/ ==&gt; " &amp; AW17</f>
        <v xml:space="preserve">    "0": { commit: "0" }  # /0/ ==&gt; 0</v>
      </c>
      <c r="BD17" s="275"/>
      <c r="BE17" s="269">
        <f t="shared" si="6"/>
        <v>13</v>
      </c>
      <c r="BF17" s="276"/>
      <c r="BG17" s="277"/>
      <c r="BH17" s="278"/>
      <c r="BI17" s="262"/>
      <c r="BJ17" s="279"/>
      <c r="BK17" s="280"/>
      <c r="BM17" s="196" t="str">
        <f t="shared" si="1"/>
        <v/>
      </c>
      <c r="BN17" s="269">
        <f t="shared" si="7"/>
        <v>13</v>
      </c>
      <c r="BO17" s="276">
        <v>0</v>
      </c>
      <c r="BP17" s="277">
        <v>0</v>
      </c>
      <c r="BQ17" s="278">
        <v>0</v>
      </c>
      <c r="BR17" s="262">
        <v>0</v>
      </c>
      <c r="BS17" s="279" t="str">
        <v>韻</v>
      </c>
      <c r="BT17" s="280">
        <v>0</v>
      </c>
      <c r="BV17" s="196" t="str">
        <f t="shared" si="2"/>
        <v/>
      </c>
      <c r="BW17" s="269">
        <f t="shared" si="8"/>
        <v>13</v>
      </c>
      <c r="BX17" s="276">
        <v>0</v>
      </c>
      <c r="BY17" s="277">
        <v>0</v>
      </c>
      <c r="BZ17" s="278">
        <v>0</v>
      </c>
      <c r="CA17" s="262">
        <v>0</v>
      </c>
      <c r="CB17" s="279" t="str">
        <v>聲</v>
      </c>
      <c r="CC17" s="280">
        <v>1</v>
      </c>
      <c r="CE17" s="281" t="str">
        <f t="shared" si="10"/>
        <v xml:space="preserve">    - xform/^0/0/      # 0 [0]</v>
      </c>
      <c r="CF17" s="269">
        <f t="shared" si="9"/>
        <v>13</v>
      </c>
      <c r="CG17" s="276"/>
      <c r="CH17" s="277"/>
      <c r="CI17" s="278"/>
      <c r="CJ17" s="262"/>
      <c r="CK17" s="279"/>
      <c r="CL17" s="280"/>
      <c r="CN17" s="196"/>
    </row>
    <row r="18" spans="1:92" s="301" customFormat="1" ht="4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U18" s="269">
        <f t="shared" si="4"/>
        <v>14</v>
      </c>
      <c r="AV18" s="270">
        <v>0</v>
      </c>
      <c r="AW18" s="271">
        <v>0</v>
      </c>
      <c r="AX18" s="261">
        <v>0</v>
      </c>
      <c r="AY18" s="262">
        <v>0</v>
      </c>
      <c r="AZ18" s="272" t="s">
        <v>1273</v>
      </c>
      <c r="BA18" s="273">
        <f t="shared" si="0"/>
        <v>1</v>
      </c>
      <c r="BC18" s="274" t="str">
        <f t="shared" si="11"/>
        <v xml:space="preserve">    "0": { commit: "0" }  # /0/ ==&gt; 0</v>
      </c>
      <c r="BD18" s="275"/>
      <c r="BE18" s="269">
        <f t="shared" si="6"/>
        <v>14</v>
      </c>
      <c r="BF18" s="276"/>
      <c r="BG18" s="277"/>
      <c r="BH18" s="278"/>
      <c r="BI18" s="262"/>
      <c r="BJ18" s="279"/>
      <c r="BK18" s="280"/>
      <c r="BM18" s="196" t="str">
        <f t="shared" si="1"/>
        <v/>
      </c>
      <c r="BN18" s="269">
        <f t="shared" si="7"/>
        <v>14</v>
      </c>
      <c r="BO18" s="276">
        <v>0</v>
      </c>
      <c r="BP18" s="277">
        <v>0</v>
      </c>
      <c r="BQ18" s="278">
        <v>0</v>
      </c>
      <c r="BR18" s="262">
        <v>0</v>
      </c>
      <c r="BS18" s="279" t="str">
        <v>韻</v>
      </c>
      <c r="BT18" s="280">
        <v>0</v>
      </c>
      <c r="BV18" s="196" t="str">
        <f t="shared" si="2"/>
        <v/>
      </c>
      <c r="BW18" s="269">
        <f t="shared" si="8"/>
        <v>14</v>
      </c>
      <c r="BX18" s="276">
        <v>0</v>
      </c>
      <c r="BY18" s="277">
        <v>0</v>
      </c>
      <c r="BZ18" s="278">
        <v>0</v>
      </c>
      <c r="CA18" s="262">
        <v>0</v>
      </c>
      <c r="CB18" s="279" t="str">
        <v>聲</v>
      </c>
      <c r="CC18" s="280">
        <v>1</v>
      </c>
      <c r="CE18" s="281" t="str">
        <f t="shared" si="10"/>
        <v xml:space="preserve">    - xform/^0/0/      # 0 [0]</v>
      </c>
      <c r="CF18" s="269">
        <f t="shared" si="9"/>
        <v>14</v>
      </c>
      <c r="CG18" s="276"/>
      <c r="CH18" s="277"/>
      <c r="CI18" s="278"/>
      <c r="CJ18" s="262"/>
      <c r="CK18" s="279"/>
      <c r="CL18" s="280"/>
      <c r="CN18" s="196"/>
    </row>
    <row r="19" spans="1:92" s="301" customFormat="1" ht="45" customHeight="1">
      <c r="A19" s="240"/>
      <c r="B19" s="240"/>
      <c r="C19" s="240"/>
      <c r="D19" s="240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0"/>
      <c r="AQ19" s="240"/>
      <c r="AR19" s="187"/>
      <c r="AS19" s="187"/>
      <c r="AU19" s="269">
        <f t="shared" si="4"/>
        <v>15</v>
      </c>
      <c r="AV19" s="270">
        <v>0</v>
      </c>
      <c r="AW19" s="271">
        <v>0</v>
      </c>
      <c r="AX19" s="261">
        <v>0</v>
      </c>
      <c r="AY19" s="262">
        <v>0</v>
      </c>
      <c r="AZ19" s="272" t="s">
        <v>1273</v>
      </c>
      <c r="BA19" s="273">
        <f t="shared" si="0"/>
        <v>1</v>
      </c>
      <c r="BC19" s="274" t="str">
        <f t="shared" si="11"/>
        <v xml:space="preserve">    "0": { commit: "0" }  # /0/ ==&gt; 0</v>
      </c>
      <c r="BD19" s="275"/>
      <c r="BE19" s="269">
        <f t="shared" si="6"/>
        <v>15</v>
      </c>
      <c r="BF19" s="276"/>
      <c r="BG19" s="277"/>
      <c r="BH19" s="278"/>
      <c r="BI19" s="262"/>
      <c r="BJ19" s="279"/>
      <c r="BK19" s="280"/>
      <c r="BM19" s="196" t="str">
        <f t="shared" si="1"/>
        <v/>
      </c>
      <c r="BN19" s="269">
        <f t="shared" si="7"/>
        <v>15</v>
      </c>
      <c r="BO19" s="276">
        <v>0</v>
      </c>
      <c r="BP19" s="277">
        <v>0</v>
      </c>
      <c r="BQ19" s="278">
        <v>0</v>
      </c>
      <c r="BR19" s="262">
        <v>0</v>
      </c>
      <c r="BS19" s="279" t="str">
        <v>韻</v>
      </c>
      <c r="BT19" s="280">
        <v>0</v>
      </c>
      <c r="BV19" s="196" t="str">
        <f t="shared" si="2"/>
        <v/>
      </c>
      <c r="BW19" s="269">
        <f t="shared" si="8"/>
        <v>15</v>
      </c>
      <c r="BX19" s="276">
        <v>0</v>
      </c>
      <c r="BY19" s="277">
        <v>0</v>
      </c>
      <c r="BZ19" s="278">
        <v>0</v>
      </c>
      <c r="CA19" s="262">
        <v>0</v>
      </c>
      <c r="CB19" s="279" t="str">
        <v>聲</v>
      </c>
      <c r="CC19" s="280">
        <v>1</v>
      </c>
      <c r="CE19" s="281" t="str">
        <f t="shared" si="10"/>
        <v xml:space="preserve">    - xform/^0/0/      # 0 [0]</v>
      </c>
      <c r="CF19" s="269">
        <f t="shared" si="9"/>
        <v>15</v>
      </c>
      <c r="CG19" s="276"/>
      <c r="CH19" s="277"/>
      <c r="CI19" s="278"/>
      <c r="CJ19" s="262"/>
      <c r="CK19" s="279"/>
      <c r="CL19" s="280"/>
      <c r="CN19" s="196"/>
    </row>
    <row r="20" spans="1:92" ht="45" customHeight="1">
      <c r="AU20" s="269">
        <f t="shared" si="4"/>
        <v>16</v>
      </c>
      <c r="AV20" s="270">
        <v>0</v>
      </c>
      <c r="AW20" s="271">
        <v>0</v>
      </c>
      <c r="AX20" s="261">
        <v>0</v>
      </c>
      <c r="AY20" s="262">
        <v>0</v>
      </c>
      <c r="AZ20" s="272" t="s">
        <v>1273</v>
      </c>
      <c r="BA20" s="273">
        <f t="shared" si="0"/>
        <v>1</v>
      </c>
      <c r="BB20" s="301"/>
      <c r="BC20" s="274" t="str">
        <f xml:space="preserve"> "    """ &amp; AX20 &amp; """: { commit: """ &amp; AY20 &amp; """ }" &amp; "  # " &amp; "/" &amp; AV21 &amp; "/ ==&gt; " &amp; AW20</f>
        <v xml:space="preserve">    "0": { commit: "0" }  # /0/ ==&gt; 0</v>
      </c>
      <c r="BD20" s="275"/>
      <c r="BE20" s="269">
        <f t="shared" si="6"/>
        <v>16</v>
      </c>
      <c r="BF20" s="276"/>
      <c r="BG20" s="277"/>
      <c r="BH20" s="278"/>
      <c r="BI20" s="262"/>
      <c r="BJ20" s="279"/>
      <c r="BK20" s="280"/>
      <c r="BM20" s="196" t="str">
        <f t="shared" si="1"/>
        <v/>
      </c>
      <c r="BN20" s="269">
        <f t="shared" si="7"/>
        <v>16</v>
      </c>
      <c r="BO20" s="276"/>
      <c r="BP20" s="277"/>
      <c r="BQ20" s="278"/>
      <c r="BR20" s="262"/>
      <c r="BS20" s="279"/>
      <c r="BT20" s="280"/>
      <c r="BV20" s="196" t="str">
        <f t="shared" si="2"/>
        <v/>
      </c>
      <c r="BW20" s="269">
        <f t="shared" si="8"/>
        <v>16</v>
      </c>
      <c r="BX20" s="276">
        <v>0</v>
      </c>
      <c r="BY20" s="277">
        <v>0</v>
      </c>
      <c r="BZ20" s="278">
        <v>0</v>
      </c>
      <c r="CA20" s="262">
        <v>0</v>
      </c>
      <c r="CB20" s="279" t="str">
        <v>聲</v>
      </c>
      <c r="CC20" s="280">
        <v>1</v>
      </c>
      <c r="CE20" s="281" t="str">
        <f t="shared" si="10"/>
        <v xml:space="preserve">    - xform/^0/0/      # 0 [0]</v>
      </c>
      <c r="CF20" s="269">
        <f t="shared" si="9"/>
        <v>16</v>
      </c>
      <c r="CG20" s="276"/>
      <c r="CH20" s="277"/>
      <c r="CI20" s="278"/>
      <c r="CJ20" s="262"/>
      <c r="CK20" s="279"/>
      <c r="CL20" s="280"/>
    </row>
    <row r="21" spans="1:92" s="302" customFormat="1" ht="45" customHeight="1">
      <c r="A21" s="240"/>
      <c r="B21" s="240"/>
      <c r="C21" s="240"/>
      <c r="D21" s="240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  <c r="AA21" s="240"/>
      <c r="AB21" s="240"/>
      <c r="AC21" s="240"/>
      <c r="AD21" s="240"/>
      <c r="AE21" s="240"/>
      <c r="AF21" s="240"/>
      <c r="AG21" s="240"/>
      <c r="AH21" s="240"/>
      <c r="AI21" s="240"/>
      <c r="AJ21" s="240"/>
      <c r="AK21" s="240"/>
      <c r="AL21" s="240"/>
      <c r="AM21" s="240"/>
      <c r="AN21" s="240"/>
      <c r="AO21" s="240"/>
      <c r="AP21" s="240"/>
      <c r="AQ21" s="240"/>
      <c r="AR21" s="187"/>
      <c r="AS21" s="187"/>
      <c r="AT21" s="188"/>
      <c r="AU21" s="269">
        <f t="shared" si="4"/>
        <v>17</v>
      </c>
      <c r="AV21" s="270">
        <v>0</v>
      </c>
      <c r="AW21" s="271">
        <v>0</v>
      </c>
      <c r="AX21" s="261">
        <v>0</v>
      </c>
      <c r="AY21" s="262">
        <v>0</v>
      </c>
      <c r="AZ21" s="272" t="s">
        <v>1273</v>
      </c>
      <c r="BA21" s="273">
        <f t="shared" si="0"/>
        <v>1</v>
      </c>
      <c r="BB21" s="188"/>
      <c r="BC21" s="274" t="str">
        <f t="shared" si="11"/>
        <v xml:space="preserve">    "0": { commit: "0" }  # /0/ ==&gt; 0</v>
      </c>
      <c r="BD21" s="275"/>
      <c r="BE21" s="269">
        <f t="shared" si="6"/>
        <v>17</v>
      </c>
      <c r="BF21" s="276"/>
      <c r="BG21" s="277"/>
      <c r="BH21" s="278"/>
      <c r="BI21" s="262"/>
      <c r="BJ21" s="279"/>
      <c r="BK21" s="280"/>
      <c r="BM21" s="196" t="str">
        <f t="shared" si="1"/>
        <v/>
      </c>
      <c r="BN21" s="269">
        <f t="shared" si="7"/>
        <v>17</v>
      </c>
      <c r="BO21" s="276"/>
      <c r="BP21" s="277"/>
      <c r="BQ21" s="278"/>
      <c r="BR21" s="262"/>
      <c r="BS21" s="279"/>
      <c r="BT21" s="280"/>
      <c r="BV21" s="196" t="str">
        <f t="shared" si="2"/>
        <v/>
      </c>
      <c r="BW21" s="269">
        <f t="shared" si="8"/>
        <v>17</v>
      </c>
      <c r="BX21" s="276">
        <v>0</v>
      </c>
      <c r="BY21" s="277">
        <v>0</v>
      </c>
      <c r="BZ21" s="278">
        <v>0</v>
      </c>
      <c r="CA21" s="262">
        <v>0</v>
      </c>
      <c r="CB21" s="279" t="str">
        <v>聲</v>
      </c>
      <c r="CC21" s="280">
        <v>1</v>
      </c>
      <c r="CE21" s="281" t="str">
        <f xml:space="preserve"> _xlfn.CONCAT("    - xform/^", BY21, "/", BY21, "/", "      # ", CA21, " [", BX21, "]" )</f>
        <v xml:space="preserve">    - xform/^0/0/      # 0 [0]</v>
      </c>
      <c r="CF21" s="269">
        <f t="shared" si="9"/>
        <v>17</v>
      </c>
      <c r="CG21" s="276"/>
      <c r="CH21" s="277"/>
      <c r="CI21" s="278"/>
      <c r="CJ21" s="262"/>
      <c r="CK21" s="279"/>
      <c r="CL21" s="280"/>
      <c r="CN21" s="196"/>
    </row>
    <row r="22" spans="1:92" s="302" customFormat="1" ht="45" customHeight="1">
      <c r="A22" s="188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269">
        <f t="shared" si="4"/>
        <v>18</v>
      </c>
      <c r="AV22" s="270">
        <v>0</v>
      </c>
      <c r="AW22" s="271">
        <v>0</v>
      </c>
      <c r="AX22" s="261">
        <v>0</v>
      </c>
      <c r="AY22" s="262">
        <v>0</v>
      </c>
      <c r="AZ22" s="272" t="s">
        <v>1273</v>
      </c>
      <c r="BA22" s="273">
        <f t="shared" si="0"/>
        <v>1</v>
      </c>
      <c r="BC22" s="274" t="str">
        <f t="shared" si="11"/>
        <v xml:space="preserve">    "0": { commit: "0" }  # /0/ ==&gt; 0</v>
      </c>
      <c r="BD22" s="275"/>
      <c r="BE22" s="269">
        <f t="shared" si="6"/>
        <v>18</v>
      </c>
      <c r="BF22" s="276"/>
      <c r="BG22" s="277"/>
      <c r="BH22" s="278"/>
      <c r="BI22" s="262"/>
      <c r="BJ22" s="279"/>
      <c r="BK22" s="280"/>
      <c r="BM22" s="196" t="str">
        <f t="shared" si="1"/>
        <v/>
      </c>
      <c r="BN22" s="269">
        <f t="shared" si="7"/>
        <v>18</v>
      </c>
      <c r="BO22" s="276"/>
      <c r="BP22" s="277"/>
      <c r="BQ22" s="278"/>
      <c r="BR22" s="262"/>
      <c r="BS22" s="279"/>
      <c r="BT22" s="280"/>
      <c r="BV22" s="196" t="str">
        <f t="shared" si="2"/>
        <v/>
      </c>
      <c r="BW22" s="269">
        <f t="shared" si="8"/>
        <v>18</v>
      </c>
      <c r="BX22" s="276">
        <v>0</v>
      </c>
      <c r="BY22" s="277">
        <v>0</v>
      </c>
      <c r="BZ22" s="278">
        <v>0</v>
      </c>
      <c r="CA22" s="262">
        <v>0</v>
      </c>
      <c r="CB22" s="279" t="str">
        <v>聲</v>
      </c>
      <c r="CC22" s="280">
        <v>1</v>
      </c>
      <c r="CE22" s="281" t="str">
        <f t="shared" si="10"/>
        <v xml:space="preserve">    - xform/^0/0/      # 0 [0]</v>
      </c>
      <c r="CF22" s="269">
        <f t="shared" si="9"/>
        <v>18</v>
      </c>
      <c r="CG22" s="276"/>
      <c r="CH22" s="277"/>
      <c r="CI22" s="278"/>
      <c r="CJ22" s="262"/>
      <c r="CK22" s="279"/>
      <c r="CL22" s="280"/>
      <c r="CN22" s="196"/>
    </row>
    <row r="23" spans="1:92" s="303" customFormat="1" ht="45" customHeight="1">
      <c r="A23" s="240"/>
      <c r="B23" s="240"/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0"/>
      <c r="AA23" s="240"/>
      <c r="AB23" s="240"/>
      <c r="AC23" s="240"/>
      <c r="AD23" s="240"/>
      <c r="AE23" s="240"/>
      <c r="AF23" s="240"/>
      <c r="AG23" s="240"/>
      <c r="AH23" s="240"/>
      <c r="AI23" s="240"/>
      <c r="AJ23" s="240"/>
      <c r="AK23" s="240"/>
      <c r="AL23" s="240"/>
      <c r="AM23" s="240"/>
      <c r="AN23" s="240"/>
      <c r="AO23" s="240"/>
      <c r="AP23" s="240"/>
      <c r="AQ23" s="240"/>
      <c r="AR23" s="187"/>
      <c r="AS23" s="187"/>
      <c r="AT23" s="188"/>
      <c r="AU23" s="269">
        <f t="shared" si="4"/>
        <v>19</v>
      </c>
      <c r="AV23" s="270">
        <v>0</v>
      </c>
      <c r="AW23" s="271">
        <v>0</v>
      </c>
      <c r="AX23" s="261">
        <v>0</v>
      </c>
      <c r="AY23" s="262">
        <v>0</v>
      </c>
      <c r="AZ23" s="272" t="s">
        <v>1273</v>
      </c>
      <c r="BA23" s="273">
        <f t="shared" si="0"/>
        <v>1</v>
      </c>
      <c r="BB23" s="302"/>
      <c r="BC23" s="274" t="str">
        <f t="shared" si="11"/>
        <v xml:space="preserve">    "0": { commit: "0" }  # /0/ ==&gt; 0</v>
      </c>
      <c r="BD23" s="275"/>
      <c r="BE23" s="269">
        <f t="shared" si="6"/>
        <v>19</v>
      </c>
      <c r="BF23" s="276"/>
      <c r="BG23" s="277"/>
      <c r="BH23" s="278"/>
      <c r="BI23" s="262"/>
      <c r="BJ23" s="279"/>
      <c r="BK23" s="280"/>
      <c r="BM23" s="196" t="str">
        <f t="shared" si="1"/>
        <v/>
      </c>
      <c r="BN23" s="269">
        <f t="shared" si="7"/>
        <v>19</v>
      </c>
      <c r="BO23" s="276"/>
      <c r="BP23" s="277"/>
      <c r="BQ23" s="278"/>
      <c r="BR23" s="262"/>
      <c r="BS23" s="279"/>
      <c r="BT23" s="280"/>
      <c r="BV23" s="196" t="str">
        <f t="shared" si="2"/>
        <v/>
      </c>
      <c r="BW23" s="269">
        <f t="shared" si="8"/>
        <v>19</v>
      </c>
      <c r="BX23" s="276">
        <v>0</v>
      </c>
      <c r="BY23" s="277">
        <v>0</v>
      </c>
      <c r="BZ23" s="278">
        <v>0</v>
      </c>
      <c r="CA23" s="262">
        <v>0</v>
      </c>
      <c r="CB23" s="279" t="str">
        <v>聲</v>
      </c>
      <c r="CC23" s="280">
        <v>1</v>
      </c>
      <c r="CE23" s="281" t="str">
        <f t="shared" si="10"/>
        <v xml:space="preserve">    - xform/^0/0/      # 0 [0]</v>
      </c>
      <c r="CF23" s="269">
        <f t="shared" si="9"/>
        <v>19</v>
      </c>
      <c r="CG23" s="276"/>
      <c r="CH23" s="277"/>
      <c r="CI23" s="278"/>
      <c r="CJ23" s="262"/>
      <c r="CK23" s="279"/>
      <c r="CL23" s="280"/>
      <c r="CN23" s="196"/>
    </row>
    <row r="24" spans="1:92" s="302" customFormat="1" ht="4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269">
        <f t="shared" si="4"/>
        <v>20</v>
      </c>
      <c r="AV24" s="270">
        <v>0</v>
      </c>
      <c r="AW24" s="271">
        <v>0</v>
      </c>
      <c r="AX24" s="261">
        <v>0</v>
      </c>
      <c r="AY24" s="262">
        <v>0</v>
      </c>
      <c r="AZ24" s="272" t="s">
        <v>1273</v>
      </c>
      <c r="BA24" s="273">
        <f t="shared" si="0"/>
        <v>1</v>
      </c>
      <c r="BB24" s="303"/>
      <c r="BC24" s="274" t="str">
        <f t="shared" si="11"/>
        <v xml:space="preserve">    "0": { commit: "0" }  # /0/ ==&gt; 0</v>
      </c>
      <c r="BD24" s="304"/>
      <c r="BE24" s="269">
        <f t="shared" si="6"/>
        <v>20</v>
      </c>
      <c r="BF24" s="276"/>
      <c r="BG24" s="277"/>
      <c r="BH24" s="278"/>
      <c r="BI24" s="262"/>
      <c r="BJ24" s="279"/>
      <c r="BK24" s="280"/>
      <c r="BM24" s="196" t="str">
        <f t="shared" si="1"/>
        <v/>
      </c>
      <c r="BN24" s="269">
        <f t="shared" si="7"/>
        <v>20</v>
      </c>
      <c r="BO24" s="276"/>
      <c r="BP24" s="277"/>
      <c r="BQ24" s="278"/>
      <c r="BR24" s="262"/>
      <c r="BS24" s="279"/>
      <c r="BT24" s="280"/>
      <c r="BV24" s="196" t="str">
        <f t="shared" si="2"/>
        <v/>
      </c>
      <c r="BW24" s="269">
        <f t="shared" si="8"/>
        <v>20</v>
      </c>
      <c r="BX24" s="276">
        <v>0</v>
      </c>
      <c r="BY24" s="277">
        <v>0</v>
      </c>
      <c r="BZ24" s="278">
        <v>0</v>
      </c>
      <c r="CA24" s="262">
        <v>0</v>
      </c>
      <c r="CB24" s="279" t="str">
        <v>聲</v>
      </c>
      <c r="CC24" s="280">
        <v>1</v>
      </c>
      <c r="CE24" s="281" t="str">
        <f t="shared" si="10"/>
        <v xml:space="preserve">    - xform/^0/0/      # 0 [0]</v>
      </c>
      <c r="CF24" s="269">
        <f t="shared" si="9"/>
        <v>20</v>
      </c>
      <c r="CG24" s="276"/>
      <c r="CH24" s="277"/>
      <c r="CI24" s="278"/>
      <c r="CJ24" s="262"/>
      <c r="CK24" s="279"/>
      <c r="CL24" s="280"/>
      <c r="CN24" s="196"/>
    </row>
    <row r="25" spans="1:92" s="302" customFormat="1" ht="45" customHeight="1">
      <c r="A25" s="240"/>
      <c r="B25" s="240"/>
      <c r="C25" s="240"/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Y25" s="240"/>
      <c r="Z25" s="240"/>
      <c r="AA25" s="240"/>
      <c r="AB25" s="240"/>
      <c r="AC25" s="240"/>
      <c r="AD25" s="240"/>
      <c r="AE25" s="240"/>
      <c r="AF25" s="240"/>
      <c r="AG25" s="240"/>
      <c r="AH25" s="240"/>
      <c r="AI25" s="240"/>
      <c r="AJ25" s="240"/>
      <c r="AK25" s="240"/>
      <c r="AL25" s="240"/>
      <c r="AM25" s="240"/>
      <c r="AN25" s="240"/>
      <c r="AO25" s="240"/>
      <c r="AP25" s="240"/>
      <c r="AQ25" s="240"/>
      <c r="AR25" s="187"/>
      <c r="AS25" s="187"/>
      <c r="AT25" s="188"/>
      <c r="AU25" s="269">
        <f t="shared" si="4"/>
        <v>21</v>
      </c>
      <c r="AV25" s="270">
        <v>0</v>
      </c>
      <c r="AW25" s="271">
        <v>0</v>
      </c>
      <c r="AX25" s="261">
        <v>0</v>
      </c>
      <c r="AY25" s="262">
        <v>0</v>
      </c>
      <c r="AZ25" s="272" t="s">
        <v>1273</v>
      </c>
      <c r="BA25" s="273">
        <f t="shared" si="0"/>
        <v>1</v>
      </c>
      <c r="BC25" s="274" t="str">
        <f t="shared" si="11"/>
        <v xml:space="preserve">    "0": { commit: "0" }  # /0/ ==&gt; 0</v>
      </c>
      <c r="BD25" s="275"/>
      <c r="BE25" s="269">
        <f t="shared" si="6"/>
        <v>21</v>
      </c>
      <c r="BF25" s="276"/>
      <c r="BG25" s="277"/>
      <c r="BH25" s="278"/>
      <c r="BI25" s="262"/>
      <c r="BJ25" s="279"/>
      <c r="BK25" s="280"/>
      <c r="BM25" s="196" t="str">
        <f t="shared" si="1"/>
        <v/>
      </c>
      <c r="BN25" s="269">
        <f t="shared" si="7"/>
        <v>21</v>
      </c>
      <c r="BO25" s="276"/>
      <c r="BP25" s="277"/>
      <c r="BQ25" s="278"/>
      <c r="BR25" s="262"/>
      <c r="BS25" s="279"/>
      <c r="BT25" s="280"/>
      <c r="BV25" s="196" t="str">
        <f t="shared" si="2"/>
        <v/>
      </c>
      <c r="BW25" s="269">
        <f t="shared" si="8"/>
        <v>21</v>
      </c>
      <c r="BX25" s="276">
        <v>0</v>
      </c>
      <c r="BY25" s="277">
        <v>0</v>
      </c>
      <c r="BZ25" s="278">
        <v>0</v>
      </c>
      <c r="CA25" s="262">
        <v>0</v>
      </c>
      <c r="CB25" s="279" t="str">
        <v>聲</v>
      </c>
      <c r="CC25" s="280">
        <v>1</v>
      </c>
      <c r="CE25" s="281" t="str">
        <f t="shared" si="10"/>
        <v xml:space="preserve">    - xform/^0/0/      # 0 [0]</v>
      </c>
      <c r="CF25" s="269">
        <f t="shared" si="9"/>
        <v>21</v>
      </c>
      <c r="CG25" s="276"/>
      <c r="CH25" s="277"/>
      <c r="CI25" s="278"/>
      <c r="CJ25" s="262"/>
      <c r="CK25" s="279"/>
      <c r="CL25" s="280"/>
      <c r="CN25" s="196"/>
    </row>
    <row r="26" spans="1:92" s="302" customFormat="1" ht="45" hidden="1" customHeight="1" outlineLevel="1">
      <c r="A26" s="188"/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269">
        <f t="shared" si="4"/>
        <v>22</v>
      </c>
      <c r="AV26" s="270">
        <v>0</v>
      </c>
      <c r="AW26" s="271">
        <v>0</v>
      </c>
      <c r="AX26" s="261">
        <v>0</v>
      </c>
      <c r="AY26" s="262">
        <v>0</v>
      </c>
      <c r="AZ26" s="272"/>
      <c r="BA26" s="273">
        <f t="shared" si="0"/>
        <v>1</v>
      </c>
      <c r="BC26" s="274" t="str">
        <f t="shared" si="11"/>
        <v xml:space="preserve">    "0": { commit: "0" }  # /0/ ==&gt; 0</v>
      </c>
      <c r="BD26" s="275"/>
      <c r="BE26" s="269">
        <f t="shared" si="6"/>
        <v>22</v>
      </c>
      <c r="BF26" s="276"/>
      <c r="BG26" s="277"/>
      <c r="BH26" s="278"/>
      <c r="BI26" s="262"/>
      <c r="BJ26" s="279"/>
      <c r="BK26" s="280"/>
      <c r="BM26" s="196" t="str">
        <f t="shared" si="1"/>
        <v/>
      </c>
      <c r="BN26" s="269">
        <f t="shared" si="7"/>
        <v>22</v>
      </c>
      <c r="BO26" s="276"/>
      <c r="BP26" s="277"/>
      <c r="BQ26" s="278"/>
      <c r="BR26" s="262"/>
      <c r="BS26" s="279"/>
      <c r="BT26" s="280"/>
      <c r="BV26" s="196" t="str">
        <f t="shared" si="2"/>
        <v/>
      </c>
      <c r="BW26" s="269">
        <f t="shared" si="8"/>
        <v>22</v>
      </c>
      <c r="BX26" s="276"/>
      <c r="BY26" s="277"/>
      <c r="BZ26" s="278"/>
      <c r="CA26" s="262"/>
      <c r="CB26" s="279"/>
      <c r="CC26" s="280"/>
      <c r="CE26" s="281" t="str">
        <f t="shared" ref="CE26:CE31" si="12" xml:space="preserve"> IFERROR( IF(LEN(BY26)=0, "", IF(EXACT(BY26,BX26), "", "    - xform/^" &amp; BX26 &amp; "/" &amp; BY26 &amp; "/  # " &amp; "【" &amp; BZ26 &amp; "】 ==&gt; " &amp; CB26 &amp; "： " &amp; CA26 &amp; " [" &amp; BX26 &amp; "]")), "")</f>
        <v/>
      </c>
      <c r="CF26" s="269">
        <f t="shared" si="9"/>
        <v>22</v>
      </c>
      <c r="CG26" s="276"/>
      <c r="CH26" s="277"/>
      <c r="CI26" s="278"/>
      <c r="CJ26" s="262"/>
      <c r="CK26" s="279"/>
      <c r="CL26" s="280"/>
      <c r="CN26" s="196"/>
    </row>
    <row r="27" spans="1:92" s="302" customFormat="1" ht="45" hidden="1" customHeight="1" outlineLevel="1">
      <c r="A27" s="240"/>
      <c r="B27" s="240"/>
      <c r="C27" s="240"/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240"/>
      <c r="X27" s="240"/>
      <c r="Y27" s="240"/>
      <c r="Z27" s="240"/>
      <c r="AA27" s="240"/>
      <c r="AB27" s="240"/>
      <c r="AC27" s="240"/>
      <c r="AD27" s="240"/>
      <c r="AE27" s="240"/>
      <c r="AF27" s="240"/>
      <c r="AG27" s="240"/>
      <c r="AH27" s="240"/>
      <c r="AI27" s="240"/>
      <c r="AJ27" s="240"/>
      <c r="AK27" s="240"/>
      <c r="AL27" s="240"/>
      <c r="AM27" s="240"/>
      <c r="AN27" s="240"/>
      <c r="AO27" s="240"/>
      <c r="AP27" s="240"/>
      <c r="AQ27" s="240"/>
      <c r="AR27" s="187"/>
      <c r="AS27" s="187"/>
      <c r="AT27" s="188"/>
      <c r="AU27" s="269">
        <f t="shared" si="4"/>
        <v>23</v>
      </c>
      <c r="AV27" s="270">
        <v>0</v>
      </c>
      <c r="AW27" s="271">
        <v>0</v>
      </c>
      <c r="AX27" s="261">
        <v>0</v>
      </c>
      <c r="AY27" s="262">
        <v>0</v>
      </c>
      <c r="AZ27" s="272"/>
      <c r="BA27" s="273">
        <f t="shared" si="0"/>
        <v>1</v>
      </c>
      <c r="BC27" s="274" t="str">
        <f t="shared" si="11"/>
        <v xml:space="preserve">    "0": { commit: "0" }  # /0/ ==&gt; 0</v>
      </c>
      <c r="BD27" s="275"/>
      <c r="BE27" s="269">
        <f t="shared" si="6"/>
        <v>23</v>
      </c>
      <c r="BF27" s="276"/>
      <c r="BG27" s="277"/>
      <c r="BH27" s="278"/>
      <c r="BI27" s="262"/>
      <c r="BJ27" s="279"/>
      <c r="BK27" s="280"/>
      <c r="BM27" s="196" t="str">
        <f t="shared" si="1"/>
        <v/>
      </c>
      <c r="BN27" s="269">
        <f t="shared" si="7"/>
        <v>23</v>
      </c>
      <c r="BO27" s="276"/>
      <c r="BP27" s="277"/>
      <c r="BQ27" s="278"/>
      <c r="BR27" s="262"/>
      <c r="BS27" s="279"/>
      <c r="BT27" s="280"/>
      <c r="BV27" s="196" t="str">
        <f t="shared" si="2"/>
        <v/>
      </c>
      <c r="BW27" s="269">
        <f t="shared" si="8"/>
        <v>23</v>
      </c>
      <c r="BX27" s="276"/>
      <c r="BY27" s="277"/>
      <c r="BZ27" s="278"/>
      <c r="CA27" s="262"/>
      <c r="CB27" s="279"/>
      <c r="CC27" s="280"/>
      <c r="CE27" s="281" t="str">
        <f t="shared" si="12"/>
        <v/>
      </c>
      <c r="CF27" s="269">
        <f t="shared" si="9"/>
        <v>23</v>
      </c>
      <c r="CG27" s="276"/>
      <c r="CH27" s="277"/>
      <c r="CI27" s="278"/>
      <c r="CJ27" s="262"/>
      <c r="CK27" s="279"/>
      <c r="CL27" s="280"/>
      <c r="CN27" s="196"/>
    </row>
    <row r="28" spans="1:92" s="302" customFormat="1" ht="45" hidden="1" customHeight="1" outlineLevel="1">
      <c r="A28" s="188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269">
        <f t="shared" si="4"/>
        <v>24</v>
      </c>
      <c r="AV28" s="270">
        <v>0</v>
      </c>
      <c r="AW28" s="271">
        <v>0</v>
      </c>
      <c r="AX28" s="261">
        <v>0</v>
      </c>
      <c r="AY28" s="262">
        <v>0</v>
      </c>
      <c r="AZ28" s="272"/>
      <c r="BA28" s="273">
        <f t="shared" si="0"/>
        <v>1</v>
      </c>
      <c r="BC28" s="274" t="str">
        <f t="shared" si="11"/>
        <v xml:space="preserve">    "0": { commit: "0" }  # /0/ ==&gt; 0</v>
      </c>
      <c r="BD28" s="275"/>
      <c r="BE28" s="269">
        <f t="shared" si="6"/>
        <v>24</v>
      </c>
      <c r="BF28" s="276"/>
      <c r="BG28" s="277"/>
      <c r="BH28" s="278"/>
      <c r="BI28" s="262"/>
      <c r="BJ28" s="279"/>
      <c r="BK28" s="280"/>
      <c r="BM28" s="196"/>
      <c r="BN28" s="269">
        <f t="shared" si="7"/>
        <v>24</v>
      </c>
      <c r="BO28" s="276"/>
      <c r="BP28" s="277"/>
      <c r="BQ28" s="278"/>
      <c r="BR28" s="262"/>
      <c r="BS28" s="279"/>
      <c r="BT28" s="280"/>
      <c r="BV28" s="196"/>
      <c r="BW28" s="269">
        <f t="shared" si="8"/>
        <v>24</v>
      </c>
      <c r="BX28" s="276"/>
      <c r="BY28" s="277"/>
      <c r="BZ28" s="278"/>
      <c r="CA28" s="262"/>
      <c r="CB28" s="279"/>
      <c r="CC28" s="280"/>
      <c r="CE28" s="281" t="str">
        <f t="shared" si="12"/>
        <v/>
      </c>
      <c r="CF28" s="269">
        <f t="shared" si="9"/>
        <v>24</v>
      </c>
      <c r="CG28" s="276"/>
      <c r="CH28" s="277"/>
      <c r="CI28" s="278"/>
      <c r="CJ28" s="262"/>
      <c r="CK28" s="279"/>
      <c r="CL28" s="280"/>
      <c r="CN28" s="196"/>
    </row>
    <row r="29" spans="1:92" s="302" customFormat="1" ht="45" hidden="1" customHeight="1" outlineLevel="1">
      <c r="A29" s="240"/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240"/>
      <c r="W29" s="240"/>
      <c r="X29" s="240"/>
      <c r="Y29" s="240"/>
      <c r="Z29" s="240"/>
      <c r="AA29" s="240"/>
      <c r="AB29" s="240"/>
      <c r="AC29" s="240"/>
      <c r="AD29" s="240"/>
      <c r="AE29" s="240"/>
      <c r="AF29" s="240"/>
      <c r="AG29" s="240"/>
      <c r="AH29" s="240"/>
      <c r="AI29" s="240"/>
      <c r="AJ29" s="240"/>
      <c r="AK29" s="240"/>
      <c r="AL29" s="240"/>
      <c r="AM29" s="240"/>
      <c r="AN29" s="240"/>
      <c r="AO29" s="240"/>
      <c r="AP29" s="240"/>
      <c r="AQ29" s="240"/>
      <c r="AR29" s="187"/>
      <c r="AS29" s="187"/>
      <c r="AT29" s="188"/>
      <c r="AU29" s="269">
        <f t="shared" si="4"/>
        <v>25</v>
      </c>
      <c r="AV29" s="270">
        <v>0</v>
      </c>
      <c r="AW29" s="271">
        <v>0</v>
      </c>
      <c r="AX29" s="261">
        <v>0</v>
      </c>
      <c r="AY29" s="262">
        <v>0</v>
      </c>
      <c r="AZ29" s="272"/>
      <c r="BA29" s="273">
        <f t="shared" si="0"/>
        <v>1</v>
      </c>
      <c r="BC29" s="274" t="str">
        <f t="shared" si="11"/>
        <v xml:space="preserve">    "0": { commit: "0" }  # /0/ ==&gt; 0</v>
      </c>
      <c r="BD29" s="275"/>
      <c r="BE29" s="269">
        <f t="shared" si="6"/>
        <v>25</v>
      </c>
      <c r="BF29" s="276"/>
      <c r="BG29" s="277"/>
      <c r="BH29" s="278"/>
      <c r="BI29" s="262"/>
      <c r="BJ29" s="279"/>
      <c r="BK29" s="280"/>
      <c r="BM29" s="196"/>
      <c r="BN29" s="269">
        <f t="shared" si="7"/>
        <v>25</v>
      </c>
      <c r="BO29" s="276"/>
      <c r="BP29" s="277"/>
      <c r="BQ29" s="278"/>
      <c r="BR29" s="262"/>
      <c r="BS29" s="279"/>
      <c r="BT29" s="280"/>
      <c r="BV29" s="196"/>
      <c r="BW29" s="269">
        <f t="shared" si="8"/>
        <v>25</v>
      </c>
      <c r="BX29" s="276"/>
      <c r="BY29" s="277"/>
      <c r="BZ29" s="278"/>
      <c r="CA29" s="262"/>
      <c r="CB29" s="279"/>
      <c r="CC29" s="280"/>
      <c r="CE29" s="281" t="str">
        <f t="shared" si="12"/>
        <v/>
      </c>
      <c r="CF29" s="269">
        <f t="shared" si="9"/>
        <v>25</v>
      </c>
      <c r="CG29" s="276"/>
      <c r="CH29" s="277"/>
      <c r="CI29" s="278"/>
      <c r="CJ29" s="262"/>
      <c r="CK29" s="279"/>
      <c r="CL29" s="280"/>
      <c r="CN29" s="196"/>
    </row>
    <row r="30" spans="1:92" s="305" customFormat="1" ht="45" hidden="1" customHeight="1" outlineLevel="1">
      <c r="A30" s="188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269">
        <f t="shared" si="4"/>
        <v>26</v>
      </c>
      <c r="AV30" s="270">
        <v>0</v>
      </c>
      <c r="AW30" s="271">
        <v>0</v>
      </c>
      <c r="AX30" s="261">
        <v>0</v>
      </c>
      <c r="AY30" s="262">
        <v>0</v>
      </c>
      <c r="AZ30" s="272"/>
      <c r="BA30" s="273">
        <f t="shared" si="0"/>
        <v>1</v>
      </c>
      <c r="BB30" s="302"/>
      <c r="BC30" s="274" t="str">
        <f t="shared" si="11"/>
        <v xml:space="preserve">    "0": { commit: "0" }  # /0/ ==&gt; 0</v>
      </c>
      <c r="BD30" s="275"/>
      <c r="BE30" s="269">
        <f t="shared" si="6"/>
        <v>26</v>
      </c>
      <c r="BF30" s="276"/>
      <c r="BG30" s="277"/>
      <c r="BH30" s="278"/>
      <c r="BI30" s="262"/>
      <c r="BJ30" s="279"/>
      <c r="BK30" s="280"/>
      <c r="BL30" s="302"/>
      <c r="BM30" s="196"/>
      <c r="BN30" s="269">
        <f t="shared" si="7"/>
        <v>26</v>
      </c>
      <c r="BO30" s="276"/>
      <c r="BP30" s="277"/>
      <c r="BQ30" s="278"/>
      <c r="BR30" s="262"/>
      <c r="BS30" s="279"/>
      <c r="BT30" s="280"/>
      <c r="BU30" s="302"/>
      <c r="BV30" s="196"/>
      <c r="BW30" s="269">
        <f t="shared" si="8"/>
        <v>26</v>
      </c>
      <c r="BX30" s="276"/>
      <c r="BY30" s="277"/>
      <c r="BZ30" s="278"/>
      <c r="CA30" s="262"/>
      <c r="CB30" s="279"/>
      <c r="CC30" s="280"/>
      <c r="CD30" s="302"/>
      <c r="CE30" s="281" t="str">
        <f t="shared" si="12"/>
        <v/>
      </c>
      <c r="CF30" s="269">
        <f t="shared" si="9"/>
        <v>26</v>
      </c>
      <c r="CG30" s="276"/>
      <c r="CH30" s="277"/>
      <c r="CI30" s="278"/>
      <c r="CJ30" s="262"/>
      <c r="CK30" s="279"/>
      <c r="CL30" s="280"/>
      <c r="CM30" s="302"/>
      <c r="CN30" s="196"/>
    </row>
    <row r="31" spans="1:92" s="302" customFormat="1" ht="45" hidden="1" customHeight="1" outlineLevel="1">
      <c r="A31" s="240"/>
      <c r="B31" s="240"/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  <c r="AA31" s="240"/>
      <c r="AB31" s="240"/>
      <c r="AC31" s="240"/>
      <c r="AD31" s="240"/>
      <c r="AE31" s="240"/>
      <c r="AF31" s="240"/>
      <c r="AG31" s="240"/>
      <c r="AH31" s="240"/>
      <c r="AI31" s="240"/>
      <c r="AJ31" s="240"/>
      <c r="AK31" s="240"/>
      <c r="AL31" s="240"/>
      <c r="AM31" s="240"/>
      <c r="AN31" s="240"/>
      <c r="AO31" s="240"/>
      <c r="AP31" s="240"/>
      <c r="AQ31" s="240"/>
      <c r="AR31" s="187"/>
      <c r="AS31" s="187"/>
      <c r="AT31" s="188"/>
      <c r="AU31" s="269">
        <f t="shared" si="4"/>
        <v>27</v>
      </c>
      <c r="AV31" s="270">
        <v>0</v>
      </c>
      <c r="AW31" s="271">
        <v>0</v>
      </c>
      <c r="AX31" s="261">
        <v>0</v>
      </c>
      <c r="AY31" s="262">
        <v>0</v>
      </c>
      <c r="AZ31" s="272"/>
      <c r="BA31" s="273">
        <f t="shared" si="0"/>
        <v>1</v>
      </c>
      <c r="BC31" s="274" t="str">
        <f t="shared" si="11"/>
        <v xml:space="preserve">    "0": { commit: "0" }  # /0/ ==&gt; 0</v>
      </c>
      <c r="BD31" s="275"/>
      <c r="BE31" s="269">
        <f t="shared" si="6"/>
        <v>27</v>
      </c>
      <c r="BF31" s="276"/>
      <c r="BG31" s="277"/>
      <c r="BH31" s="278"/>
      <c r="BI31" s="262"/>
      <c r="BJ31" s="279"/>
      <c r="BK31" s="280"/>
      <c r="BL31" s="305"/>
      <c r="BM31" s="196"/>
      <c r="BN31" s="269">
        <f t="shared" si="7"/>
        <v>27</v>
      </c>
      <c r="BO31" s="276"/>
      <c r="BP31" s="277"/>
      <c r="BQ31" s="278"/>
      <c r="BR31" s="262"/>
      <c r="BS31" s="279"/>
      <c r="BT31" s="280"/>
      <c r="BU31" s="305"/>
      <c r="BV31" s="196"/>
      <c r="BW31" s="269">
        <f t="shared" si="8"/>
        <v>27</v>
      </c>
      <c r="BX31" s="276"/>
      <c r="BY31" s="277"/>
      <c r="BZ31" s="278"/>
      <c r="CA31" s="262"/>
      <c r="CB31" s="279"/>
      <c r="CC31" s="280"/>
      <c r="CD31" s="305"/>
      <c r="CE31" s="281" t="str">
        <f t="shared" si="12"/>
        <v/>
      </c>
      <c r="CF31" s="269">
        <f t="shared" si="9"/>
        <v>27</v>
      </c>
      <c r="CG31" s="276"/>
      <c r="CH31" s="277"/>
      <c r="CI31" s="278"/>
      <c r="CJ31" s="262"/>
      <c r="CK31" s="279"/>
      <c r="CL31" s="280"/>
      <c r="CM31" s="305"/>
      <c r="CN31" s="196"/>
    </row>
    <row r="32" spans="1:92" s="302" customFormat="1" ht="45" customHeight="1" outlineLevel="1">
      <c r="A32" s="188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269">
        <f t="shared" si="4"/>
        <v>28</v>
      </c>
      <c r="AV32" s="270">
        <v>0</v>
      </c>
      <c r="AW32" s="271">
        <v>0</v>
      </c>
      <c r="AX32" s="261">
        <v>0</v>
      </c>
      <c r="AY32" s="262">
        <v>0</v>
      </c>
      <c r="AZ32" s="272" t="s">
        <v>1294</v>
      </c>
      <c r="BA32" s="273">
        <f t="shared" si="0"/>
        <v>1</v>
      </c>
      <c r="BC32" s="274"/>
      <c r="BD32" s="275"/>
      <c r="BE32" s="269">
        <f t="shared" si="6"/>
        <v>28</v>
      </c>
      <c r="BF32" s="276"/>
      <c r="BG32" s="277"/>
      <c r="BH32" s="278"/>
      <c r="BI32" s="262"/>
      <c r="BJ32" s="279"/>
      <c r="BK32" s="280"/>
      <c r="BL32" s="305"/>
      <c r="BM32" s="196"/>
      <c r="BN32" s="269">
        <f t="shared" si="7"/>
        <v>28</v>
      </c>
      <c r="BO32" s="276"/>
      <c r="BP32" s="277"/>
      <c r="BQ32" s="278"/>
      <c r="BR32" s="262"/>
      <c r="BS32" s="279"/>
      <c r="BT32" s="280"/>
      <c r="BU32" s="305"/>
      <c r="BV32" s="196"/>
      <c r="BW32" s="269">
        <f t="shared" si="8"/>
        <v>28</v>
      </c>
      <c r="BX32" s="276"/>
      <c r="BY32" s="277"/>
      <c r="BZ32" s="278"/>
      <c r="CA32" s="262"/>
      <c r="CB32" s="279"/>
      <c r="CC32" s="280"/>
      <c r="CD32" s="305"/>
      <c r="CE32" s="196"/>
      <c r="CF32" s="269">
        <f t="shared" si="9"/>
        <v>28</v>
      </c>
      <c r="CG32" s="276"/>
      <c r="CH32" s="277"/>
      <c r="CI32" s="278"/>
      <c r="CJ32" s="262"/>
      <c r="CK32" s="279"/>
      <c r="CL32" s="280"/>
      <c r="CM32" s="305"/>
      <c r="CN32" s="196"/>
    </row>
    <row r="33" spans="1:92" s="302" customFormat="1" ht="45" customHeight="1">
      <c r="A33" s="240"/>
      <c r="B33" s="240"/>
      <c r="C33" s="240"/>
      <c r="D33" s="240"/>
      <c r="E33" s="240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0"/>
      <c r="U33" s="240"/>
      <c r="V33" s="240"/>
      <c r="W33" s="240"/>
      <c r="X33" s="240"/>
      <c r="Y33" s="240"/>
      <c r="Z33" s="240"/>
      <c r="AA33" s="240"/>
      <c r="AB33" s="240"/>
      <c r="AC33" s="240"/>
      <c r="AD33" s="240"/>
      <c r="AE33" s="240"/>
      <c r="AF33" s="240"/>
      <c r="AG33" s="240"/>
      <c r="AH33" s="240"/>
      <c r="AI33" s="240"/>
      <c r="AJ33" s="240"/>
      <c r="AK33" s="240"/>
      <c r="AL33" s="240"/>
      <c r="AM33" s="240"/>
      <c r="AN33" s="240"/>
      <c r="AO33" s="240"/>
      <c r="AP33" s="240"/>
      <c r="AQ33" s="240"/>
      <c r="AR33" s="187"/>
      <c r="AS33" s="187"/>
      <c r="AT33" s="188"/>
      <c r="AU33" s="269">
        <f t="shared" si="4"/>
        <v>29</v>
      </c>
      <c r="AV33" s="270">
        <v>0</v>
      </c>
      <c r="AW33" s="271">
        <v>0</v>
      </c>
      <c r="AX33" s="261">
        <v>0</v>
      </c>
      <c r="AY33" s="262">
        <v>0</v>
      </c>
      <c r="AZ33" s="272" t="s">
        <v>1259</v>
      </c>
      <c r="BA33" s="273">
        <f t="shared" si="0"/>
        <v>1</v>
      </c>
      <c r="BC33" s="274" t="str">
        <f t="shared" ref="BC33:BC62" si="13" xml:space="preserve"> "    """ &amp; AX33 &amp; """: { commit: """ &amp; AY33 &amp; """ }" &amp; "  # " &amp; "/" &amp; AV33 &amp; "/ ==&gt; " &amp; AW33</f>
        <v xml:space="preserve">    "0": { commit: "0" }  # /0/ ==&gt; 0</v>
      </c>
      <c r="BD33" s="275"/>
      <c r="BE33" s="269">
        <f t="shared" si="6"/>
        <v>29</v>
      </c>
      <c r="BF33" s="276"/>
      <c r="BG33" s="277"/>
      <c r="BH33" s="278"/>
      <c r="BI33" s="262"/>
      <c r="BJ33" s="279"/>
      <c r="BK33" s="280"/>
      <c r="BM33" s="196"/>
      <c r="BN33" s="269">
        <f t="shared" si="7"/>
        <v>29</v>
      </c>
      <c r="BO33" s="276"/>
      <c r="BP33" s="277"/>
      <c r="BQ33" s="278"/>
      <c r="BR33" s="262"/>
      <c r="BS33" s="279"/>
      <c r="BT33" s="280"/>
      <c r="BV33" s="196"/>
      <c r="BW33" s="269">
        <f t="shared" si="8"/>
        <v>29</v>
      </c>
      <c r="BX33" s="276"/>
      <c r="BY33" s="277"/>
      <c r="BZ33" s="278"/>
      <c r="CA33" s="262"/>
      <c r="CB33" s="279"/>
      <c r="CC33" s="280"/>
      <c r="CE33" s="196" t="str">
        <f t="shared" ref="CE33:CE56" si="14" xml:space="preserve"> IF(CB33=0, "", "    - xform/^" &amp; CB33 &amp; "(?!\d)/" &amp; BX33 &amp; "/  # " &amp; BY33 &amp; " [ " &amp; CB33 &amp; "]")</f>
        <v/>
      </c>
      <c r="CF33" s="269">
        <f t="shared" si="9"/>
        <v>29</v>
      </c>
      <c r="CG33" s="276"/>
      <c r="CH33" s="277"/>
      <c r="CI33" s="278"/>
      <c r="CJ33" s="262"/>
      <c r="CK33" s="279"/>
      <c r="CL33" s="280"/>
      <c r="CN33" s="196"/>
    </row>
    <row r="34" spans="1:92" s="302" customFormat="1" ht="45" customHeight="1">
      <c r="A34" s="188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269">
        <f t="shared" si="4"/>
        <v>30</v>
      </c>
      <c r="AV34" s="270">
        <v>0</v>
      </c>
      <c r="AW34" s="271">
        <v>0</v>
      </c>
      <c r="AX34" s="261">
        <v>0</v>
      </c>
      <c r="AY34" s="262">
        <v>0</v>
      </c>
      <c r="AZ34" s="272" t="s">
        <v>1259</v>
      </c>
      <c r="BA34" s="273">
        <f t="shared" si="0"/>
        <v>1</v>
      </c>
      <c r="BC34" s="274" t="str">
        <f t="shared" si="13"/>
        <v xml:space="preserve">    "0": { commit: "0" }  # /0/ ==&gt; 0</v>
      </c>
      <c r="BD34" s="275"/>
      <c r="BE34" s="269">
        <f t="shared" si="6"/>
        <v>30</v>
      </c>
      <c r="BF34" s="276"/>
      <c r="BG34" s="277"/>
      <c r="BH34" s="278"/>
      <c r="BI34" s="262"/>
      <c r="BJ34" s="279"/>
      <c r="BK34" s="280"/>
      <c r="BM34" s="196"/>
      <c r="BN34" s="269">
        <f t="shared" si="7"/>
        <v>30</v>
      </c>
      <c r="BO34" s="276"/>
      <c r="BP34" s="277"/>
      <c r="BQ34" s="278"/>
      <c r="BR34" s="262"/>
      <c r="BS34" s="279"/>
      <c r="BT34" s="280"/>
      <c r="BV34" s="196"/>
      <c r="BW34" s="269">
        <f t="shared" si="8"/>
        <v>30</v>
      </c>
      <c r="BX34" s="276"/>
      <c r="BY34" s="277"/>
      <c r="BZ34" s="278"/>
      <c r="CA34" s="262"/>
      <c r="CB34" s="279"/>
      <c r="CC34" s="280"/>
      <c r="CE34" s="196" t="str">
        <f t="shared" si="14"/>
        <v/>
      </c>
      <c r="CF34" s="269">
        <f t="shared" si="9"/>
        <v>30</v>
      </c>
      <c r="CG34" s="276"/>
      <c r="CH34" s="277"/>
      <c r="CI34" s="278"/>
      <c r="CJ34" s="262"/>
      <c r="CK34" s="279"/>
      <c r="CL34" s="280"/>
      <c r="CN34" s="196"/>
    </row>
    <row r="35" spans="1:92" s="302" customFormat="1" ht="45" customHeight="1">
      <c r="A35" s="240"/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/>
      <c r="Z35" s="240"/>
      <c r="AA35" s="240"/>
      <c r="AB35" s="240"/>
      <c r="AC35" s="240"/>
      <c r="AD35" s="240"/>
      <c r="AE35" s="240"/>
      <c r="AF35" s="240"/>
      <c r="AG35" s="240"/>
      <c r="AH35" s="240"/>
      <c r="AI35" s="240"/>
      <c r="AJ35" s="240"/>
      <c r="AK35" s="240"/>
      <c r="AL35" s="240"/>
      <c r="AM35" s="240"/>
      <c r="AN35" s="240"/>
      <c r="AO35" s="240"/>
      <c r="AP35" s="240"/>
      <c r="AQ35" s="240"/>
      <c r="AR35" s="187"/>
      <c r="AS35" s="187"/>
      <c r="AT35" s="188"/>
      <c r="AU35" s="269">
        <f t="shared" si="4"/>
        <v>31</v>
      </c>
      <c r="AV35" s="270">
        <v>0</v>
      </c>
      <c r="AW35" s="271">
        <v>0</v>
      </c>
      <c r="AX35" s="261">
        <v>0</v>
      </c>
      <c r="AY35" s="262">
        <v>0</v>
      </c>
      <c r="AZ35" s="272" t="s">
        <v>1259</v>
      </c>
      <c r="BA35" s="273">
        <f t="shared" si="0"/>
        <v>1</v>
      </c>
      <c r="BC35" s="274" t="str">
        <f t="shared" si="13"/>
        <v xml:space="preserve">    "0": { commit: "0" }  # /0/ ==&gt; 0</v>
      </c>
      <c r="BD35" s="275"/>
      <c r="BE35" s="269">
        <f t="shared" si="6"/>
        <v>31</v>
      </c>
      <c r="BF35" s="276"/>
      <c r="BG35" s="277"/>
      <c r="BH35" s="278"/>
      <c r="BI35" s="262"/>
      <c r="BJ35" s="279"/>
      <c r="BK35" s="280"/>
      <c r="BM35" s="196"/>
      <c r="BN35" s="269">
        <f t="shared" si="7"/>
        <v>31</v>
      </c>
      <c r="BO35" s="276"/>
      <c r="BP35" s="277"/>
      <c r="BQ35" s="278"/>
      <c r="BR35" s="262"/>
      <c r="BS35" s="279"/>
      <c r="BT35" s="280"/>
      <c r="BV35" s="196"/>
      <c r="BW35" s="269">
        <f t="shared" si="8"/>
        <v>31</v>
      </c>
      <c r="BX35" s="276"/>
      <c r="BY35" s="277"/>
      <c r="BZ35" s="278"/>
      <c r="CA35" s="262"/>
      <c r="CB35" s="279"/>
      <c r="CC35" s="280"/>
      <c r="CE35" s="196" t="str">
        <f t="shared" si="14"/>
        <v/>
      </c>
      <c r="CF35" s="269">
        <f t="shared" si="9"/>
        <v>31</v>
      </c>
      <c r="CG35" s="276"/>
      <c r="CH35" s="277"/>
      <c r="CI35" s="278"/>
      <c r="CJ35" s="262"/>
      <c r="CK35" s="279"/>
      <c r="CL35" s="280"/>
      <c r="CN35" s="196"/>
    </row>
    <row r="36" spans="1:92" s="302" customFormat="1" ht="45" customHeight="1">
      <c r="A36" s="188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U36" s="269">
        <f t="shared" si="4"/>
        <v>32</v>
      </c>
      <c r="AV36" s="270">
        <v>0</v>
      </c>
      <c r="AW36" s="271">
        <v>0</v>
      </c>
      <c r="AX36" s="261">
        <v>0</v>
      </c>
      <c r="AY36" s="262">
        <v>0</v>
      </c>
      <c r="AZ36" s="272" t="s">
        <v>1259</v>
      </c>
      <c r="BA36" s="273">
        <f t="shared" si="0"/>
        <v>1</v>
      </c>
      <c r="BC36" s="274" t="str">
        <f t="shared" si="13"/>
        <v xml:space="preserve">    "0": { commit: "0" }  # /0/ ==&gt; 0</v>
      </c>
      <c r="BD36" s="275"/>
      <c r="BE36" s="269">
        <f t="shared" si="6"/>
        <v>32</v>
      </c>
      <c r="BF36" s="276"/>
      <c r="BG36" s="277"/>
      <c r="BH36" s="278"/>
      <c r="BI36" s="262"/>
      <c r="BJ36" s="279"/>
      <c r="BK36" s="280"/>
      <c r="BM36" s="196"/>
      <c r="BN36" s="269">
        <f t="shared" si="7"/>
        <v>32</v>
      </c>
      <c r="BO36" s="276"/>
      <c r="BP36" s="277"/>
      <c r="BQ36" s="278"/>
      <c r="BR36" s="262"/>
      <c r="BS36" s="279"/>
      <c r="BT36" s="280"/>
      <c r="BV36" s="196"/>
      <c r="BW36" s="269">
        <f t="shared" si="8"/>
        <v>32</v>
      </c>
      <c r="BX36" s="276"/>
      <c r="BY36" s="277"/>
      <c r="BZ36" s="278"/>
      <c r="CA36" s="262"/>
      <c r="CB36" s="279"/>
      <c r="CC36" s="280"/>
      <c r="CE36" s="196" t="str">
        <f t="shared" si="14"/>
        <v/>
      </c>
      <c r="CF36" s="269">
        <f t="shared" si="9"/>
        <v>32</v>
      </c>
      <c r="CG36" s="276"/>
      <c r="CH36" s="277"/>
      <c r="CI36" s="278"/>
      <c r="CJ36" s="262"/>
      <c r="CK36" s="279"/>
      <c r="CL36" s="280"/>
      <c r="CN36" s="196"/>
    </row>
    <row r="37" spans="1:92" s="302" customFormat="1" ht="45" customHeight="1">
      <c r="A37" s="240"/>
      <c r="B37" s="240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0"/>
      <c r="Y37" s="240"/>
      <c r="Z37" s="240"/>
      <c r="AA37" s="240"/>
      <c r="AB37" s="240"/>
      <c r="AC37" s="240"/>
      <c r="AD37" s="240"/>
      <c r="AE37" s="240"/>
      <c r="AF37" s="240"/>
      <c r="AG37" s="240"/>
      <c r="AH37" s="240"/>
      <c r="AI37" s="240"/>
      <c r="AJ37" s="240"/>
      <c r="AK37" s="240"/>
      <c r="AL37" s="240"/>
      <c r="AM37" s="240"/>
      <c r="AN37" s="240"/>
      <c r="AO37" s="240"/>
      <c r="AP37" s="240"/>
      <c r="AQ37" s="240"/>
      <c r="AR37" s="187"/>
      <c r="AS37" s="187"/>
      <c r="AU37" s="269">
        <f t="shared" si="4"/>
        <v>33</v>
      </c>
      <c r="AV37" s="270">
        <v>0</v>
      </c>
      <c r="AW37" s="271">
        <v>0</v>
      </c>
      <c r="AX37" s="261">
        <v>0</v>
      </c>
      <c r="AY37" s="262">
        <v>0</v>
      </c>
      <c r="AZ37" s="272" t="s">
        <v>1259</v>
      </c>
      <c r="BA37" s="273">
        <f t="shared" si="0"/>
        <v>1</v>
      </c>
      <c r="BC37" s="274" t="str">
        <f t="shared" si="13"/>
        <v xml:space="preserve">    "0": { commit: "0" }  # /0/ ==&gt; 0</v>
      </c>
      <c r="BD37" s="275"/>
      <c r="BE37" s="269">
        <f t="shared" si="6"/>
        <v>33</v>
      </c>
      <c r="BF37" s="276"/>
      <c r="BG37" s="277"/>
      <c r="BH37" s="278"/>
      <c r="BI37" s="262"/>
      <c r="BJ37" s="279"/>
      <c r="BK37" s="280"/>
      <c r="BM37" s="196"/>
      <c r="BN37" s="269">
        <f t="shared" si="7"/>
        <v>33</v>
      </c>
      <c r="BO37" s="276"/>
      <c r="BP37" s="277"/>
      <c r="BQ37" s="278"/>
      <c r="BR37" s="262"/>
      <c r="BS37" s="279"/>
      <c r="BT37" s="280"/>
      <c r="BV37" s="196"/>
      <c r="BW37" s="269">
        <f t="shared" si="8"/>
        <v>33</v>
      </c>
      <c r="BX37" s="276"/>
      <c r="BY37" s="277"/>
      <c r="BZ37" s="278"/>
      <c r="CA37" s="262"/>
      <c r="CB37" s="279"/>
      <c r="CC37" s="280"/>
      <c r="CE37" s="196" t="str">
        <f t="shared" si="14"/>
        <v/>
      </c>
      <c r="CF37" s="269">
        <f t="shared" si="9"/>
        <v>33</v>
      </c>
      <c r="CG37" s="276"/>
      <c r="CH37" s="277"/>
      <c r="CI37" s="278"/>
      <c r="CJ37" s="262"/>
      <c r="CK37" s="279"/>
      <c r="CL37" s="280"/>
      <c r="CN37" s="196"/>
    </row>
    <row r="38" spans="1:92" s="302" customFormat="1" ht="45" customHeight="1">
      <c r="A38" s="188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U38" s="269">
        <f t="shared" si="4"/>
        <v>34</v>
      </c>
      <c r="AV38" s="270">
        <v>0</v>
      </c>
      <c r="AW38" s="271">
        <v>0</v>
      </c>
      <c r="AX38" s="261">
        <v>0</v>
      </c>
      <c r="AY38" s="262">
        <v>0</v>
      </c>
      <c r="AZ38" s="272" t="s">
        <v>1259</v>
      </c>
      <c r="BA38" s="273">
        <f t="shared" si="0"/>
        <v>1</v>
      </c>
      <c r="BC38" s="274" t="str">
        <f t="shared" si="13"/>
        <v xml:space="preserve">    "0": { commit: "0" }  # /0/ ==&gt; 0</v>
      </c>
      <c r="BD38" s="275"/>
      <c r="BE38" s="269">
        <f t="shared" si="6"/>
        <v>34</v>
      </c>
      <c r="BF38" s="276"/>
      <c r="BG38" s="277"/>
      <c r="BH38" s="278"/>
      <c r="BI38" s="262"/>
      <c r="BJ38" s="279"/>
      <c r="BK38" s="280"/>
      <c r="BM38" s="196"/>
      <c r="BN38" s="269">
        <f t="shared" si="7"/>
        <v>34</v>
      </c>
      <c r="BO38" s="276"/>
      <c r="BP38" s="277"/>
      <c r="BQ38" s="278"/>
      <c r="BR38" s="262"/>
      <c r="BS38" s="279"/>
      <c r="BT38" s="280"/>
      <c r="BV38" s="196"/>
      <c r="BW38" s="269">
        <f t="shared" si="8"/>
        <v>34</v>
      </c>
      <c r="BX38" s="276"/>
      <c r="BY38" s="277"/>
      <c r="BZ38" s="278"/>
      <c r="CA38" s="262"/>
      <c r="CB38" s="279"/>
      <c r="CC38" s="280"/>
      <c r="CE38" s="196" t="str">
        <f t="shared" si="14"/>
        <v/>
      </c>
      <c r="CF38" s="269">
        <f t="shared" si="9"/>
        <v>34</v>
      </c>
      <c r="CG38" s="276"/>
      <c r="CH38" s="277"/>
      <c r="CI38" s="278"/>
      <c r="CJ38" s="262"/>
      <c r="CK38" s="279"/>
      <c r="CL38" s="280"/>
      <c r="CN38" s="196"/>
    </row>
    <row r="39" spans="1:92" s="302" customFormat="1" ht="45" customHeight="1">
      <c r="A39" s="240"/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  <c r="AA39" s="240"/>
      <c r="AB39" s="240"/>
      <c r="AC39" s="240"/>
      <c r="AD39" s="240"/>
      <c r="AE39" s="240"/>
      <c r="AF39" s="240"/>
      <c r="AG39" s="240"/>
      <c r="AH39" s="240"/>
      <c r="AI39" s="240"/>
      <c r="AJ39" s="240"/>
      <c r="AK39" s="240"/>
      <c r="AL39" s="240"/>
      <c r="AM39" s="240"/>
      <c r="AN39" s="240"/>
      <c r="AO39" s="240"/>
      <c r="AP39" s="240"/>
      <c r="AQ39" s="240"/>
      <c r="AR39" s="187"/>
      <c r="AS39" s="187"/>
      <c r="AU39" s="269">
        <f t="shared" si="4"/>
        <v>35</v>
      </c>
      <c r="AV39" s="270">
        <v>0</v>
      </c>
      <c r="AW39" s="271">
        <v>0</v>
      </c>
      <c r="AX39" s="261">
        <v>0</v>
      </c>
      <c r="AY39" s="262">
        <v>0</v>
      </c>
      <c r="AZ39" s="272" t="s">
        <v>1259</v>
      </c>
      <c r="BA39" s="273">
        <f t="shared" si="0"/>
        <v>1</v>
      </c>
      <c r="BC39" s="274" t="str">
        <f t="shared" si="13"/>
        <v xml:space="preserve">    "0": { commit: "0" }  # /0/ ==&gt; 0</v>
      </c>
      <c r="BD39" s="275"/>
      <c r="BE39" s="269">
        <f t="shared" si="6"/>
        <v>35</v>
      </c>
      <c r="BF39" s="276"/>
      <c r="BG39" s="277"/>
      <c r="BH39" s="278"/>
      <c r="BI39" s="262"/>
      <c r="BJ39" s="279"/>
      <c r="BK39" s="280"/>
      <c r="BM39" s="196"/>
      <c r="BN39" s="269">
        <f t="shared" si="7"/>
        <v>35</v>
      </c>
      <c r="BO39" s="276"/>
      <c r="BP39" s="277"/>
      <c r="BQ39" s="278"/>
      <c r="BR39" s="262"/>
      <c r="BS39" s="279"/>
      <c r="BT39" s="280"/>
      <c r="BV39" s="196"/>
      <c r="BW39" s="269">
        <f t="shared" si="8"/>
        <v>35</v>
      </c>
      <c r="BX39" s="276"/>
      <c r="BY39" s="277"/>
      <c r="BZ39" s="278"/>
      <c r="CA39" s="262"/>
      <c r="CB39" s="279"/>
      <c r="CC39" s="280"/>
      <c r="CE39" s="196" t="str">
        <f t="shared" si="14"/>
        <v/>
      </c>
      <c r="CF39" s="269">
        <f t="shared" si="9"/>
        <v>35</v>
      </c>
      <c r="CG39" s="276"/>
      <c r="CH39" s="277"/>
      <c r="CI39" s="278"/>
      <c r="CJ39" s="262"/>
      <c r="CK39" s="279"/>
      <c r="CL39" s="280"/>
      <c r="CN39" s="196"/>
    </row>
    <row r="40" spans="1:92" ht="45" customHeight="1">
      <c r="AT40" s="302"/>
      <c r="AU40" s="269">
        <f t="shared" si="4"/>
        <v>36</v>
      </c>
      <c r="AV40" s="270">
        <v>0</v>
      </c>
      <c r="AW40" s="271">
        <v>0</v>
      </c>
      <c r="AX40" s="261">
        <v>0</v>
      </c>
      <c r="AY40" s="262">
        <v>0</v>
      </c>
      <c r="AZ40" s="272" t="s">
        <v>1294</v>
      </c>
      <c r="BA40" s="273">
        <f t="shared" si="0"/>
        <v>1</v>
      </c>
      <c r="BB40" s="302"/>
      <c r="BC40" s="274" t="str">
        <f t="shared" si="13"/>
        <v xml:space="preserve">    "0": { commit: "0" }  # /0/ ==&gt; 0</v>
      </c>
      <c r="BD40" s="275"/>
      <c r="BE40" s="269">
        <f t="shared" si="6"/>
        <v>36</v>
      </c>
      <c r="BF40" s="276"/>
      <c r="BG40" s="277"/>
      <c r="BH40" s="278"/>
      <c r="BI40" s="262"/>
      <c r="BJ40" s="279"/>
      <c r="BK40" s="280"/>
      <c r="BL40" s="302"/>
      <c r="BN40" s="269">
        <f t="shared" si="7"/>
        <v>36</v>
      </c>
      <c r="BO40" s="276"/>
      <c r="BP40" s="277"/>
      <c r="BQ40" s="278"/>
      <c r="BR40" s="262"/>
      <c r="BS40" s="279"/>
      <c r="BT40" s="280"/>
      <c r="BU40" s="302"/>
      <c r="BW40" s="269">
        <f t="shared" si="8"/>
        <v>36</v>
      </c>
      <c r="BX40" s="276"/>
      <c r="BY40" s="277"/>
      <c r="BZ40" s="278"/>
      <c r="CA40" s="262"/>
      <c r="CB40" s="279"/>
      <c r="CC40" s="280"/>
      <c r="CD40" s="302"/>
      <c r="CE40" s="196" t="str">
        <f t="shared" si="14"/>
        <v/>
      </c>
      <c r="CF40" s="269">
        <f t="shared" si="9"/>
        <v>36</v>
      </c>
      <c r="CG40" s="276"/>
      <c r="CH40" s="277"/>
      <c r="CI40" s="278"/>
      <c r="CJ40" s="262"/>
      <c r="CK40" s="279"/>
      <c r="CL40" s="280"/>
      <c r="CM40" s="302"/>
    </row>
    <row r="41" spans="1:92" ht="45" customHeight="1">
      <c r="A41" s="240"/>
      <c r="B41" s="240"/>
      <c r="C41" s="240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  <c r="AA41" s="240"/>
      <c r="AB41" s="240"/>
      <c r="AC41" s="240"/>
      <c r="AD41" s="240"/>
      <c r="AE41" s="240"/>
      <c r="AF41" s="240"/>
      <c r="AG41" s="240"/>
      <c r="AH41" s="240"/>
      <c r="AI41" s="240"/>
      <c r="AJ41" s="240"/>
      <c r="AK41" s="240"/>
      <c r="AL41" s="240"/>
      <c r="AM41" s="240"/>
      <c r="AN41" s="240"/>
      <c r="AO41" s="240"/>
      <c r="AP41" s="240"/>
      <c r="AQ41" s="240"/>
      <c r="AR41" s="187"/>
      <c r="AS41" s="187"/>
      <c r="AT41" s="302"/>
      <c r="AU41" s="269">
        <f t="shared" si="4"/>
        <v>37</v>
      </c>
      <c r="AV41" s="270">
        <v>0</v>
      </c>
      <c r="AW41" s="271">
        <v>0</v>
      </c>
      <c r="AX41" s="261">
        <v>0</v>
      </c>
      <c r="AY41" s="262">
        <v>0</v>
      </c>
      <c r="AZ41" s="272" t="s">
        <v>1294</v>
      </c>
      <c r="BA41" s="273">
        <f t="shared" si="0"/>
        <v>1</v>
      </c>
      <c r="BB41" s="302"/>
      <c r="BC41" s="274" t="str">
        <f t="shared" si="13"/>
        <v xml:space="preserve">    "0": { commit: "0" }  # /0/ ==&gt; 0</v>
      </c>
      <c r="BD41" s="275"/>
      <c r="BE41" s="269">
        <f t="shared" si="6"/>
        <v>37</v>
      </c>
      <c r="BF41" s="276"/>
      <c r="BG41" s="277"/>
      <c r="BH41" s="278"/>
      <c r="BI41" s="262"/>
      <c r="BJ41" s="279"/>
      <c r="BK41" s="280"/>
      <c r="BN41" s="269">
        <f t="shared" si="7"/>
        <v>37</v>
      </c>
      <c r="BO41" s="276"/>
      <c r="BP41" s="277"/>
      <c r="BQ41" s="278"/>
      <c r="BR41" s="262"/>
      <c r="BS41" s="279"/>
      <c r="BT41" s="280"/>
      <c r="BW41" s="269">
        <f t="shared" si="8"/>
        <v>37</v>
      </c>
      <c r="BX41" s="276"/>
      <c r="BY41" s="277"/>
      <c r="BZ41" s="278"/>
      <c r="CA41" s="262"/>
      <c r="CB41" s="279"/>
      <c r="CC41" s="280"/>
      <c r="CE41" s="196" t="str">
        <f t="shared" si="14"/>
        <v/>
      </c>
      <c r="CF41" s="269">
        <f t="shared" si="9"/>
        <v>37</v>
      </c>
      <c r="CG41" s="276"/>
      <c r="CH41" s="277"/>
      <c r="CI41" s="278"/>
      <c r="CJ41" s="262"/>
      <c r="CK41" s="279"/>
      <c r="CL41" s="280"/>
    </row>
    <row r="42" spans="1:92" ht="45" customHeight="1">
      <c r="AT42" s="302"/>
      <c r="AU42" s="269">
        <f t="shared" si="4"/>
        <v>38</v>
      </c>
      <c r="AV42" s="270">
        <v>0</v>
      </c>
      <c r="AW42" s="271">
        <v>0</v>
      </c>
      <c r="AX42" s="261">
        <v>0</v>
      </c>
      <c r="AY42" s="262">
        <v>0</v>
      </c>
      <c r="AZ42" s="272" t="s">
        <v>1294</v>
      </c>
      <c r="BA42" s="273">
        <f t="shared" si="0"/>
        <v>1</v>
      </c>
      <c r="BC42" s="274" t="str">
        <f t="shared" si="13"/>
        <v xml:space="preserve">    "0": { commit: "0" }  # /0/ ==&gt; 0</v>
      </c>
      <c r="BD42" s="275"/>
      <c r="BE42" s="269">
        <f t="shared" si="6"/>
        <v>38</v>
      </c>
      <c r="BF42" s="276"/>
      <c r="BG42" s="277"/>
      <c r="BH42" s="278"/>
      <c r="BI42" s="262"/>
      <c r="BJ42" s="279"/>
      <c r="BK42" s="280"/>
      <c r="BN42" s="269">
        <f t="shared" si="7"/>
        <v>38</v>
      </c>
      <c r="BO42" s="276"/>
      <c r="BP42" s="277"/>
      <c r="BQ42" s="278"/>
      <c r="BR42" s="262"/>
      <c r="BS42" s="279"/>
      <c r="BT42" s="280"/>
      <c r="BW42" s="269">
        <f t="shared" si="8"/>
        <v>38</v>
      </c>
      <c r="BX42" s="276"/>
      <c r="BY42" s="277"/>
      <c r="BZ42" s="278"/>
      <c r="CA42" s="262"/>
      <c r="CB42" s="279"/>
      <c r="CC42" s="280"/>
      <c r="CE42" s="196" t="str">
        <f t="shared" si="14"/>
        <v/>
      </c>
      <c r="CF42" s="269">
        <f t="shared" si="9"/>
        <v>38</v>
      </c>
      <c r="CG42" s="276"/>
      <c r="CH42" s="277"/>
      <c r="CI42" s="278"/>
      <c r="CJ42" s="262"/>
      <c r="CK42" s="279"/>
      <c r="CL42" s="280"/>
    </row>
    <row r="43" spans="1:92" ht="45" customHeight="1">
      <c r="A43" s="240"/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  <c r="AA43" s="240"/>
      <c r="AB43" s="240"/>
      <c r="AC43" s="240"/>
      <c r="AD43" s="240"/>
      <c r="AE43" s="240"/>
      <c r="AF43" s="240"/>
      <c r="AG43" s="240"/>
      <c r="AH43" s="240"/>
      <c r="AI43" s="240"/>
      <c r="AJ43" s="240"/>
      <c r="AK43" s="240"/>
      <c r="AL43" s="240"/>
      <c r="AM43" s="240"/>
      <c r="AN43" s="240"/>
      <c r="AO43" s="240"/>
      <c r="AP43" s="240"/>
      <c r="AQ43" s="240"/>
      <c r="AR43" s="187"/>
      <c r="AS43" s="187"/>
      <c r="AU43" s="269">
        <f t="shared" si="4"/>
        <v>39</v>
      </c>
      <c r="AV43" s="270">
        <v>0</v>
      </c>
      <c r="AW43" s="271">
        <v>0</v>
      </c>
      <c r="AX43" s="261">
        <v>0</v>
      </c>
      <c r="AY43" s="262">
        <v>0</v>
      </c>
      <c r="AZ43" s="272" t="s">
        <v>1294</v>
      </c>
      <c r="BA43" s="273">
        <f t="shared" si="0"/>
        <v>1</v>
      </c>
      <c r="BC43" s="274" t="str">
        <f t="shared" si="13"/>
        <v xml:space="preserve">    "0": { commit: "0" }  # /0/ ==&gt; 0</v>
      </c>
      <c r="BD43" s="275"/>
      <c r="BE43" s="269">
        <f t="shared" si="6"/>
        <v>39</v>
      </c>
      <c r="BF43" s="276"/>
      <c r="BG43" s="277"/>
      <c r="BH43" s="278"/>
      <c r="BI43" s="262"/>
      <c r="BJ43" s="279"/>
      <c r="BK43" s="280"/>
      <c r="BN43" s="269">
        <f t="shared" si="7"/>
        <v>39</v>
      </c>
      <c r="BO43" s="276"/>
      <c r="BP43" s="277"/>
      <c r="BQ43" s="278"/>
      <c r="BR43" s="262"/>
      <c r="BS43" s="279"/>
      <c r="BT43" s="280"/>
      <c r="BW43" s="269">
        <f t="shared" si="8"/>
        <v>39</v>
      </c>
      <c r="BX43" s="276"/>
      <c r="BY43" s="277"/>
      <c r="BZ43" s="278"/>
      <c r="CA43" s="262"/>
      <c r="CB43" s="279"/>
      <c r="CC43" s="280"/>
      <c r="CE43" s="196" t="str">
        <f t="shared" si="14"/>
        <v/>
      </c>
      <c r="CF43" s="269">
        <f t="shared" si="9"/>
        <v>39</v>
      </c>
      <c r="CG43" s="276"/>
      <c r="CH43" s="277"/>
      <c r="CI43" s="278"/>
      <c r="CJ43" s="262"/>
      <c r="CK43" s="279"/>
      <c r="CL43" s="280"/>
    </row>
    <row r="44" spans="1:92" ht="45" customHeight="1">
      <c r="AU44" s="269">
        <f t="shared" si="4"/>
        <v>40</v>
      </c>
      <c r="AV44" s="270">
        <v>0</v>
      </c>
      <c r="AW44" s="271">
        <v>0</v>
      </c>
      <c r="AX44" s="261">
        <v>0</v>
      </c>
      <c r="AY44" s="262">
        <v>0</v>
      </c>
      <c r="AZ44" s="272" t="s">
        <v>1294</v>
      </c>
      <c r="BA44" s="273">
        <f t="shared" si="0"/>
        <v>1</v>
      </c>
      <c r="BC44" s="274" t="str">
        <f t="shared" si="13"/>
        <v xml:space="preserve">    "0": { commit: "0" }  # /0/ ==&gt; 0</v>
      </c>
      <c r="BD44" s="275"/>
      <c r="BE44" s="269">
        <f t="shared" si="6"/>
        <v>40</v>
      </c>
      <c r="BF44" s="276"/>
      <c r="BG44" s="277"/>
      <c r="BH44" s="278"/>
      <c r="BI44" s="262"/>
      <c r="BJ44" s="279"/>
      <c r="BK44" s="280"/>
      <c r="BN44" s="269">
        <f t="shared" si="7"/>
        <v>40</v>
      </c>
      <c r="BO44" s="276"/>
      <c r="BP44" s="277"/>
      <c r="BQ44" s="278"/>
      <c r="BR44" s="262"/>
      <c r="BS44" s="279"/>
      <c r="BT44" s="280"/>
      <c r="BW44" s="269">
        <f t="shared" si="8"/>
        <v>40</v>
      </c>
      <c r="BX44" s="276"/>
      <c r="BY44" s="277"/>
      <c r="BZ44" s="278"/>
      <c r="CA44" s="262"/>
      <c r="CB44" s="279"/>
      <c r="CC44" s="280"/>
      <c r="CE44" s="196" t="str">
        <f t="shared" si="14"/>
        <v/>
      </c>
      <c r="CF44" s="269">
        <f t="shared" si="9"/>
        <v>40</v>
      </c>
      <c r="CG44" s="276"/>
      <c r="CH44" s="277"/>
      <c r="CI44" s="278"/>
      <c r="CJ44" s="262"/>
      <c r="CK44" s="279"/>
      <c r="CL44" s="280"/>
    </row>
    <row r="45" spans="1:92" ht="45" customHeight="1">
      <c r="A45" s="240"/>
      <c r="B45" s="240"/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0"/>
      <c r="X45" s="240"/>
      <c r="Y45" s="240"/>
      <c r="Z45" s="240"/>
      <c r="AA45" s="240"/>
      <c r="AB45" s="240"/>
      <c r="AC45" s="240"/>
      <c r="AD45" s="240"/>
      <c r="AE45" s="240"/>
      <c r="AF45" s="240"/>
      <c r="AG45" s="240"/>
      <c r="AH45" s="240"/>
      <c r="AI45" s="240"/>
      <c r="AJ45" s="240"/>
      <c r="AK45" s="240"/>
      <c r="AL45" s="240"/>
      <c r="AM45" s="240"/>
      <c r="AN45" s="240"/>
      <c r="AO45" s="240"/>
      <c r="AP45" s="240"/>
      <c r="AQ45" s="240"/>
      <c r="AR45" s="187"/>
      <c r="AS45" s="187"/>
      <c r="AU45" s="269">
        <f t="shared" si="4"/>
        <v>41</v>
      </c>
      <c r="AV45" s="270">
        <v>0</v>
      </c>
      <c r="AW45" s="271">
        <v>0</v>
      </c>
      <c r="AX45" s="261">
        <v>0</v>
      </c>
      <c r="AY45" s="262">
        <v>0</v>
      </c>
      <c r="AZ45" s="272" t="s">
        <v>1294</v>
      </c>
      <c r="BA45" s="273">
        <f t="shared" si="0"/>
        <v>1</v>
      </c>
      <c r="BC45" s="274" t="str">
        <f t="shared" si="13"/>
        <v xml:space="preserve">    "0": { commit: "0" }  # /0/ ==&gt; 0</v>
      </c>
      <c r="BD45" s="275"/>
      <c r="BE45" s="269">
        <f t="shared" si="6"/>
        <v>41</v>
      </c>
      <c r="BF45" s="276"/>
      <c r="BG45" s="277"/>
      <c r="BH45" s="278"/>
      <c r="BI45" s="262"/>
      <c r="BJ45" s="279"/>
      <c r="BK45" s="280"/>
      <c r="BN45" s="269">
        <f t="shared" si="7"/>
        <v>41</v>
      </c>
      <c r="BO45" s="276"/>
      <c r="BP45" s="277"/>
      <c r="BQ45" s="278"/>
      <c r="BR45" s="262"/>
      <c r="BS45" s="279"/>
      <c r="BT45" s="280"/>
      <c r="BW45" s="269">
        <f t="shared" si="8"/>
        <v>41</v>
      </c>
      <c r="BX45" s="276"/>
      <c r="BY45" s="277"/>
      <c r="BZ45" s="278"/>
      <c r="CA45" s="262"/>
      <c r="CB45" s="279"/>
      <c r="CC45" s="280"/>
      <c r="CE45" s="196" t="str">
        <f t="shared" si="14"/>
        <v/>
      </c>
      <c r="CF45" s="269">
        <f t="shared" si="9"/>
        <v>41</v>
      </c>
      <c r="CG45" s="276"/>
      <c r="CH45" s="277"/>
      <c r="CI45" s="278"/>
      <c r="CJ45" s="262"/>
      <c r="CK45" s="279"/>
      <c r="CL45" s="280"/>
    </row>
    <row r="46" spans="1:92" ht="45" customHeight="1">
      <c r="AU46" s="269">
        <f t="shared" si="4"/>
        <v>42</v>
      </c>
      <c r="AV46" s="270">
        <v>0</v>
      </c>
      <c r="AW46" s="271">
        <v>0</v>
      </c>
      <c r="AX46" s="261">
        <v>0</v>
      </c>
      <c r="AY46" s="262">
        <v>0</v>
      </c>
      <c r="AZ46" s="272" t="s">
        <v>1294</v>
      </c>
      <c r="BA46" s="273">
        <f t="shared" si="0"/>
        <v>1</v>
      </c>
      <c r="BC46" s="274" t="str">
        <f t="shared" si="13"/>
        <v xml:space="preserve">    "0": { commit: "0" }  # /0/ ==&gt; 0</v>
      </c>
      <c r="BD46" s="275"/>
      <c r="BE46" s="269">
        <f t="shared" si="6"/>
        <v>42</v>
      </c>
      <c r="BF46" s="276"/>
      <c r="BG46" s="277"/>
      <c r="BH46" s="278"/>
      <c r="BI46" s="262"/>
      <c r="BJ46" s="279"/>
      <c r="BK46" s="280"/>
      <c r="BN46" s="269">
        <f t="shared" si="7"/>
        <v>42</v>
      </c>
      <c r="BO46" s="276"/>
      <c r="BP46" s="277"/>
      <c r="BQ46" s="278"/>
      <c r="BR46" s="262"/>
      <c r="BS46" s="279"/>
      <c r="BT46" s="280"/>
      <c r="BW46" s="269">
        <f t="shared" si="8"/>
        <v>42</v>
      </c>
      <c r="BX46" s="276"/>
      <c r="BY46" s="277"/>
      <c r="BZ46" s="278"/>
      <c r="CA46" s="262"/>
      <c r="CB46" s="279"/>
      <c r="CC46" s="280"/>
      <c r="CE46" s="196" t="str">
        <f t="shared" si="14"/>
        <v/>
      </c>
      <c r="CF46" s="269">
        <f t="shared" si="9"/>
        <v>42</v>
      </c>
      <c r="CG46" s="276"/>
      <c r="CH46" s="277"/>
      <c r="CI46" s="278"/>
      <c r="CJ46" s="262"/>
      <c r="CK46" s="279"/>
      <c r="CL46" s="280"/>
    </row>
    <row r="47" spans="1:92" ht="45" customHeight="1">
      <c r="A47" s="240"/>
      <c r="B47" s="240"/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  <c r="AB47" s="240"/>
      <c r="AC47" s="240"/>
      <c r="AD47" s="240"/>
      <c r="AE47" s="240"/>
      <c r="AF47" s="240"/>
      <c r="AG47" s="240"/>
      <c r="AH47" s="240"/>
      <c r="AI47" s="240"/>
      <c r="AJ47" s="240"/>
      <c r="AK47" s="240"/>
      <c r="AL47" s="240"/>
      <c r="AM47" s="240"/>
      <c r="AN47" s="240"/>
      <c r="AO47" s="240"/>
      <c r="AP47" s="240"/>
      <c r="AQ47" s="240"/>
      <c r="AR47" s="187"/>
      <c r="AS47" s="187"/>
      <c r="AU47" s="269">
        <f t="shared" si="4"/>
        <v>43</v>
      </c>
      <c r="AV47" s="270"/>
      <c r="AW47" s="271"/>
      <c r="AX47" s="261"/>
      <c r="AY47" s="262"/>
      <c r="AZ47" s="272" t="s">
        <v>1294</v>
      </c>
      <c r="BA47" s="273">
        <f t="shared" si="0"/>
        <v>0</v>
      </c>
      <c r="BC47" s="274" t="str">
        <f t="shared" si="13"/>
        <v xml:space="preserve">    "": { commit: "" }  # // ==&gt; </v>
      </c>
      <c r="BE47" s="269">
        <f t="shared" si="6"/>
        <v>43</v>
      </c>
      <c r="BF47" s="276"/>
      <c r="BG47" s="277"/>
      <c r="BH47" s="278"/>
      <c r="BI47" s="262"/>
      <c r="BJ47" s="279"/>
      <c r="BK47" s="280"/>
      <c r="BN47" s="269">
        <f t="shared" si="7"/>
        <v>43</v>
      </c>
      <c r="BO47" s="276"/>
      <c r="BP47" s="277"/>
      <c r="BQ47" s="278"/>
      <c r="BR47" s="262"/>
      <c r="BS47" s="279"/>
      <c r="BT47" s="280"/>
      <c r="BW47" s="269">
        <f t="shared" si="8"/>
        <v>43</v>
      </c>
      <c r="BX47" s="276"/>
      <c r="BY47" s="277"/>
      <c r="BZ47" s="278"/>
      <c r="CA47" s="262"/>
      <c r="CB47" s="279"/>
      <c r="CC47" s="280"/>
      <c r="CE47" s="196" t="str">
        <f t="shared" si="14"/>
        <v/>
      </c>
      <c r="CF47" s="269">
        <f t="shared" si="9"/>
        <v>43</v>
      </c>
      <c r="CG47" s="276"/>
      <c r="CH47" s="277"/>
      <c r="CI47" s="278"/>
      <c r="CJ47" s="262"/>
      <c r="CK47" s="279"/>
      <c r="CL47" s="280"/>
    </row>
    <row r="48" spans="1:92" ht="45" customHeight="1">
      <c r="AU48" s="269">
        <f t="shared" si="4"/>
        <v>44</v>
      </c>
      <c r="AV48" s="270"/>
      <c r="AW48" s="271"/>
      <c r="AX48" s="261"/>
      <c r="AY48" s="262"/>
      <c r="AZ48" s="272" t="s">
        <v>1294</v>
      </c>
      <c r="BA48" s="273">
        <f t="shared" si="0"/>
        <v>0</v>
      </c>
      <c r="BC48" s="274" t="str">
        <f t="shared" si="13"/>
        <v xml:space="preserve">    "": { commit: "" }  # // ==&gt; </v>
      </c>
      <c r="BE48" s="269">
        <f t="shared" si="6"/>
        <v>44</v>
      </c>
      <c r="BF48" s="276"/>
      <c r="BG48" s="277"/>
      <c r="BH48" s="278"/>
      <c r="BI48" s="262"/>
      <c r="BJ48" s="279"/>
      <c r="BK48" s="280"/>
      <c r="BN48" s="269">
        <f t="shared" si="7"/>
        <v>44</v>
      </c>
      <c r="BO48" s="276"/>
      <c r="BP48" s="277"/>
      <c r="BQ48" s="278"/>
      <c r="BR48" s="262"/>
      <c r="BS48" s="279"/>
      <c r="BT48" s="280"/>
      <c r="BW48" s="269">
        <f t="shared" si="8"/>
        <v>44</v>
      </c>
      <c r="BX48" s="276"/>
      <c r="BY48" s="277"/>
      <c r="BZ48" s="278"/>
      <c r="CA48" s="262"/>
      <c r="CB48" s="279"/>
      <c r="CC48" s="280"/>
      <c r="CE48" s="196" t="str">
        <f t="shared" si="14"/>
        <v/>
      </c>
      <c r="CF48" s="269">
        <f t="shared" si="9"/>
        <v>44</v>
      </c>
      <c r="CG48" s="276"/>
      <c r="CH48" s="277"/>
      <c r="CI48" s="278"/>
      <c r="CJ48" s="262"/>
      <c r="CK48" s="279"/>
      <c r="CL48" s="280"/>
    </row>
    <row r="49" spans="1:90" ht="45" customHeight="1">
      <c r="A49" s="240"/>
      <c r="B49" s="240"/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0"/>
      <c r="AI49" s="240"/>
      <c r="AJ49" s="240"/>
      <c r="AK49" s="240"/>
      <c r="AL49" s="240"/>
      <c r="AM49" s="240"/>
      <c r="AN49" s="240"/>
      <c r="AO49" s="240"/>
      <c r="AP49" s="240"/>
      <c r="AQ49" s="240"/>
      <c r="AR49" s="187"/>
      <c r="AS49" s="187"/>
      <c r="AU49" s="269">
        <f t="shared" si="4"/>
        <v>45</v>
      </c>
      <c r="AV49" s="270"/>
      <c r="AW49" s="271"/>
      <c r="AX49" s="261"/>
      <c r="AY49" s="262"/>
      <c r="AZ49" s="272" t="s">
        <v>1294</v>
      </c>
      <c r="BA49" s="273">
        <f t="shared" si="0"/>
        <v>0</v>
      </c>
      <c r="BC49" s="274" t="str">
        <f t="shared" si="13"/>
        <v xml:space="preserve">    "": { commit: "" }  # // ==&gt; </v>
      </c>
      <c r="BE49" s="269">
        <f t="shared" si="6"/>
        <v>45</v>
      </c>
      <c r="BF49" s="276"/>
      <c r="BG49" s="277"/>
      <c r="BH49" s="278"/>
      <c r="BI49" s="262"/>
      <c r="BJ49" s="279"/>
      <c r="BK49" s="280"/>
      <c r="BN49" s="269">
        <f t="shared" si="7"/>
        <v>45</v>
      </c>
      <c r="BO49" s="276"/>
      <c r="BP49" s="277"/>
      <c r="BQ49" s="278"/>
      <c r="BR49" s="262"/>
      <c r="BS49" s="279"/>
      <c r="BT49" s="280"/>
      <c r="BW49" s="269">
        <f t="shared" si="8"/>
        <v>45</v>
      </c>
      <c r="BX49" s="276"/>
      <c r="BY49" s="277"/>
      <c r="BZ49" s="278"/>
      <c r="CA49" s="262"/>
      <c r="CB49" s="279"/>
      <c r="CC49" s="280"/>
      <c r="CE49" s="196" t="str">
        <f t="shared" si="14"/>
        <v/>
      </c>
      <c r="CF49" s="269">
        <f t="shared" si="9"/>
        <v>45</v>
      </c>
      <c r="CG49" s="276"/>
      <c r="CH49" s="277"/>
      <c r="CI49" s="278"/>
      <c r="CJ49" s="262"/>
      <c r="CK49" s="279"/>
      <c r="CL49" s="280"/>
    </row>
    <row r="50" spans="1:90" ht="45" customHeight="1">
      <c r="AU50" s="269">
        <f t="shared" si="4"/>
        <v>46</v>
      </c>
      <c r="AV50" s="270"/>
      <c r="AW50" s="271"/>
      <c r="AX50" s="261"/>
      <c r="AY50" s="262"/>
      <c r="AZ50" s="272" t="s">
        <v>1294</v>
      </c>
      <c r="BA50" s="273">
        <f t="shared" si="0"/>
        <v>0</v>
      </c>
      <c r="BC50" s="274" t="str">
        <f t="shared" si="13"/>
        <v xml:space="preserve">    "": { commit: "" }  # // ==&gt; </v>
      </c>
      <c r="BE50" s="269">
        <f t="shared" si="6"/>
        <v>46</v>
      </c>
      <c r="BF50" s="276"/>
      <c r="BG50" s="277"/>
      <c r="BH50" s="278"/>
      <c r="BI50" s="262"/>
      <c r="BJ50" s="279"/>
      <c r="BK50" s="280"/>
      <c r="BN50" s="269">
        <f t="shared" si="7"/>
        <v>46</v>
      </c>
      <c r="BO50" s="276"/>
      <c r="BP50" s="277"/>
      <c r="BQ50" s="278"/>
      <c r="BR50" s="262"/>
      <c r="BS50" s="279"/>
      <c r="BT50" s="280"/>
      <c r="BW50" s="269">
        <f t="shared" si="8"/>
        <v>46</v>
      </c>
      <c r="BX50" s="276"/>
      <c r="BY50" s="277"/>
      <c r="BZ50" s="278"/>
      <c r="CA50" s="262"/>
      <c r="CB50" s="279"/>
      <c r="CC50" s="280"/>
      <c r="CE50" s="196" t="str">
        <f t="shared" si="14"/>
        <v/>
      </c>
      <c r="CF50" s="269">
        <f t="shared" si="9"/>
        <v>46</v>
      </c>
      <c r="CG50" s="276"/>
      <c r="CH50" s="277"/>
      <c r="CI50" s="278"/>
      <c r="CJ50" s="262"/>
      <c r="CK50" s="279"/>
      <c r="CL50" s="280"/>
    </row>
    <row r="51" spans="1:90" ht="45" customHeight="1">
      <c r="A51" s="240"/>
      <c r="B51" s="240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  <c r="AA51" s="240"/>
      <c r="AB51" s="240"/>
      <c r="AC51" s="240"/>
      <c r="AD51" s="240"/>
      <c r="AE51" s="240"/>
      <c r="AF51" s="240"/>
      <c r="AG51" s="240"/>
      <c r="AH51" s="240"/>
      <c r="AI51" s="240"/>
      <c r="AJ51" s="240"/>
      <c r="AK51" s="240"/>
      <c r="AL51" s="240"/>
      <c r="AM51" s="240"/>
      <c r="AN51" s="240"/>
      <c r="AO51" s="240"/>
      <c r="AP51" s="240"/>
      <c r="AQ51" s="240"/>
      <c r="AR51" s="187"/>
      <c r="AS51" s="187"/>
      <c r="AU51" s="269">
        <f t="shared" si="4"/>
        <v>47</v>
      </c>
      <c r="AV51" s="270"/>
      <c r="AW51" s="271"/>
      <c r="AX51" s="261"/>
      <c r="AY51" s="262"/>
      <c r="AZ51" s="272" t="s">
        <v>1294</v>
      </c>
      <c r="BA51" s="273">
        <f t="shared" si="0"/>
        <v>0</v>
      </c>
      <c r="BC51" s="274" t="str">
        <f t="shared" si="13"/>
        <v xml:space="preserve">    "": { commit: "" }  # // ==&gt; </v>
      </c>
      <c r="BE51" s="269">
        <f t="shared" si="6"/>
        <v>47</v>
      </c>
      <c r="BF51" s="276"/>
      <c r="BG51" s="277"/>
      <c r="BH51" s="278"/>
      <c r="BI51" s="262"/>
      <c r="BJ51" s="279"/>
      <c r="BK51" s="280"/>
      <c r="BN51" s="269">
        <f t="shared" si="7"/>
        <v>47</v>
      </c>
      <c r="BO51" s="276"/>
      <c r="BP51" s="277"/>
      <c r="BQ51" s="278"/>
      <c r="BR51" s="262"/>
      <c r="BS51" s="279"/>
      <c r="BT51" s="280"/>
      <c r="BW51" s="269">
        <f t="shared" si="8"/>
        <v>47</v>
      </c>
      <c r="BX51" s="276"/>
      <c r="BY51" s="277"/>
      <c r="BZ51" s="278"/>
      <c r="CA51" s="262"/>
      <c r="CB51" s="279"/>
      <c r="CC51" s="280"/>
      <c r="CE51" s="196" t="str">
        <f t="shared" si="14"/>
        <v/>
      </c>
      <c r="CF51" s="269">
        <f t="shared" si="9"/>
        <v>47</v>
      </c>
      <c r="CG51" s="276"/>
      <c r="CH51" s="277"/>
      <c r="CI51" s="278"/>
      <c r="CJ51" s="262"/>
      <c r="CK51" s="279"/>
      <c r="CL51" s="280"/>
    </row>
    <row r="52" spans="1:90" ht="45" customHeight="1">
      <c r="AU52" s="269">
        <f t="shared" si="4"/>
        <v>48</v>
      </c>
      <c r="AV52" s="270"/>
      <c r="AW52" s="271"/>
      <c r="AX52" s="261"/>
      <c r="AY52" s="262"/>
      <c r="AZ52" s="272" t="s">
        <v>1294</v>
      </c>
      <c r="BA52" s="273">
        <f t="shared" si="0"/>
        <v>0</v>
      </c>
      <c r="BC52" s="274" t="str">
        <f t="shared" si="13"/>
        <v xml:space="preserve">    "": { commit: "" }  # // ==&gt; </v>
      </c>
      <c r="BE52" s="269">
        <f t="shared" si="6"/>
        <v>48</v>
      </c>
      <c r="BF52" s="276"/>
      <c r="BG52" s="277"/>
      <c r="BH52" s="278"/>
      <c r="BI52" s="262"/>
      <c r="BJ52" s="279"/>
      <c r="BK52" s="280"/>
      <c r="BN52" s="269">
        <f t="shared" si="7"/>
        <v>48</v>
      </c>
      <c r="BO52" s="276"/>
      <c r="BP52" s="277"/>
      <c r="BQ52" s="278"/>
      <c r="BR52" s="262"/>
      <c r="BS52" s="279"/>
      <c r="BT52" s="280"/>
      <c r="BW52" s="269">
        <f t="shared" si="8"/>
        <v>48</v>
      </c>
      <c r="BX52" s="276"/>
      <c r="BY52" s="277"/>
      <c r="BZ52" s="278"/>
      <c r="CA52" s="262"/>
      <c r="CB52" s="279"/>
      <c r="CC52" s="280"/>
      <c r="CE52" s="196" t="str">
        <f t="shared" si="14"/>
        <v/>
      </c>
      <c r="CF52" s="269">
        <f t="shared" si="9"/>
        <v>48</v>
      </c>
      <c r="CG52" s="276"/>
      <c r="CH52" s="277"/>
      <c r="CI52" s="278"/>
      <c r="CJ52" s="262"/>
      <c r="CK52" s="279"/>
      <c r="CL52" s="280"/>
    </row>
    <row r="53" spans="1:90" ht="45" customHeight="1">
      <c r="A53" s="240"/>
      <c r="B53" s="240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  <c r="Z53" s="240"/>
      <c r="AA53" s="240"/>
      <c r="AB53" s="240"/>
      <c r="AC53" s="240"/>
      <c r="AD53" s="240"/>
      <c r="AE53" s="240"/>
      <c r="AF53" s="240"/>
      <c r="AG53" s="240"/>
      <c r="AH53" s="240"/>
      <c r="AI53" s="240"/>
      <c r="AJ53" s="240"/>
      <c r="AK53" s="240"/>
      <c r="AL53" s="240"/>
      <c r="AM53" s="240"/>
      <c r="AN53" s="240"/>
      <c r="AO53" s="240"/>
      <c r="AP53" s="240"/>
      <c r="AQ53" s="240"/>
      <c r="AR53" s="187"/>
      <c r="AS53" s="187"/>
      <c r="AU53" s="269">
        <f t="shared" si="4"/>
        <v>49</v>
      </c>
      <c r="AV53" s="270"/>
      <c r="AW53" s="271"/>
      <c r="AX53" s="261"/>
      <c r="AY53" s="262"/>
      <c r="AZ53" s="272" t="s">
        <v>1294</v>
      </c>
      <c r="BA53" s="273">
        <f t="shared" si="0"/>
        <v>0</v>
      </c>
      <c r="BC53" s="274" t="str">
        <f t="shared" si="13"/>
        <v xml:space="preserve">    "": { commit: "" }  # // ==&gt; </v>
      </c>
      <c r="BE53" s="269">
        <f t="shared" si="6"/>
        <v>49</v>
      </c>
      <c r="BF53" s="276"/>
      <c r="BG53" s="277"/>
      <c r="BH53" s="278"/>
      <c r="BI53" s="262"/>
      <c r="BJ53" s="279"/>
      <c r="BK53" s="280"/>
      <c r="BN53" s="269">
        <f t="shared" si="7"/>
        <v>49</v>
      </c>
      <c r="BO53" s="276"/>
      <c r="BP53" s="277"/>
      <c r="BQ53" s="278"/>
      <c r="BR53" s="262"/>
      <c r="BS53" s="279"/>
      <c r="BT53" s="280"/>
      <c r="BW53" s="269">
        <f t="shared" si="8"/>
        <v>49</v>
      </c>
      <c r="BX53" s="276"/>
      <c r="BY53" s="277"/>
      <c r="BZ53" s="278"/>
      <c r="CA53" s="262"/>
      <c r="CB53" s="279"/>
      <c r="CC53" s="280"/>
      <c r="CE53" s="196" t="str">
        <f t="shared" si="14"/>
        <v/>
      </c>
      <c r="CF53" s="269">
        <f t="shared" si="9"/>
        <v>49</v>
      </c>
      <c r="CG53" s="276"/>
      <c r="CH53" s="277"/>
      <c r="CI53" s="278"/>
      <c r="CJ53" s="262"/>
      <c r="CK53" s="279"/>
      <c r="CL53" s="280"/>
    </row>
    <row r="54" spans="1:90" ht="45" customHeight="1">
      <c r="AU54" s="269">
        <f t="shared" si="4"/>
        <v>50</v>
      </c>
      <c r="AV54" s="270"/>
      <c r="AW54" s="271"/>
      <c r="AX54" s="261"/>
      <c r="AY54" s="262"/>
      <c r="AZ54" s="272" t="s">
        <v>1295</v>
      </c>
      <c r="BA54" s="273">
        <f t="shared" si="0"/>
        <v>0</v>
      </c>
      <c r="BC54" s="274" t="str">
        <f t="shared" si="13"/>
        <v xml:space="preserve">    "": { commit: "" }  # // ==&gt; </v>
      </c>
      <c r="BE54" s="269">
        <f t="shared" si="6"/>
        <v>50</v>
      </c>
      <c r="BF54" s="276"/>
      <c r="BG54" s="277"/>
      <c r="BH54" s="278"/>
      <c r="BI54" s="262"/>
      <c r="BJ54" s="279"/>
      <c r="BK54" s="280"/>
      <c r="BN54" s="269">
        <f t="shared" si="7"/>
        <v>50</v>
      </c>
      <c r="BO54" s="276"/>
      <c r="BP54" s="277"/>
      <c r="BQ54" s="278"/>
      <c r="BR54" s="262"/>
      <c r="BS54" s="279"/>
      <c r="BT54" s="280"/>
      <c r="BW54" s="269">
        <f t="shared" si="8"/>
        <v>50</v>
      </c>
      <c r="BX54" s="276"/>
      <c r="BY54" s="277"/>
      <c r="BZ54" s="278"/>
      <c r="CA54" s="262"/>
      <c r="CB54" s="279"/>
      <c r="CC54" s="280"/>
      <c r="CE54" s="196" t="str">
        <f t="shared" si="14"/>
        <v/>
      </c>
      <c r="CF54" s="269">
        <f t="shared" si="9"/>
        <v>50</v>
      </c>
      <c r="CG54" s="276"/>
      <c r="CH54" s="277"/>
      <c r="CI54" s="278"/>
      <c r="CJ54" s="262"/>
      <c r="CK54" s="279"/>
      <c r="CL54" s="280"/>
    </row>
    <row r="55" spans="1:90" ht="45" customHeight="1">
      <c r="A55" s="240"/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0"/>
      <c r="AI55" s="240"/>
      <c r="AJ55" s="240"/>
      <c r="AK55" s="240"/>
      <c r="AL55" s="240"/>
      <c r="AM55" s="240"/>
      <c r="AN55" s="240"/>
      <c r="AO55" s="240"/>
      <c r="AP55" s="240"/>
      <c r="AQ55" s="240"/>
      <c r="AR55" s="187"/>
      <c r="AS55" s="187"/>
      <c r="AU55" s="269">
        <f t="shared" si="4"/>
        <v>51</v>
      </c>
      <c r="AV55" s="270"/>
      <c r="AW55" s="271"/>
      <c r="AX55" s="261"/>
      <c r="AY55" s="262"/>
      <c r="AZ55" s="272" t="s">
        <v>1295</v>
      </c>
      <c r="BA55" s="273">
        <f t="shared" si="0"/>
        <v>0</v>
      </c>
      <c r="BC55" s="274" t="str">
        <f t="shared" si="13"/>
        <v xml:space="preserve">    "": { commit: "" }  # // ==&gt; </v>
      </c>
      <c r="BE55" s="269">
        <f t="shared" si="6"/>
        <v>51</v>
      </c>
      <c r="BF55" s="276"/>
      <c r="BG55" s="277"/>
      <c r="BH55" s="278"/>
      <c r="BI55" s="262"/>
      <c r="BJ55" s="279"/>
      <c r="BK55" s="280"/>
      <c r="BN55" s="269">
        <f t="shared" si="7"/>
        <v>51</v>
      </c>
      <c r="BO55" s="276"/>
      <c r="BP55" s="277"/>
      <c r="BQ55" s="278"/>
      <c r="BR55" s="262"/>
      <c r="BS55" s="279"/>
      <c r="BT55" s="280"/>
      <c r="BW55" s="269">
        <f t="shared" si="8"/>
        <v>51</v>
      </c>
      <c r="BX55" s="276"/>
      <c r="BY55" s="277"/>
      <c r="BZ55" s="278"/>
      <c r="CA55" s="262"/>
      <c r="CB55" s="279"/>
      <c r="CC55" s="280"/>
      <c r="CE55" s="196" t="str">
        <f t="shared" si="14"/>
        <v/>
      </c>
      <c r="CF55" s="269">
        <f t="shared" si="9"/>
        <v>51</v>
      </c>
      <c r="CG55" s="276"/>
      <c r="CH55" s="277"/>
      <c r="CI55" s="278"/>
      <c r="CJ55" s="262"/>
      <c r="CK55" s="279"/>
      <c r="CL55" s="280"/>
    </row>
    <row r="56" spans="1:90" ht="45" customHeight="1">
      <c r="AU56" s="269">
        <f t="shared" si="4"/>
        <v>52</v>
      </c>
      <c r="AV56" s="270"/>
      <c r="AW56" s="271"/>
      <c r="AX56" s="261"/>
      <c r="AY56" s="262"/>
      <c r="AZ56" s="272" t="s">
        <v>1295</v>
      </c>
      <c r="BA56" s="273">
        <f t="shared" si="0"/>
        <v>0</v>
      </c>
      <c r="BC56" s="274" t="str">
        <f t="shared" si="13"/>
        <v xml:space="preserve">    "": { commit: "" }  # // ==&gt; </v>
      </c>
      <c r="BE56" s="269">
        <f t="shared" si="6"/>
        <v>52</v>
      </c>
      <c r="BF56" s="276"/>
      <c r="BG56" s="277"/>
      <c r="BH56" s="278"/>
      <c r="BI56" s="262"/>
      <c r="BJ56" s="279"/>
      <c r="BK56" s="280"/>
      <c r="BN56" s="269">
        <f t="shared" si="7"/>
        <v>52</v>
      </c>
      <c r="BO56" s="276"/>
      <c r="BP56" s="277"/>
      <c r="BQ56" s="278"/>
      <c r="BR56" s="262"/>
      <c r="BS56" s="279"/>
      <c r="BT56" s="280"/>
      <c r="BW56" s="269">
        <f t="shared" si="8"/>
        <v>52</v>
      </c>
      <c r="BX56" s="276"/>
      <c r="BY56" s="277"/>
      <c r="BZ56" s="278"/>
      <c r="CA56" s="262"/>
      <c r="CB56" s="279"/>
      <c r="CC56" s="280"/>
      <c r="CE56" s="196" t="str">
        <f t="shared" si="14"/>
        <v/>
      </c>
      <c r="CF56" s="269">
        <f t="shared" si="9"/>
        <v>52</v>
      </c>
      <c r="CG56" s="276"/>
      <c r="CH56" s="277"/>
      <c r="CI56" s="278"/>
      <c r="CJ56" s="262"/>
      <c r="CK56" s="279"/>
      <c r="CL56" s="280"/>
    </row>
    <row r="57" spans="1:90" ht="45" customHeight="1">
      <c r="A57" s="240"/>
      <c r="B57" s="240"/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0"/>
      <c r="AA57" s="240"/>
      <c r="AB57" s="240"/>
      <c r="AC57" s="240"/>
      <c r="AD57" s="240"/>
      <c r="AE57" s="240"/>
      <c r="AF57" s="240"/>
      <c r="AG57" s="240"/>
      <c r="AH57" s="240"/>
      <c r="AI57" s="240"/>
      <c r="AJ57" s="240"/>
      <c r="AK57" s="240"/>
      <c r="AL57" s="240"/>
      <c r="AM57" s="240"/>
      <c r="AN57" s="240"/>
      <c r="AO57" s="240"/>
      <c r="AP57" s="240"/>
      <c r="AQ57" s="240"/>
      <c r="AR57" s="187"/>
      <c r="AS57" s="187"/>
      <c r="AU57" s="269">
        <f t="shared" si="4"/>
        <v>53</v>
      </c>
      <c r="AV57" s="270"/>
      <c r="AW57" s="271"/>
      <c r="AX57" s="261"/>
      <c r="AY57" s="262"/>
      <c r="AZ57" s="272" t="s">
        <v>1295</v>
      </c>
      <c r="BA57" s="273">
        <f t="shared" si="0"/>
        <v>0</v>
      </c>
      <c r="BC57" s="274" t="str">
        <f t="shared" si="13"/>
        <v xml:space="preserve">    "": { commit: "" }  # // ==&gt; </v>
      </c>
      <c r="BE57" s="269">
        <f t="shared" si="6"/>
        <v>53</v>
      </c>
      <c r="BF57" s="276"/>
      <c r="BG57" s="277"/>
      <c r="BH57" s="278"/>
      <c r="BI57" s="262"/>
      <c r="BJ57" s="279"/>
      <c r="BK57" s="280"/>
      <c r="BN57" s="269">
        <f t="shared" si="7"/>
        <v>53</v>
      </c>
      <c r="BO57" s="276"/>
      <c r="BP57" s="277"/>
      <c r="BQ57" s="278"/>
      <c r="BR57" s="262"/>
      <c r="BS57" s="279"/>
      <c r="BT57" s="280"/>
      <c r="BW57" s="269">
        <f t="shared" si="8"/>
        <v>53</v>
      </c>
      <c r="BX57" s="276"/>
      <c r="BY57" s="277"/>
      <c r="BZ57" s="278"/>
      <c r="CA57" s="262"/>
      <c r="CB57" s="279"/>
      <c r="CC57" s="280"/>
      <c r="CF57" s="269">
        <f t="shared" si="9"/>
        <v>53</v>
      </c>
      <c r="CG57" s="276"/>
      <c r="CH57" s="277"/>
      <c r="CI57" s="278"/>
      <c r="CJ57" s="262"/>
      <c r="CK57" s="279"/>
      <c r="CL57" s="280"/>
    </row>
    <row r="58" spans="1:90" ht="46.5" customHeight="1">
      <c r="AU58" s="269">
        <f t="shared" si="4"/>
        <v>54</v>
      </c>
      <c r="AV58" s="270"/>
      <c r="AW58" s="271"/>
      <c r="AX58" s="261"/>
      <c r="AY58" s="262"/>
      <c r="AZ58" s="272" t="s">
        <v>1295</v>
      </c>
      <c r="BA58" s="273">
        <f t="shared" si="0"/>
        <v>0</v>
      </c>
      <c r="BC58" s="274" t="str">
        <f t="shared" si="13"/>
        <v xml:space="preserve">    "": { commit: "" }  # // ==&gt; </v>
      </c>
      <c r="BE58" s="269">
        <f t="shared" si="6"/>
        <v>54</v>
      </c>
      <c r="BF58" s="276"/>
      <c r="BG58" s="277"/>
      <c r="BH58" s="278"/>
      <c r="BI58" s="262"/>
      <c r="BJ58" s="279"/>
      <c r="BK58" s="280"/>
      <c r="BN58" s="269">
        <f t="shared" si="7"/>
        <v>54</v>
      </c>
      <c r="BO58" s="276"/>
      <c r="BP58" s="277"/>
      <c r="BQ58" s="278"/>
      <c r="BR58" s="262"/>
      <c r="BS58" s="279"/>
      <c r="BT58" s="280"/>
      <c r="BW58" s="269">
        <f t="shared" si="8"/>
        <v>54</v>
      </c>
      <c r="BX58" s="276"/>
      <c r="BY58" s="277"/>
      <c r="BZ58" s="278"/>
      <c r="CA58" s="262"/>
      <c r="CB58" s="279"/>
      <c r="CC58" s="280"/>
      <c r="CF58" s="269">
        <f t="shared" si="9"/>
        <v>54</v>
      </c>
      <c r="CG58" s="276"/>
      <c r="CH58" s="277"/>
      <c r="CI58" s="278"/>
      <c r="CJ58" s="262"/>
      <c r="CK58" s="279"/>
      <c r="CL58" s="280"/>
    </row>
    <row r="59" spans="1:90" ht="54" customHeight="1">
      <c r="A59" s="240"/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  <c r="AA59" s="240"/>
      <c r="AB59" s="240"/>
      <c r="AC59" s="240"/>
      <c r="AD59" s="240"/>
      <c r="AE59" s="240"/>
      <c r="AF59" s="240"/>
      <c r="AG59" s="240"/>
      <c r="AH59" s="240"/>
      <c r="AI59" s="240"/>
      <c r="AJ59" s="240"/>
      <c r="AK59" s="240"/>
      <c r="AL59" s="240"/>
      <c r="AM59" s="240"/>
      <c r="AN59" s="240"/>
      <c r="AO59" s="240"/>
      <c r="AP59" s="240"/>
      <c r="AQ59" s="240"/>
      <c r="AR59" s="187"/>
      <c r="AS59" s="187"/>
      <c r="AU59" s="269">
        <f t="shared" si="4"/>
        <v>55</v>
      </c>
      <c r="AV59" s="270"/>
      <c r="AW59" s="271"/>
      <c r="AX59" s="261"/>
      <c r="AY59" s="262"/>
      <c r="AZ59" s="272" t="s">
        <v>1295</v>
      </c>
      <c r="BA59" s="273">
        <f t="shared" si="0"/>
        <v>0</v>
      </c>
      <c r="BC59" s="274" t="str">
        <f t="shared" si="13"/>
        <v xml:space="preserve">    "": { commit: "" }  # // ==&gt; </v>
      </c>
      <c r="BE59" s="269">
        <f t="shared" si="6"/>
        <v>55</v>
      </c>
      <c r="BF59" s="276"/>
      <c r="BG59" s="277"/>
      <c r="BH59" s="278"/>
      <c r="BI59" s="262"/>
      <c r="BJ59" s="279"/>
      <c r="BK59" s="280"/>
      <c r="BN59" s="269">
        <f t="shared" si="7"/>
        <v>55</v>
      </c>
      <c r="BO59" s="276"/>
      <c r="BP59" s="277"/>
      <c r="BQ59" s="278"/>
      <c r="BR59" s="262"/>
      <c r="BS59" s="279"/>
      <c r="BT59" s="280"/>
      <c r="BW59" s="269">
        <f t="shared" si="8"/>
        <v>55</v>
      </c>
      <c r="BX59" s="276"/>
      <c r="BY59" s="277"/>
      <c r="BZ59" s="278"/>
      <c r="CA59" s="262"/>
      <c r="CB59" s="279"/>
      <c r="CC59" s="280"/>
      <c r="CF59" s="269">
        <f t="shared" si="9"/>
        <v>55</v>
      </c>
      <c r="CG59" s="276"/>
      <c r="CH59" s="277"/>
      <c r="CI59" s="278"/>
      <c r="CJ59" s="262"/>
      <c r="CK59" s="279"/>
      <c r="CL59" s="280"/>
    </row>
    <row r="60" spans="1:90" ht="54" customHeight="1">
      <c r="AU60" s="269">
        <f t="shared" si="4"/>
        <v>56</v>
      </c>
      <c r="AV60" s="270"/>
      <c r="AW60" s="271"/>
      <c r="AX60" s="261"/>
      <c r="AY60" s="262"/>
      <c r="AZ60" s="272" t="s">
        <v>1295</v>
      </c>
      <c r="BA60" s="273">
        <f t="shared" si="0"/>
        <v>0</v>
      </c>
      <c r="BC60" s="274" t="str">
        <f t="shared" si="13"/>
        <v xml:space="preserve">    "": { commit: "" }  # // ==&gt; </v>
      </c>
      <c r="BE60" s="269">
        <f t="shared" si="6"/>
        <v>56</v>
      </c>
      <c r="BF60" s="276"/>
      <c r="BG60" s="277"/>
      <c r="BH60" s="278"/>
      <c r="BI60" s="262"/>
      <c r="BJ60" s="279"/>
      <c r="BK60" s="280"/>
      <c r="BN60" s="269">
        <f t="shared" si="7"/>
        <v>56</v>
      </c>
      <c r="BO60" s="276"/>
      <c r="BP60" s="277"/>
      <c r="BQ60" s="278"/>
      <c r="BR60" s="262"/>
      <c r="BS60" s="279"/>
      <c r="BT60" s="280"/>
      <c r="BW60" s="269">
        <f t="shared" si="8"/>
        <v>56</v>
      </c>
      <c r="BX60" s="276"/>
      <c r="BY60" s="277"/>
      <c r="BZ60" s="278"/>
      <c r="CA60" s="262"/>
      <c r="CB60" s="279"/>
      <c r="CC60" s="280"/>
      <c r="CF60" s="269">
        <f t="shared" si="9"/>
        <v>56</v>
      </c>
      <c r="CG60" s="276"/>
      <c r="CH60" s="277"/>
      <c r="CI60" s="278"/>
      <c r="CJ60" s="262"/>
      <c r="CK60" s="279"/>
      <c r="CL60" s="280"/>
    </row>
    <row r="61" spans="1:90" ht="54" customHeight="1">
      <c r="A61" s="240"/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  <c r="AA61" s="240"/>
      <c r="AB61" s="240"/>
      <c r="AC61" s="240"/>
      <c r="AD61" s="240"/>
      <c r="AE61" s="240"/>
      <c r="AF61" s="240"/>
      <c r="AG61" s="240"/>
      <c r="AH61" s="240"/>
      <c r="AI61" s="240"/>
      <c r="AJ61" s="240"/>
      <c r="AK61" s="240"/>
      <c r="AL61" s="240"/>
      <c r="AM61" s="240"/>
      <c r="AN61" s="240"/>
      <c r="AO61" s="240"/>
      <c r="AP61" s="240"/>
      <c r="AQ61" s="240"/>
      <c r="AR61" s="187"/>
      <c r="AS61" s="187"/>
      <c r="AU61" s="269">
        <f t="shared" si="4"/>
        <v>57</v>
      </c>
      <c r="AV61" s="270"/>
      <c r="AW61" s="271"/>
      <c r="AX61" s="261"/>
      <c r="AY61" s="262"/>
      <c r="AZ61" s="272" t="s">
        <v>1262</v>
      </c>
      <c r="BA61" s="273">
        <f t="shared" si="0"/>
        <v>0</v>
      </c>
      <c r="BC61" s="274" t="str">
        <f t="shared" si="13"/>
        <v xml:space="preserve">    "": { commit: "" }  # // ==&gt; </v>
      </c>
      <c r="BE61" s="269">
        <f t="shared" si="6"/>
        <v>57</v>
      </c>
      <c r="BF61" s="276"/>
      <c r="BG61" s="277"/>
      <c r="BH61" s="278"/>
      <c r="BI61" s="262"/>
      <c r="BJ61" s="279"/>
      <c r="BK61" s="280"/>
      <c r="BN61" s="269">
        <f t="shared" si="7"/>
        <v>57</v>
      </c>
      <c r="BO61" s="276"/>
      <c r="BP61" s="277"/>
      <c r="BQ61" s="278"/>
      <c r="BR61" s="262"/>
      <c r="BS61" s="279"/>
      <c r="BT61" s="280"/>
      <c r="BW61" s="269">
        <f t="shared" si="8"/>
        <v>57</v>
      </c>
      <c r="BX61" s="276"/>
      <c r="BY61" s="277"/>
      <c r="BZ61" s="278"/>
      <c r="CA61" s="262"/>
      <c r="CB61" s="279"/>
      <c r="CC61" s="280"/>
      <c r="CF61" s="269">
        <f t="shared" si="9"/>
        <v>57</v>
      </c>
      <c r="CG61" s="276"/>
      <c r="CH61" s="277"/>
      <c r="CI61" s="278"/>
      <c r="CJ61" s="262"/>
      <c r="CK61" s="279"/>
      <c r="CL61" s="280"/>
    </row>
    <row r="62" spans="1:90" ht="45.75">
      <c r="AU62" s="269">
        <f t="shared" si="4"/>
        <v>58</v>
      </c>
      <c r="AV62" s="270"/>
      <c r="AW62" s="271"/>
      <c r="AX62" s="261"/>
      <c r="AY62" s="262"/>
      <c r="AZ62" s="272" t="s">
        <v>1262</v>
      </c>
      <c r="BA62" s="273">
        <f t="shared" si="0"/>
        <v>0</v>
      </c>
      <c r="BC62" s="274" t="str">
        <f t="shared" si="13"/>
        <v xml:space="preserve">    "": { commit: "" }  # // ==&gt; </v>
      </c>
      <c r="BE62" s="269">
        <f t="shared" si="6"/>
        <v>58</v>
      </c>
      <c r="BF62" s="276"/>
      <c r="BG62" s="277"/>
      <c r="BH62" s="278"/>
      <c r="BI62" s="262"/>
      <c r="BJ62" s="279"/>
      <c r="BK62" s="280"/>
      <c r="BN62" s="269">
        <f t="shared" si="7"/>
        <v>58</v>
      </c>
      <c r="BO62" s="276"/>
      <c r="BP62" s="277"/>
      <c r="BQ62" s="278"/>
      <c r="BR62" s="262"/>
      <c r="BS62" s="279"/>
      <c r="BT62" s="280"/>
      <c r="BW62" s="269">
        <f t="shared" si="8"/>
        <v>58</v>
      </c>
      <c r="BX62" s="276"/>
      <c r="BY62" s="277"/>
      <c r="BZ62" s="278"/>
      <c r="CA62" s="262"/>
      <c r="CB62" s="279"/>
      <c r="CC62" s="280"/>
      <c r="CF62" s="269">
        <f t="shared" si="9"/>
        <v>58</v>
      </c>
      <c r="CG62" s="276"/>
      <c r="CH62" s="277"/>
      <c r="CI62" s="278"/>
      <c r="CJ62" s="262"/>
      <c r="CK62" s="279"/>
      <c r="CL62" s="280"/>
    </row>
    <row r="63" spans="1:90" ht="45.75">
      <c r="A63" s="240"/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  <c r="Z63" s="240"/>
      <c r="AA63" s="240"/>
      <c r="AB63" s="240"/>
      <c r="AC63" s="240"/>
      <c r="AD63" s="240"/>
      <c r="AE63" s="240"/>
      <c r="AF63" s="240"/>
      <c r="AG63" s="240"/>
      <c r="AH63" s="240"/>
      <c r="AI63" s="240"/>
      <c r="AJ63" s="240"/>
      <c r="AK63" s="240"/>
      <c r="AL63" s="240"/>
      <c r="AM63" s="240"/>
      <c r="AN63" s="240"/>
      <c r="AO63" s="240"/>
      <c r="AP63" s="240"/>
      <c r="AQ63" s="240"/>
      <c r="AR63" s="187"/>
      <c r="AS63" s="187"/>
      <c r="AU63" s="269">
        <f t="shared" si="4"/>
        <v>59</v>
      </c>
      <c r="AV63" s="270"/>
      <c r="AW63" s="271"/>
      <c r="AX63" s="261"/>
      <c r="AY63" s="262"/>
      <c r="AZ63" s="272"/>
      <c r="BA63" s="273">
        <f t="shared" si="0"/>
        <v>0</v>
      </c>
      <c r="BE63" s="269">
        <f t="shared" si="6"/>
        <v>59</v>
      </c>
      <c r="BF63" s="276"/>
      <c r="BG63" s="277"/>
      <c r="BH63" s="278"/>
      <c r="BI63" s="262"/>
      <c r="BJ63" s="279"/>
      <c r="BK63" s="280"/>
      <c r="BN63" s="269">
        <f t="shared" si="7"/>
        <v>59</v>
      </c>
      <c r="BO63" s="276"/>
      <c r="BP63" s="277"/>
      <c r="BQ63" s="278"/>
      <c r="BR63" s="262"/>
      <c r="BS63" s="279"/>
      <c r="BT63" s="280"/>
      <c r="BW63" s="269">
        <f t="shared" si="8"/>
        <v>59</v>
      </c>
      <c r="BX63" s="276"/>
      <c r="BY63" s="277"/>
      <c r="BZ63" s="278"/>
      <c r="CA63" s="262"/>
      <c r="CB63" s="279"/>
      <c r="CC63" s="280"/>
      <c r="CF63" s="269">
        <f t="shared" si="9"/>
        <v>59</v>
      </c>
      <c r="CG63" s="276"/>
      <c r="CH63" s="277"/>
      <c r="CI63" s="278"/>
      <c r="CJ63" s="262"/>
      <c r="CK63" s="279"/>
      <c r="CL63" s="280"/>
    </row>
    <row r="64" spans="1:90" ht="45.75">
      <c r="AU64" s="269">
        <f t="shared" si="4"/>
        <v>60</v>
      </c>
      <c r="AV64" s="270"/>
      <c r="AW64" s="271"/>
      <c r="AX64" s="261"/>
      <c r="AY64" s="262"/>
      <c r="AZ64" s="272"/>
      <c r="BA64" s="273">
        <f t="shared" si="0"/>
        <v>0</v>
      </c>
      <c r="BE64" s="269">
        <f t="shared" si="6"/>
        <v>60</v>
      </c>
      <c r="BF64" s="276"/>
      <c r="BG64" s="277"/>
      <c r="BH64" s="278"/>
      <c r="BI64" s="262"/>
      <c r="BJ64" s="279"/>
      <c r="BK64" s="280"/>
      <c r="BN64" s="269">
        <f t="shared" si="7"/>
        <v>60</v>
      </c>
      <c r="BO64" s="276"/>
      <c r="BP64" s="277"/>
      <c r="BQ64" s="278"/>
      <c r="BR64" s="262"/>
      <c r="BS64" s="279"/>
      <c r="BT64" s="280"/>
      <c r="BW64" s="269">
        <f t="shared" si="8"/>
        <v>60</v>
      </c>
      <c r="BX64" s="276"/>
      <c r="BY64" s="277"/>
      <c r="BZ64" s="278"/>
      <c r="CA64" s="262"/>
      <c r="CB64" s="279"/>
      <c r="CC64" s="280"/>
      <c r="CF64" s="269">
        <f t="shared" si="9"/>
        <v>60</v>
      </c>
      <c r="CG64" s="276"/>
      <c r="CH64" s="277"/>
      <c r="CI64" s="278"/>
      <c r="CJ64" s="262"/>
      <c r="CK64" s="279"/>
      <c r="CL64" s="280"/>
    </row>
    <row r="65" spans="1:90" ht="45.75">
      <c r="A65" s="240"/>
      <c r="B65" s="240"/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  <c r="Z65" s="240"/>
      <c r="AA65" s="240"/>
      <c r="AB65" s="240"/>
      <c r="AC65" s="240"/>
      <c r="AD65" s="240"/>
      <c r="AE65" s="240"/>
      <c r="AF65" s="240"/>
      <c r="AG65" s="240"/>
      <c r="AH65" s="240"/>
      <c r="AI65" s="240"/>
      <c r="AJ65" s="240"/>
      <c r="AK65" s="240"/>
      <c r="AL65" s="240"/>
      <c r="AM65" s="240"/>
      <c r="AN65" s="240"/>
      <c r="AO65" s="240"/>
      <c r="AP65" s="240"/>
      <c r="AQ65" s="240"/>
      <c r="AR65" s="187"/>
      <c r="AS65" s="187"/>
      <c r="AY65" s="189"/>
      <c r="AZ65" s="189"/>
      <c r="BF65" s="276"/>
      <c r="BG65" s="306"/>
      <c r="BH65" s="278"/>
      <c r="BI65" s="262"/>
      <c r="BJ65" s="279"/>
      <c r="BK65" s="280"/>
      <c r="BO65" s="276"/>
      <c r="BP65" s="306"/>
      <c r="BQ65" s="278"/>
      <c r="BR65" s="262"/>
      <c r="BS65" s="279"/>
      <c r="BT65" s="280"/>
      <c r="BX65" s="276"/>
      <c r="BY65" s="306"/>
      <c r="BZ65" s="278"/>
      <c r="CA65" s="262"/>
      <c r="CB65" s="279"/>
      <c r="CC65" s="280"/>
      <c r="CG65" s="276"/>
      <c r="CH65" s="306"/>
      <c r="CI65" s="278"/>
      <c r="CJ65" s="262"/>
      <c r="CK65" s="279"/>
      <c r="CL65" s="280"/>
    </row>
    <row r="67" spans="1:90">
      <c r="A67" s="240"/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  <c r="Z67" s="240"/>
      <c r="AA67" s="240"/>
      <c r="AB67" s="240"/>
      <c r="AC67" s="240"/>
      <c r="AD67" s="240"/>
      <c r="AE67" s="240"/>
      <c r="AF67" s="240"/>
      <c r="AG67" s="240"/>
      <c r="AH67" s="240"/>
      <c r="AI67" s="240"/>
      <c r="AJ67" s="240"/>
      <c r="AK67" s="240"/>
      <c r="AL67" s="240"/>
      <c r="AM67" s="240"/>
      <c r="AN67" s="240"/>
      <c r="AO67" s="240"/>
      <c r="AP67" s="240"/>
      <c r="AQ67" s="240"/>
      <c r="AR67" s="187"/>
      <c r="AS67" s="187"/>
    </row>
    <row r="69" spans="1:90">
      <c r="A69" s="240"/>
      <c r="B69" s="240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  <c r="Z69" s="240"/>
      <c r="AA69" s="240"/>
      <c r="AB69" s="240"/>
      <c r="AC69" s="240"/>
      <c r="AD69" s="240"/>
      <c r="AE69" s="240"/>
      <c r="AF69" s="240"/>
      <c r="AG69" s="240"/>
      <c r="AH69" s="240"/>
      <c r="AI69" s="240"/>
      <c r="AJ69" s="240"/>
      <c r="AK69" s="240"/>
      <c r="AL69" s="240"/>
      <c r="AM69" s="240"/>
      <c r="AN69" s="240"/>
      <c r="AO69" s="240"/>
      <c r="AP69" s="240"/>
      <c r="AQ69" s="240"/>
      <c r="AR69" s="187"/>
      <c r="AS69" s="187"/>
    </row>
    <row r="71" spans="1:90">
      <c r="A71" s="240"/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0"/>
      <c r="AA71" s="240"/>
      <c r="AB71" s="240"/>
      <c r="AC71" s="240"/>
      <c r="AD71" s="240"/>
      <c r="AE71" s="240"/>
      <c r="AF71" s="240"/>
      <c r="AG71" s="240"/>
      <c r="AH71" s="240"/>
      <c r="AI71" s="240"/>
      <c r="AJ71" s="240"/>
      <c r="AK71" s="240"/>
      <c r="AL71" s="240"/>
      <c r="AM71" s="240"/>
      <c r="AN71" s="240"/>
      <c r="AO71" s="240"/>
      <c r="AP71" s="240"/>
      <c r="AQ71" s="240"/>
      <c r="AR71" s="187"/>
      <c r="AS71" s="187"/>
    </row>
    <row r="73" spans="1:90" ht="45" customHeight="1">
      <c r="A73" s="240"/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0"/>
      <c r="X73" s="240"/>
      <c r="Y73" s="240"/>
      <c r="Z73" s="240"/>
      <c r="AA73" s="240"/>
      <c r="AB73" s="240"/>
      <c r="AC73" s="240"/>
      <c r="AD73" s="240"/>
      <c r="AE73" s="240"/>
      <c r="AF73" s="240"/>
      <c r="AG73" s="240"/>
      <c r="AH73" s="240"/>
      <c r="AI73" s="240"/>
      <c r="AJ73" s="240"/>
      <c r="AK73" s="240"/>
      <c r="AL73" s="240"/>
      <c r="AM73" s="240"/>
      <c r="AN73" s="240"/>
      <c r="AO73" s="240"/>
      <c r="AP73" s="240"/>
      <c r="AQ73" s="240"/>
      <c r="AR73" s="187"/>
      <c r="AS73" s="187"/>
    </row>
    <row r="74" spans="1:90" ht="45" customHeight="1"/>
    <row r="75" spans="1:90" ht="45" customHeight="1">
      <c r="A75" s="240"/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0"/>
      <c r="W75" s="240"/>
      <c r="X75" s="240"/>
      <c r="Y75" s="240"/>
      <c r="Z75" s="240"/>
      <c r="AA75" s="240"/>
      <c r="AB75" s="240"/>
      <c r="AC75" s="240"/>
      <c r="AD75" s="240"/>
      <c r="AE75" s="240"/>
      <c r="AF75" s="240"/>
      <c r="AG75" s="240"/>
      <c r="AH75" s="240"/>
      <c r="AI75" s="240"/>
      <c r="AJ75" s="240"/>
      <c r="AK75" s="240"/>
      <c r="AL75" s="240"/>
      <c r="AM75" s="240"/>
      <c r="AN75" s="240"/>
      <c r="AO75" s="240"/>
      <c r="AP75" s="240"/>
      <c r="AQ75" s="240"/>
      <c r="AR75" s="187"/>
      <c r="AS75" s="187"/>
    </row>
    <row r="76" spans="1:90" ht="45" customHeight="1"/>
    <row r="77" spans="1:90">
      <c r="A77" s="240"/>
      <c r="B77" s="240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  <c r="Z77" s="240"/>
      <c r="AA77" s="240"/>
      <c r="AB77" s="240"/>
      <c r="AC77" s="240"/>
      <c r="AD77" s="240"/>
      <c r="AE77" s="240"/>
      <c r="AF77" s="240"/>
      <c r="AG77" s="240"/>
      <c r="AH77" s="240"/>
      <c r="AI77" s="240"/>
      <c r="AJ77" s="240"/>
      <c r="AK77" s="240"/>
      <c r="AL77" s="240"/>
      <c r="AM77" s="240"/>
      <c r="AN77" s="240"/>
      <c r="AO77" s="240"/>
      <c r="AP77" s="240"/>
      <c r="AQ77" s="240"/>
      <c r="AR77" s="187"/>
      <c r="AS77" s="187"/>
    </row>
    <row r="79" spans="1:90">
      <c r="A79" s="240"/>
      <c r="B79" s="240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0"/>
      <c r="AA79" s="240"/>
      <c r="AB79" s="240"/>
      <c r="AC79" s="240"/>
      <c r="AD79" s="240"/>
      <c r="AE79" s="240"/>
      <c r="AF79" s="240"/>
      <c r="AG79" s="240"/>
      <c r="AH79" s="240"/>
      <c r="AI79" s="240"/>
      <c r="AJ79" s="240"/>
      <c r="AK79" s="240"/>
      <c r="AL79" s="240"/>
      <c r="AM79" s="240"/>
      <c r="AN79" s="240"/>
      <c r="AO79" s="240"/>
      <c r="AP79" s="240"/>
      <c r="AQ79" s="240"/>
      <c r="AR79" s="187"/>
      <c r="AS79" s="187"/>
    </row>
    <row r="81" spans="1:45">
      <c r="A81" s="240"/>
      <c r="B81" s="240"/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0"/>
      <c r="V81" s="240"/>
      <c r="W81" s="240"/>
      <c r="X81" s="240"/>
      <c r="Y81" s="240"/>
      <c r="Z81" s="240"/>
      <c r="AA81" s="240"/>
      <c r="AB81" s="240"/>
      <c r="AC81" s="240"/>
      <c r="AD81" s="240"/>
      <c r="AE81" s="240"/>
      <c r="AF81" s="240"/>
      <c r="AG81" s="240"/>
      <c r="AH81" s="240"/>
      <c r="AI81" s="240"/>
      <c r="AJ81" s="240"/>
      <c r="AK81" s="240"/>
      <c r="AL81" s="240"/>
      <c r="AM81" s="240"/>
      <c r="AN81" s="240"/>
      <c r="AO81" s="240"/>
      <c r="AP81" s="240"/>
      <c r="AQ81" s="240"/>
      <c r="AR81" s="187"/>
      <c r="AS81" s="187"/>
    </row>
    <row r="83" spans="1:45">
      <c r="A83" s="240"/>
      <c r="B83" s="240"/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240"/>
      <c r="X83" s="240"/>
      <c r="Y83" s="240"/>
      <c r="Z83" s="240"/>
      <c r="AA83" s="240"/>
      <c r="AB83" s="240"/>
      <c r="AC83" s="240"/>
      <c r="AD83" s="240"/>
      <c r="AE83" s="240"/>
      <c r="AF83" s="240"/>
      <c r="AG83" s="240"/>
      <c r="AH83" s="240"/>
      <c r="AI83" s="240"/>
      <c r="AJ83" s="240"/>
      <c r="AK83" s="240"/>
      <c r="AL83" s="240"/>
      <c r="AM83" s="240"/>
      <c r="AN83" s="240"/>
      <c r="AO83" s="240"/>
      <c r="AP83" s="240"/>
      <c r="AQ83" s="240"/>
      <c r="AR83" s="187"/>
      <c r="AS83" s="187"/>
    </row>
    <row r="85" spans="1:45">
      <c r="A85" s="240"/>
      <c r="B85" s="240"/>
      <c r="C85" s="240"/>
      <c r="D85" s="240"/>
      <c r="E85" s="240"/>
      <c r="F85" s="240"/>
      <c r="G85" s="240"/>
      <c r="H85" s="240"/>
      <c r="I85" s="240"/>
      <c r="J85" s="240"/>
      <c r="K85" s="240"/>
      <c r="L85" s="240"/>
      <c r="M85" s="240"/>
      <c r="N85" s="240"/>
      <c r="O85" s="240"/>
      <c r="P85" s="240"/>
      <c r="Q85" s="240"/>
      <c r="R85" s="240"/>
      <c r="S85" s="240"/>
      <c r="T85" s="240"/>
      <c r="U85" s="240"/>
      <c r="V85" s="240"/>
      <c r="W85" s="240"/>
      <c r="X85" s="240"/>
      <c r="Y85" s="240"/>
      <c r="Z85" s="240"/>
      <c r="AA85" s="240"/>
      <c r="AB85" s="240"/>
      <c r="AC85" s="240"/>
      <c r="AD85" s="240"/>
      <c r="AE85" s="240"/>
      <c r="AF85" s="240"/>
      <c r="AG85" s="240"/>
      <c r="AH85" s="240"/>
      <c r="AI85" s="240"/>
      <c r="AJ85" s="240"/>
      <c r="AK85" s="240"/>
      <c r="AL85" s="240"/>
      <c r="AM85" s="240"/>
      <c r="AN85" s="240"/>
      <c r="AO85" s="240"/>
      <c r="AP85" s="240"/>
      <c r="AQ85" s="240"/>
      <c r="AR85" s="187"/>
      <c r="AS85" s="187"/>
    </row>
    <row r="87" spans="1:45">
      <c r="A87" s="240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240"/>
      <c r="AH87" s="240"/>
      <c r="AI87" s="240"/>
      <c r="AJ87" s="240"/>
      <c r="AK87" s="240"/>
      <c r="AL87" s="240"/>
      <c r="AM87" s="240"/>
      <c r="AN87" s="240"/>
      <c r="AO87" s="240"/>
      <c r="AP87" s="240"/>
      <c r="AQ87" s="240"/>
      <c r="AR87" s="187"/>
      <c r="AS87" s="187"/>
    </row>
    <row r="89" spans="1:45">
      <c r="A89" s="240"/>
      <c r="B89" s="240"/>
      <c r="C89" s="240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40"/>
      <c r="Q89" s="240"/>
      <c r="R89" s="240"/>
      <c r="S89" s="240"/>
      <c r="T89" s="240"/>
      <c r="U89" s="240"/>
      <c r="V89" s="240"/>
      <c r="W89" s="240"/>
      <c r="X89" s="240"/>
      <c r="Y89" s="240"/>
      <c r="Z89" s="240"/>
      <c r="AA89" s="240"/>
      <c r="AB89" s="240"/>
      <c r="AC89" s="240"/>
      <c r="AD89" s="240"/>
      <c r="AE89" s="240"/>
      <c r="AF89" s="240"/>
      <c r="AG89" s="240"/>
      <c r="AH89" s="240"/>
      <c r="AI89" s="240"/>
      <c r="AJ89" s="240"/>
      <c r="AK89" s="240"/>
      <c r="AL89" s="240"/>
      <c r="AM89" s="240"/>
      <c r="AN89" s="240"/>
      <c r="AO89" s="240"/>
      <c r="AP89" s="240"/>
      <c r="AQ89" s="240"/>
      <c r="AR89" s="187"/>
      <c r="AS89" s="187"/>
    </row>
    <row r="91" spans="1:45">
      <c r="A91" s="240"/>
      <c r="B91" s="240"/>
      <c r="C91" s="240"/>
      <c r="D91" s="240"/>
      <c r="E91" s="240"/>
      <c r="F91" s="240"/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  <c r="Z91" s="240"/>
      <c r="AA91" s="240"/>
      <c r="AB91" s="240"/>
      <c r="AC91" s="240"/>
      <c r="AD91" s="240"/>
      <c r="AE91" s="240"/>
      <c r="AF91" s="240"/>
      <c r="AG91" s="240"/>
      <c r="AH91" s="240"/>
      <c r="AI91" s="240"/>
      <c r="AJ91" s="240"/>
      <c r="AK91" s="240"/>
      <c r="AL91" s="240"/>
      <c r="AM91" s="240"/>
      <c r="AN91" s="240"/>
      <c r="AO91" s="240"/>
      <c r="AP91" s="240"/>
      <c r="AQ91" s="240"/>
      <c r="AR91" s="187"/>
      <c r="AS91" s="187"/>
    </row>
    <row r="93" spans="1:45">
      <c r="A93" s="240"/>
      <c r="B93" s="240"/>
      <c r="C93" s="240"/>
      <c r="D93" s="240"/>
      <c r="E93" s="240"/>
      <c r="F93" s="240"/>
      <c r="G93" s="240"/>
      <c r="H93" s="240"/>
      <c r="I93" s="240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0"/>
      <c r="V93" s="240"/>
      <c r="W93" s="240"/>
      <c r="X93" s="240"/>
      <c r="Y93" s="240"/>
      <c r="Z93" s="240"/>
      <c r="AA93" s="240"/>
      <c r="AB93" s="240"/>
      <c r="AC93" s="240"/>
      <c r="AD93" s="240"/>
      <c r="AE93" s="240"/>
      <c r="AF93" s="240"/>
      <c r="AG93" s="240"/>
      <c r="AH93" s="240"/>
      <c r="AI93" s="240"/>
      <c r="AJ93" s="240"/>
      <c r="AK93" s="240"/>
      <c r="AL93" s="240"/>
      <c r="AM93" s="240"/>
      <c r="AN93" s="240"/>
      <c r="AO93" s="240"/>
      <c r="AP93" s="240"/>
      <c r="AQ93" s="240"/>
      <c r="AR93" s="187"/>
      <c r="AS93" s="187"/>
    </row>
    <row r="95" spans="1:45">
      <c r="A95" s="240"/>
      <c r="B95" s="240"/>
      <c r="C95" s="240"/>
      <c r="D95" s="240"/>
      <c r="E95" s="240"/>
      <c r="F95" s="240"/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  <c r="Z95" s="240"/>
      <c r="AA95" s="240"/>
      <c r="AB95" s="240"/>
      <c r="AC95" s="240"/>
      <c r="AD95" s="240"/>
      <c r="AE95" s="240"/>
      <c r="AF95" s="240"/>
      <c r="AG95" s="240"/>
      <c r="AH95" s="240"/>
      <c r="AI95" s="240"/>
      <c r="AJ95" s="240"/>
      <c r="AK95" s="240"/>
      <c r="AL95" s="240"/>
      <c r="AM95" s="240"/>
      <c r="AN95" s="240"/>
      <c r="AO95" s="240"/>
      <c r="AP95" s="240"/>
      <c r="AQ95" s="240"/>
      <c r="AR95" s="187"/>
      <c r="AS95" s="187"/>
    </row>
    <row r="97" spans="1:45">
      <c r="A97" s="240"/>
      <c r="B97" s="240"/>
      <c r="C97" s="240"/>
      <c r="D97" s="240"/>
      <c r="E97" s="240"/>
      <c r="F97" s="240"/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  <c r="Z97" s="240"/>
      <c r="AA97" s="240"/>
      <c r="AB97" s="240"/>
      <c r="AC97" s="240"/>
      <c r="AD97" s="240"/>
      <c r="AE97" s="240"/>
      <c r="AF97" s="240"/>
      <c r="AG97" s="240"/>
      <c r="AH97" s="240"/>
      <c r="AI97" s="240"/>
      <c r="AJ97" s="240"/>
      <c r="AK97" s="240"/>
      <c r="AL97" s="240"/>
      <c r="AM97" s="240"/>
      <c r="AN97" s="240"/>
      <c r="AO97" s="240"/>
      <c r="AP97" s="240"/>
      <c r="AQ97" s="240"/>
      <c r="AR97" s="187"/>
      <c r="AS97" s="187"/>
    </row>
    <row r="99" spans="1:45">
      <c r="A99" s="240"/>
      <c r="B99" s="240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0"/>
      <c r="AA99" s="240"/>
      <c r="AB99" s="240"/>
      <c r="AC99" s="240"/>
      <c r="AD99" s="240"/>
      <c r="AE99" s="240"/>
      <c r="AF99" s="240"/>
      <c r="AG99" s="240"/>
      <c r="AH99" s="240"/>
      <c r="AI99" s="240"/>
      <c r="AJ99" s="240"/>
      <c r="AK99" s="240"/>
      <c r="AL99" s="240"/>
      <c r="AM99" s="240"/>
      <c r="AN99" s="240"/>
      <c r="AO99" s="240"/>
      <c r="AP99" s="240"/>
      <c r="AQ99" s="240"/>
      <c r="AR99" s="187"/>
      <c r="AS99" s="187"/>
    </row>
    <row r="101" spans="1:45">
      <c r="A101" s="240"/>
      <c r="B101" s="240"/>
      <c r="C101" s="240"/>
      <c r="D101" s="240"/>
      <c r="E101" s="240"/>
      <c r="F101" s="240"/>
      <c r="G101" s="240"/>
      <c r="H101" s="240"/>
      <c r="I101" s="240"/>
      <c r="J101" s="240"/>
      <c r="K101" s="240"/>
      <c r="L101" s="240"/>
      <c r="M101" s="240"/>
      <c r="N101" s="240"/>
      <c r="O101" s="240"/>
      <c r="P101" s="240"/>
      <c r="Q101" s="240"/>
      <c r="R101" s="240"/>
      <c r="S101" s="240"/>
      <c r="T101" s="240"/>
      <c r="U101" s="240"/>
      <c r="V101" s="240"/>
      <c r="W101" s="240"/>
      <c r="X101" s="240"/>
      <c r="Y101" s="240"/>
      <c r="Z101" s="240"/>
      <c r="AA101" s="240"/>
      <c r="AB101" s="240"/>
      <c r="AC101" s="240"/>
      <c r="AD101" s="240"/>
      <c r="AE101" s="240"/>
      <c r="AF101" s="240"/>
      <c r="AG101" s="240"/>
      <c r="AH101" s="240"/>
      <c r="AI101" s="240"/>
      <c r="AJ101" s="240"/>
      <c r="AK101" s="240"/>
      <c r="AL101" s="240"/>
      <c r="AM101" s="240"/>
      <c r="AN101" s="240"/>
      <c r="AO101" s="240"/>
      <c r="AP101" s="240"/>
      <c r="AQ101" s="240"/>
      <c r="AR101" s="187"/>
      <c r="AS101" s="187"/>
    </row>
    <row r="103" spans="1:45">
      <c r="A103" s="240"/>
      <c r="B103" s="240"/>
      <c r="C103" s="240"/>
      <c r="D103" s="240"/>
      <c r="E103" s="240"/>
      <c r="F103" s="240"/>
      <c r="G103" s="240"/>
      <c r="H103" s="240"/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  <c r="Z103" s="240"/>
      <c r="AA103" s="240"/>
      <c r="AB103" s="240"/>
      <c r="AC103" s="240"/>
      <c r="AD103" s="240"/>
      <c r="AE103" s="240"/>
      <c r="AF103" s="240"/>
      <c r="AG103" s="240"/>
      <c r="AH103" s="240"/>
      <c r="AI103" s="240"/>
      <c r="AJ103" s="240"/>
      <c r="AK103" s="240"/>
      <c r="AL103" s="240"/>
      <c r="AM103" s="240"/>
      <c r="AN103" s="240"/>
      <c r="AO103" s="240"/>
      <c r="AP103" s="240"/>
      <c r="AQ103" s="240"/>
      <c r="AR103" s="187"/>
      <c r="AS103" s="187"/>
    </row>
    <row r="105" spans="1:45">
      <c r="A105" s="240"/>
      <c r="B105" s="240"/>
      <c r="C105" s="240"/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40"/>
      <c r="P105" s="240"/>
      <c r="Q105" s="240"/>
      <c r="R105" s="240"/>
      <c r="S105" s="240"/>
      <c r="T105" s="240"/>
      <c r="U105" s="240"/>
      <c r="V105" s="240"/>
      <c r="W105" s="240"/>
      <c r="X105" s="240"/>
      <c r="Y105" s="240"/>
      <c r="Z105" s="240"/>
      <c r="AA105" s="240"/>
      <c r="AB105" s="240"/>
      <c r="AC105" s="240"/>
      <c r="AD105" s="240"/>
      <c r="AE105" s="240"/>
      <c r="AF105" s="240"/>
      <c r="AG105" s="240"/>
      <c r="AH105" s="240"/>
      <c r="AI105" s="240"/>
      <c r="AJ105" s="240"/>
      <c r="AK105" s="240"/>
      <c r="AL105" s="240"/>
      <c r="AM105" s="240"/>
      <c r="AN105" s="240"/>
      <c r="AO105" s="240"/>
      <c r="AP105" s="240"/>
      <c r="AQ105" s="240"/>
      <c r="AR105" s="187"/>
      <c r="AS105" s="187"/>
    </row>
    <row r="107" spans="1:45">
      <c r="A107" s="240"/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  <c r="Z107" s="240"/>
      <c r="AA107" s="240"/>
      <c r="AB107" s="240"/>
      <c r="AC107" s="240"/>
      <c r="AD107" s="240"/>
      <c r="AE107" s="240"/>
      <c r="AF107" s="240"/>
      <c r="AG107" s="240"/>
      <c r="AH107" s="240"/>
      <c r="AI107" s="240"/>
      <c r="AJ107" s="240"/>
      <c r="AK107" s="240"/>
      <c r="AL107" s="240"/>
      <c r="AM107" s="240"/>
      <c r="AN107" s="240"/>
      <c r="AO107" s="240"/>
      <c r="AP107" s="240"/>
      <c r="AQ107" s="240"/>
      <c r="AR107" s="187"/>
      <c r="AS107" s="187"/>
    </row>
    <row r="109" spans="1:45">
      <c r="A109" s="240"/>
      <c r="B109" s="240"/>
      <c r="C109" s="240"/>
      <c r="D109" s="240"/>
      <c r="E109" s="240"/>
      <c r="F109" s="240"/>
      <c r="G109" s="240"/>
      <c r="H109" s="240"/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0"/>
      <c r="AA109" s="240"/>
      <c r="AB109" s="240"/>
      <c r="AC109" s="240"/>
      <c r="AD109" s="240"/>
      <c r="AE109" s="240"/>
      <c r="AF109" s="240"/>
      <c r="AG109" s="240"/>
      <c r="AH109" s="240"/>
      <c r="AI109" s="240"/>
      <c r="AJ109" s="240"/>
      <c r="AK109" s="240"/>
      <c r="AL109" s="240"/>
      <c r="AM109" s="240"/>
      <c r="AN109" s="240"/>
      <c r="AO109" s="240"/>
      <c r="AP109" s="240"/>
      <c r="AQ109" s="240"/>
      <c r="AR109" s="187"/>
      <c r="AS109" s="187"/>
    </row>
    <row r="111" spans="1:45">
      <c r="A111" s="240"/>
      <c r="B111" s="240"/>
      <c r="C111" s="240"/>
      <c r="D111" s="240"/>
      <c r="E111" s="240"/>
      <c r="F111" s="240"/>
      <c r="G111" s="240"/>
      <c r="H111" s="240"/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  <c r="Z111" s="240"/>
      <c r="AA111" s="240"/>
      <c r="AB111" s="240"/>
      <c r="AC111" s="240"/>
      <c r="AD111" s="240"/>
      <c r="AE111" s="240"/>
      <c r="AF111" s="240"/>
      <c r="AG111" s="240"/>
      <c r="AH111" s="240"/>
      <c r="AI111" s="240"/>
      <c r="AJ111" s="240"/>
      <c r="AK111" s="240"/>
      <c r="AL111" s="240"/>
      <c r="AM111" s="240"/>
      <c r="AN111" s="240"/>
      <c r="AO111" s="240"/>
      <c r="AP111" s="240"/>
      <c r="AQ111" s="240"/>
      <c r="AR111" s="187"/>
      <c r="AS111" s="187"/>
    </row>
    <row r="113" spans="1:45">
      <c r="A113" s="240"/>
      <c r="B113" s="240"/>
      <c r="C113" s="240"/>
      <c r="D113" s="240"/>
      <c r="E113" s="240"/>
      <c r="F113" s="240"/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  <c r="Z113" s="240"/>
      <c r="AA113" s="240"/>
      <c r="AB113" s="240"/>
      <c r="AC113" s="240"/>
      <c r="AD113" s="240"/>
      <c r="AE113" s="240"/>
      <c r="AF113" s="240"/>
      <c r="AG113" s="240"/>
      <c r="AH113" s="240"/>
      <c r="AI113" s="240"/>
      <c r="AJ113" s="240"/>
      <c r="AK113" s="240"/>
      <c r="AL113" s="240"/>
      <c r="AM113" s="240"/>
      <c r="AN113" s="240"/>
      <c r="AO113" s="240"/>
      <c r="AP113" s="240"/>
      <c r="AQ113" s="240"/>
      <c r="AR113" s="187"/>
      <c r="AS113" s="187"/>
    </row>
    <row r="115" spans="1:45">
      <c r="A115" s="240"/>
      <c r="B115" s="240"/>
      <c r="C115" s="240"/>
      <c r="D115" s="240"/>
      <c r="E115" s="240"/>
      <c r="F115" s="240"/>
      <c r="G115" s="240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  <c r="Z115" s="240"/>
      <c r="AA115" s="240"/>
      <c r="AB115" s="240"/>
      <c r="AC115" s="240"/>
      <c r="AD115" s="240"/>
      <c r="AE115" s="240"/>
      <c r="AF115" s="240"/>
      <c r="AG115" s="240"/>
      <c r="AH115" s="240"/>
      <c r="AI115" s="240"/>
      <c r="AJ115" s="240"/>
      <c r="AK115" s="240"/>
      <c r="AL115" s="240"/>
      <c r="AM115" s="240"/>
      <c r="AN115" s="240"/>
      <c r="AO115" s="240"/>
      <c r="AP115" s="240"/>
      <c r="AQ115" s="240"/>
      <c r="AR115" s="187"/>
      <c r="AS115" s="187"/>
    </row>
    <row r="117" spans="1:45">
      <c r="A117" s="240"/>
      <c r="B117" s="240"/>
      <c r="C117" s="240"/>
      <c r="D117" s="240"/>
      <c r="E117" s="240"/>
      <c r="F117" s="240"/>
      <c r="G117" s="240"/>
      <c r="H117" s="240"/>
      <c r="I117" s="240"/>
      <c r="J117" s="240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  <c r="Y117" s="240"/>
      <c r="Z117" s="240"/>
      <c r="AA117" s="240"/>
      <c r="AB117" s="240"/>
      <c r="AC117" s="240"/>
      <c r="AD117" s="240"/>
      <c r="AE117" s="240"/>
      <c r="AF117" s="240"/>
      <c r="AG117" s="240"/>
      <c r="AH117" s="240"/>
      <c r="AI117" s="240"/>
      <c r="AJ117" s="240"/>
      <c r="AK117" s="240"/>
      <c r="AL117" s="240"/>
      <c r="AM117" s="240"/>
      <c r="AN117" s="240"/>
      <c r="AO117" s="240"/>
      <c r="AP117" s="240"/>
      <c r="AQ117" s="240"/>
      <c r="AR117" s="187"/>
      <c r="AS117" s="187"/>
    </row>
    <row r="119" spans="1:45">
      <c r="A119" s="240"/>
      <c r="B119" s="240"/>
      <c r="C119" s="240"/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  <c r="Z119" s="240"/>
      <c r="AA119" s="240"/>
      <c r="AB119" s="240"/>
      <c r="AC119" s="240"/>
      <c r="AD119" s="240"/>
      <c r="AE119" s="240"/>
      <c r="AF119" s="240"/>
      <c r="AG119" s="240"/>
      <c r="AH119" s="240"/>
      <c r="AI119" s="240"/>
      <c r="AJ119" s="240"/>
      <c r="AK119" s="240"/>
      <c r="AL119" s="240"/>
      <c r="AM119" s="240"/>
      <c r="AN119" s="240"/>
      <c r="AO119" s="240"/>
      <c r="AP119" s="240"/>
      <c r="AQ119" s="240"/>
      <c r="AR119" s="187"/>
      <c r="AS119" s="187"/>
    </row>
    <row r="121" spans="1:45">
      <c r="A121" s="240"/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0"/>
      <c r="W121" s="240"/>
      <c r="X121" s="240"/>
      <c r="Y121" s="240"/>
      <c r="Z121" s="240"/>
      <c r="AA121" s="240"/>
      <c r="AB121" s="240"/>
      <c r="AC121" s="240"/>
      <c r="AD121" s="240"/>
      <c r="AE121" s="240"/>
      <c r="AF121" s="240"/>
      <c r="AG121" s="240"/>
      <c r="AH121" s="240"/>
      <c r="AI121" s="240"/>
      <c r="AJ121" s="240"/>
      <c r="AK121" s="240"/>
      <c r="AL121" s="240"/>
      <c r="AM121" s="240"/>
      <c r="AN121" s="240"/>
      <c r="AO121" s="240"/>
      <c r="AP121" s="240"/>
      <c r="AQ121" s="240"/>
      <c r="AR121" s="187"/>
      <c r="AS121" s="187"/>
    </row>
    <row r="123" spans="1:45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  <c r="Z123" s="240"/>
      <c r="AA123" s="240"/>
      <c r="AB123" s="240"/>
      <c r="AC123" s="240"/>
      <c r="AD123" s="240"/>
      <c r="AE123" s="240"/>
      <c r="AF123" s="240"/>
      <c r="AG123" s="240"/>
      <c r="AH123" s="240"/>
      <c r="AI123" s="240"/>
      <c r="AJ123" s="240"/>
      <c r="AK123" s="240"/>
      <c r="AL123" s="240"/>
      <c r="AM123" s="240"/>
      <c r="AN123" s="240"/>
      <c r="AO123" s="240"/>
      <c r="AP123" s="240"/>
      <c r="AQ123" s="240"/>
      <c r="AR123" s="187"/>
      <c r="AS123" s="187"/>
    </row>
    <row r="125" spans="1:45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0"/>
      <c r="W125" s="240"/>
      <c r="X125" s="240"/>
      <c r="Y125" s="240"/>
      <c r="Z125" s="240"/>
      <c r="AA125" s="240"/>
      <c r="AB125" s="240"/>
      <c r="AC125" s="240"/>
      <c r="AD125" s="240"/>
      <c r="AE125" s="240"/>
      <c r="AF125" s="240"/>
      <c r="AG125" s="240"/>
      <c r="AH125" s="240"/>
      <c r="AI125" s="240"/>
      <c r="AJ125" s="240"/>
      <c r="AK125" s="240"/>
      <c r="AL125" s="240"/>
      <c r="AM125" s="240"/>
      <c r="AN125" s="240"/>
      <c r="AO125" s="240"/>
      <c r="AP125" s="240"/>
      <c r="AQ125" s="240"/>
      <c r="AR125" s="187"/>
      <c r="AS125" s="187"/>
    </row>
    <row r="127" spans="1:45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  <c r="Z127" s="240"/>
      <c r="AA127" s="240"/>
      <c r="AB127" s="240"/>
      <c r="AC127" s="240"/>
      <c r="AD127" s="240"/>
      <c r="AE127" s="240"/>
      <c r="AF127" s="240"/>
      <c r="AG127" s="240"/>
      <c r="AH127" s="240"/>
      <c r="AI127" s="240"/>
      <c r="AJ127" s="240"/>
      <c r="AK127" s="240"/>
      <c r="AL127" s="240"/>
      <c r="AM127" s="240"/>
      <c r="AN127" s="240"/>
      <c r="AO127" s="240"/>
      <c r="AP127" s="240"/>
      <c r="AQ127" s="240"/>
      <c r="AR127" s="187"/>
      <c r="AS127" s="187"/>
    </row>
    <row r="129" spans="1:45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0"/>
      <c r="W129" s="240"/>
      <c r="X129" s="240"/>
      <c r="Y129" s="240"/>
      <c r="Z129" s="240"/>
      <c r="AA129" s="240"/>
      <c r="AB129" s="240"/>
      <c r="AC129" s="240"/>
      <c r="AD129" s="240"/>
      <c r="AE129" s="240"/>
      <c r="AF129" s="240"/>
      <c r="AG129" s="240"/>
      <c r="AH129" s="240"/>
      <c r="AI129" s="240"/>
      <c r="AJ129" s="240"/>
      <c r="AK129" s="240"/>
      <c r="AL129" s="240"/>
      <c r="AM129" s="240"/>
      <c r="AN129" s="240"/>
      <c r="AO129" s="240"/>
      <c r="AP129" s="240"/>
      <c r="AQ129" s="240"/>
      <c r="AR129" s="187"/>
      <c r="AS129" s="187"/>
    </row>
    <row r="131" spans="1:45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0"/>
      <c r="W131" s="240"/>
      <c r="X131" s="240"/>
      <c r="Y131" s="240"/>
      <c r="Z131" s="240"/>
      <c r="AA131" s="240"/>
      <c r="AB131" s="240"/>
      <c r="AC131" s="240"/>
      <c r="AD131" s="240"/>
      <c r="AE131" s="240"/>
      <c r="AF131" s="240"/>
      <c r="AG131" s="240"/>
      <c r="AH131" s="240"/>
      <c r="AI131" s="240"/>
      <c r="AJ131" s="240"/>
      <c r="AK131" s="240"/>
      <c r="AL131" s="240"/>
      <c r="AM131" s="240"/>
      <c r="AN131" s="240"/>
      <c r="AO131" s="240"/>
      <c r="AP131" s="240"/>
      <c r="AQ131" s="240"/>
      <c r="AR131" s="187"/>
      <c r="AS131" s="187"/>
    </row>
    <row r="133" spans="1:45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  <c r="Z133" s="240"/>
      <c r="AA133" s="240"/>
      <c r="AB133" s="240"/>
      <c r="AC133" s="240"/>
      <c r="AD133" s="240"/>
      <c r="AE133" s="240"/>
      <c r="AF133" s="240"/>
      <c r="AG133" s="240"/>
      <c r="AH133" s="240"/>
      <c r="AI133" s="240"/>
      <c r="AJ133" s="240"/>
      <c r="AK133" s="240"/>
      <c r="AL133" s="240"/>
      <c r="AM133" s="240"/>
      <c r="AN133" s="240"/>
      <c r="AO133" s="240"/>
      <c r="AP133" s="240"/>
      <c r="AQ133" s="240"/>
      <c r="AR133" s="187"/>
      <c r="AS133" s="187"/>
    </row>
    <row r="135" spans="1:45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0"/>
      <c r="W135" s="240"/>
      <c r="X135" s="240"/>
      <c r="Y135" s="240"/>
      <c r="Z135" s="240"/>
      <c r="AA135" s="240"/>
      <c r="AB135" s="240"/>
      <c r="AC135" s="240"/>
      <c r="AD135" s="240"/>
      <c r="AE135" s="240"/>
      <c r="AF135" s="240"/>
      <c r="AG135" s="240"/>
      <c r="AH135" s="240"/>
      <c r="AI135" s="240"/>
      <c r="AJ135" s="240"/>
      <c r="AK135" s="240"/>
      <c r="AL135" s="240"/>
      <c r="AM135" s="240"/>
      <c r="AN135" s="240"/>
      <c r="AO135" s="240"/>
      <c r="AP135" s="240"/>
      <c r="AQ135" s="240"/>
      <c r="AR135" s="187"/>
      <c r="AS135" s="187"/>
    </row>
    <row r="137" spans="1:45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240"/>
      <c r="S137" s="240"/>
      <c r="T137" s="240"/>
      <c r="U137" s="240"/>
      <c r="V137" s="240"/>
      <c r="W137" s="240"/>
      <c r="X137" s="240"/>
      <c r="Y137" s="240"/>
      <c r="Z137" s="240"/>
      <c r="AA137" s="240"/>
      <c r="AB137" s="240"/>
      <c r="AC137" s="240"/>
      <c r="AD137" s="240"/>
      <c r="AE137" s="240"/>
      <c r="AF137" s="240"/>
      <c r="AG137" s="240"/>
      <c r="AH137" s="240"/>
      <c r="AI137" s="240"/>
      <c r="AJ137" s="240"/>
      <c r="AK137" s="240"/>
      <c r="AL137" s="240"/>
      <c r="AM137" s="240"/>
      <c r="AN137" s="240"/>
      <c r="AO137" s="240"/>
      <c r="AP137" s="240"/>
      <c r="AQ137" s="240"/>
      <c r="AR137" s="187"/>
      <c r="AS137" s="187"/>
    </row>
    <row r="139" spans="1:45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  <c r="S139" s="240"/>
      <c r="T139" s="240"/>
      <c r="U139" s="240"/>
      <c r="V139" s="240"/>
      <c r="W139" s="240"/>
      <c r="X139" s="240"/>
      <c r="Y139" s="240"/>
      <c r="Z139" s="240"/>
      <c r="AA139" s="240"/>
      <c r="AB139" s="240"/>
      <c r="AC139" s="240"/>
      <c r="AD139" s="240"/>
      <c r="AE139" s="240"/>
      <c r="AF139" s="240"/>
      <c r="AG139" s="240"/>
      <c r="AH139" s="240"/>
      <c r="AI139" s="240"/>
      <c r="AJ139" s="240"/>
      <c r="AK139" s="240"/>
      <c r="AL139" s="240"/>
      <c r="AM139" s="240"/>
      <c r="AN139" s="240"/>
      <c r="AO139" s="240"/>
      <c r="AP139" s="240"/>
      <c r="AQ139" s="240"/>
      <c r="AR139" s="187"/>
      <c r="AS139" s="187"/>
    </row>
    <row r="141" spans="1:45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240"/>
      <c r="O141" s="240"/>
      <c r="P141" s="240"/>
      <c r="Q141" s="240"/>
      <c r="R141" s="240"/>
      <c r="S141" s="240"/>
      <c r="T141" s="240"/>
      <c r="U141" s="240"/>
      <c r="V141" s="240"/>
      <c r="W141" s="240"/>
      <c r="X141" s="240"/>
      <c r="Y141" s="240"/>
      <c r="Z141" s="240"/>
      <c r="AA141" s="240"/>
      <c r="AB141" s="240"/>
      <c r="AC141" s="240"/>
      <c r="AD141" s="240"/>
      <c r="AE141" s="240"/>
      <c r="AF141" s="240"/>
      <c r="AG141" s="240"/>
      <c r="AH141" s="240"/>
      <c r="AI141" s="240"/>
      <c r="AJ141" s="240"/>
      <c r="AK141" s="240"/>
      <c r="AL141" s="240"/>
      <c r="AM141" s="240"/>
      <c r="AN141" s="240"/>
      <c r="AO141" s="240"/>
      <c r="AP141" s="240"/>
      <c r="AQ141" s="240"/>
      <c r="AR141" s="187"/>
      <c r="AS141" s="187"/>
    </row>
    <row r="143" spans="1:45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  <c r="Z143" s="240"/>
      <c r="AA143" s="240"/>
      <c r="AB143" s="240"/>
      <c r="AC143" s="240"/>
      <c r="AD143" s="240"/>
      <c r="AE143" s="240"/>
      <c r="AF143" s="240"/>
      <c r="AG143" s="240"/>
      <c r="AH143" s="240"/>
      <c r="AI143" s="240"/>
      <c r="AJ143" s="240"/>
      <c r="AK143" s="240"/>
      <c r="AL143" s="240"/>
      <c r="AM143" s="240"/>
      <c r="AN143" s="240"/>
      <c r="AO143" s="240"/>
      <c r="AP143" s="240"/>
      <c r="AQ143" s="240"/>
      <c r="AR143" s="187"/>
      <c r="AS143" s="187"/>
    </row>
    <row r="145" spans="1:45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  <c r="Z145" s="240"/>
      <c r="AA145" s="240"/>
      <c r="AB145" s="240"/>
      <c r="AC145" s="240"/>
      <c r="AD145" s="240"/>
      <c r="AE145" s="240"/>
      <c r="AF145" s="240"/>
      <c r="AG145" s="240"/>
      <c r="AH145" s="240"/>
      <c r="AI145" s="240"/>
      <c r="AJ145" s="240"/>
      <c r="AK145" s="240"/>
      <c r="AL145" s="240"/>
      <c r="AM145" s="240"/>
      <c r="AN145" s="240"/>
      <c r="AO145" s="240"/>
      <c r="AP145" s="240"/>
      <c r="AQ145" s="240"/>
      <c r="AR145" s="187"/>
      <c r="AS145" s="187"/>
    </row>
    <row r="147" spans="1:45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  <c r="Z147" s="240"/>
      <c r="AA147" s="240"/>
      <c r="AB147" s="240"/>
      <c r="AC147" s="240"/>
      <c r="AD147" s="240"/>
      <c r="AE147" s="240"/>
      <c r="AF147" s="240"/>
      <c r="AG147" s="240"/>
      <c r="AH147" s="240"/>
      <c r="AI147" s="240"/>
      <c r="AJ147" s="240"/>
      <c r="AK147" s="240"/>
      <c r="AL147" s="240"/>
      <c r="AM147" s="240"/>
      <c r="AN147" s="240"/>
      <c r="AO147" s="240"/>
      <c r="AP147" s="240"/>
      <c r="AQ147" s="240"/>
      <c r="AR147" s="187"/>
      <c r="AS147" s="187"/>
    </row>
    <row r="149" spans="1:45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  <c r="Z149" s="240"/>
      <c r="AA149" s="240"/>
      <c r="AB149" s="240"/>
      <c r="AC149" s="240"/>
      <c r="AD149" s="240"/>
      <c r="AE149" s="240"/>
      <c r="AF149" s="240"/>
      <c r="AG149" s="240"/>
      <c r="AH149" s="240"/>
      <c r="AI149" s="240"/>
      <c r="AJ149" s="240"/>
      <c r="AK149" s="240"/>
      <c r="AL149" s="240"/>
      <c r="AM149" s="240"/>
      <c r="AN149" s="240"/>
      <c r="AO149" s="240"/>
      <c r="AP149" s="240"/>
      <c r="AQ149" s="240"/>
      <c r="AR149" s="187"/>
      <c r="AS149" s="187"/>
    </row>
    <row r="151" spans="1:45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  <c r="Z151" s="240"/>
      <c r="AA151" s="240"/>
      <c r="AB151" s="240"/>
      <c r="AC151" s="240"/>
      <c r="AD151" s="240"/>
      <c r="AE151" s="240"/>
      <c r="AF151" s="240"/>
      <c r="AG151" s="240"/>
      <c r="AH151" s="240"/>
      <c r="AI151" s="240"/>
      <c r="AJ151" s="240"/>
      <c r="AK151" s="240"/>
      <c r="AL151" s="240"/>
      <c r="AM151" s="240"/>
      <c r="AN151" s="240"/>
      <c r="AO151" s="240"/>
      <c r="AP151" s="240"/>
      <c r="AQ151" s="240"/>
      <c r="AR151" s="187"/>
      <c r="AS151" s="187"/>
    </row>
    <row r="153" spans="1:45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  <c r="Z153" s="240"/>
      <c r="AA153" s="240"/>
      <c r="AB153" s="240"/>
      <c r="AC153" s="240"/>
      <c r="AD153" s="240"/>
      <c r="AE153" s="240"/>
      <c r="AF153" s="240"/>
      <c r="AG153" s="240"/>
      <c r="AH153" s="240"/>
      <c r="AI153" s="240"/>
      <c r="AJ153" s="240"/>
      <c r="AK153" s="240"/>
      <c r="AL153" s="240"/>
      <c r="AM153" s="240"/>
      <c r="AN153" s="240"/>
      <c r="AO153" s="240"/>
      <c r="AP153" s="240"/>
      <c r="AQ153" s="240"/>
      <c r="AR153" s="187"/>
      <c r="AS153" s="187"/>
    </row>
  </sheetData>
  <mergeCells count="8">
    <mergeCell ref="AJ6:AL6"/>
    <mergeCell ref="AH9:AJ9"/>
    <mergeCell ref="N3:P3"/>
    <mergeCell ref="Q3:S3"/>
    <mergeCell ref="T3:V3"/>
    <mergeCell ref="H3:J3"/>
    <mergeCell ref="K3:M3"/>
    <mergeCell ref="AG6:AI6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04B18-E632-44BD-95FD-E81FECC75C81}">
  <dimension ref="A1:O23"/>
  <sheetViews>
    <sheetView workbookViewId="0">
      <selection sqref="A1:I23"/>
    </sheetView>
  </sheetViews>
  <sheetFormatPr defaultRowHeight="25.5"/>
  <cols>
    <col min="1" max="1" width="7.69921875" style="31" customWidth="1"/>
    <col min="2" max="6" width="11" style="31" customWidth="1"/>
    <col min="7" max="7" width="8.796875" style="31"/>
    <col min="8" max="9" width="11" style="31" customWidth="1"/>
    <col min="10" max="11" width="8.796875" style="31"/>
    <col min="12" max="12" width="27.69921875" style="31" bestFit="1" customWidth="1"/>
    <col min="13" max="13" width="4.59765625" style="31" customWidth="1"/>
    <col min="14" max="15" width="5.19921875" style="31" customWidth="1"/>
    <col min="16" max="16384" width="8.796875" style="31"/>
  </cols>
  <sheetData>
    <row r="1" spans="1:15">
      <c r="A1" s="28" t="s">
        <v>238</v>
      </c>
      <c r="B1" s="28" t="s">
        <v>239</v>
      </c>
      <c r="C1" s="28" t="s">
        <v>3</v>
      </c>
      <c r="D1" s="28" t="s">
        <v>240</v>
      </c>
      <c r="E1" s="165" t="s">
        <v>1200</v>
      </c>
      <c r="F1" s="28" t="s">
        <v>241</v>
      </c>
      <c r="G1" s="28" t="s">
        <v>242</v>
      </c>
      <c r="H1" s="28" t="s">
        <v>243</v>
      </c>
      <c r="I1" s="28" t="s">
        <v>244</v>
      </c>
      <c r="J1" s="28" t="s">
        <v>245</v>
      </c>
      <c r="K1" s="28" t="s">
        <v>246</v>
      </c>
      <c r="L1" s="28" t="s">
        <v>247</v>
      </c>
      <c r="M1" s="29" t="s">
        <v>248</v>
      </c>
      <c r="N1" s="29" t="s">
        <v>249</v>
      </c>
      <c r="O1" s="30" t="s">
        <v>250</v>
      </c>
    </row>
    <row r="2" spans="1:15" ht="29.25">
      <c r="A2" s="33">
        <v>1</v>
      </c>
      <c r="B2" s="33"/>
      <c r="C2" s="33"/>
      <c r="D2" s="33"/>
      <c r="E2" s="34"/>
      <c r="F2" s="33"/>
      <c r="G2" s="33"/>
      <c r="H2" s="33"/>
      <c r="I2" s="33"/>
      <c r="J2" s="35" t="s">
        <v>251</v>
      </c>
      <c r="K2" s="36" t="s">
        <v>252</v>
      </c>
      <c r="L2" s="33" t="s">
        <v>253</v>
      </c>
      <c r="M2" s="37">
        <v>1</v>
      </c>
      <c r="N2" s="37" t="s">
        <v>179</v>
      </c>
      <c r="O2" s="38" t="s">
        <v>179</v>
      </c>
    </row>
    <row r="3" spans="1:15" ht="29.25">
      <c r="A3" s="33">
        <v>2</v>
      </c>
      <c r="B3" s="33" t="s">
        <v>68</v>
      </c>
      <c r="C3" s="33" t="s">
        <v>68</v>
      </c>
      <c r="D3" s="33" t="s">
        <v>68</v>
      </c>
      <c r="E3" s="34" t="s">
        <v>68</v>
      </c>
      <c r="F3" s="33" t="s">
        <v>254</v>
      </c>
      <c r="G3" s="33" t="s">
        <v>68</v>
      </c>
      <c r="H3" s="33" t="s">
        <v>133</v>
      </c>
      <c r="I3" s="33" t="s">
        <v>133</v>
      </c>
      <c r="J3" s="36" t="s">
        <v>255</v>
      </c>
      <c r="K3" s="36" t="s">
        <v>255</v>
      </c>
      <c r="L3" s="39" t="s">
        <v>256</v>
      </c>
      <c r="M3" s="40">
        <v>2</v>
      </c>
      <c r="N3" s="40" t="s">
        <v>257</v>
      </c>
      <c r="O3" s="41" t="s">
        <v>258</v>
      </c>
    </row>
    <row r="4" spans="1:15" ht="29.25">
      <c r="A4" s="33">
        <v>3</v>
      </c>
      <c r="B4" s="33" t="s">
        <v>7</v>
      </c>
      <c r="C4" s="33" t="s">
        <v>7</v>
      </c>
      <c r="D4" s="33" t="s">
        <v>7</v>
      </c>
      <c r="E4" s="34" t="s">
        <v>259</v>
      </c>
      <c r="F4" s="33" t="s">
        <v>259</v>
      </c>
      <c r="G4" s="33" t="s">
        <v>7</v>
      </c>
      <c r="H4" s="33" t="s">
        <v>9</v>
      </c>
      <c r="I4" s="33" t="s">
        <v>260</v>
      </c>
      <c r="J4" s="42" t="s">
        <v>261</v>
      </c>
      <c r="K4" s="36" t="s">
        <v>262</v>
      </c>
      <c r="L4" s="33"/>
      <c r="M4" s="43">
        <v>3</v>
      </c>
      <c r="N4" s="43" t="s">
        <v>263</v>
      </c>
      <c r="O4" s="44" t="s">
        <v>263</v>
      </c>
    </row>
    <row r="5" spans="1:15" ht="29.25">
      <c r="A5" s="33">
        <v>4</v>
      </c>
      <c r="B5" s="33" t="s">
        <v>59</v>
      </c>
      <c r="C5" s="33" t="s">
        <v>59</v>
      </c>
      <c r="D5" s="33" t="s">
        <v>59</v>
      </c>
      <c r="E5" s="34" t="s">
        <v>7</v>
      </c>
      <c r="F5" s="33" t="s">
        <v>7</v>
      </c>
      <c r="G5" s="33" t="s">
        <v>59</v>
      </c>
      <c r="H5" s="33" t="s">
        <v>61</v>
      </c>
      <c r="I5" s="33" t="s">
        <v>61</v>
      </c>
      <c r="J5" s="36" t="s">
        <v>264</v>
      </c>
      <c r="K5" s="36" t="s">
        <v>265</v>
      </c>
      <c r="L5" s="33"/>
      <c r="M5" s="43">
        <v>4</v>
      </c>
      <c r="N5" s="43" t="s">
        <v>266</v>
      </c>
      <c r="O5" s="44" t="s">
        <v>266</v>
      </c>
    </row>
    <row r="6" spans="1:15" ht="29.25">
      <c r="A6" s="33">
        <v>5</v>
      </c>
      <c r="B6" s="33" t="s">
        <v>267</v>
      </c>
      <c r="C6" s="33" t="s">
        <v>103</v>
      </c>
      <c r="D6" s="33" t="s">
        <v>103</v>
      </c>
      <c r="E6" s="34" t="s">
        <v>59</v>
      </c>
      <c r="F6" s="33" t="s">
        <v>59</v>
      </c>
      <c r="G6" s="33" t="s">
        <v>103</v>
      </c>
      <c r="H6" s="33" t="s">
        <v>105</v>
      </c>
      <c r="I6" s="33" t="s">
        <v>105</v>
      </c>
      <c r="J6" s="36" t="s">
        <v>268</v>
      </c>
      <c r="K6" s="36" t="s">
        <v>269</v>
      </c>
      <c r="L6" s="33"/>
      <c r="M6" s="45">
        <v>5</v>
      </c>
      <c r="N6" s="45" t="s">
        <v>270</v>
      </c>
      <c r="O6" s="46" t="s">
        <v>270</v>
      </c>
    </row>
    <row r="7" spans="1:15" ht="29.25">
      <c r="A7" s="33">
        <v>6</v>
      </c>
      <c r="B7" s="33" t="s">
        <v>69</v>
      </c>
      <c r="C7" s="33" t="s">
        <v>69</v>
      </c>
      <c r="D7" s="33" t="s">
        <v>69</v>
      </c>
      <c r="E7" s="34" t="s">
        <v>69</v>
      </c>
      <c r="F7" s="33" t="s">
        <v>271</v>
      </c>
      <c r="G7" s="33" t="s">
        <v>69</v>
      </c>
      <c r="H7" s="33" t="s">
        <v>137</v>
      </c>
      <c r="I7" s="33" t="s">
        <v>137</v>
      </c>
      <c r="J7" s="36" t="s">
        <v>272</v>
      </c>
      <c r="K7" s="36" t="s">
        <v>272</v>
      </c>
      <c r="L7" s="47" t="s">
        <v>273</v>
      </c>
      <c r="M7" s="40">
        <v>6</v>
      </c>
      <c r="N7" s="40" t="s">
        <v>274</v>
      </c>
      <c r="O7" s="41" t="s">
        <v>275</v>
      </c>
    </row>
    <row r="8" spans="1:15" ht="29.25">
      <c r="A8" s="33">
        <v>7</v>
      </c>
      <c r="B8" s="33" t="s">
        <v>72</v>
      </c>
      <c r="C8" s="33" t="s">
        <v>72</v>
      </c>
      <c r="D8" s="33" t="s">
        <v>72</v>
      </c>
      <c r="E8" s="34" t="s">
        <v>72</v>
      </c>
      <c r="F8" s="33" t="s">
        <v>72</v>
      </c>
      <c r="G8" s="33" t="s">
        <v>72</v>
      </c>
      <c r="H8" s="33" t="s">
        <v>140</v>
      </c>
      <c r="I8" s="33" t="s">
        <v>140</v>
      </c>
      <c r="J8" s="36" t="s">
        <v>276</v>
      </c>
      <c r="K8" s="36" t="s">
        <v>277</v>
      </c>
      <c r="L8" s="33"/>
      <c r="M8" s="43">
        <v>7</v>
      </c>
      <c r="N8" s="43" t="s">
        <v>278</v>
      </c>
      <c r="O8" s="44" t="s">
        <v>278</v>
      </c>
    </row>
    <row r="9" spans="1:15" ht="29.25">
      <c r="A9" s="33">
        <v>8</v>
      </c>
      <c r="B9" s="33" t="s">
        <v>70</v>
      </c>
      <c r="C9" s="33" t="s">
        <v>70</v>
      </c>
      <c r="D9" s="33" t="s">
        <v>70</v>
      </c>
      <c r="E9" s="34" t="s">
        <v>112</v>
      </c>
      <c r="F9" s="33" t="s">
        <v>112</v>
      </c>
      <c r="G9" s="33" t="s">
        <v>70</v>
      </c>
      <c r="H9" s="33" t="s">
        <v>138</v>
      </c>
      <c r="I9" s="33" t="s">
        <v>138</v>
      </c>
      <c r="J9" s="36" t="s">
        <v>279</v>
      </c>
      <c r="K9" s="36" t="s">
        <v>280</v>
      </c>
      <c r="L9" s="33"/>
      <c r="M9" s="43">
        <v>8</v>
      </c>
      <c r="N9" s="43" t="s">
        <v>281</v>
      </c>
      <c r="O9" s="44" t="s">
        <v>281</v>
      </c>
    </row>
    <row r="10" spans="1:15" ht="29.25">
      <c r="A10" s="33">
        <v>9</v>
      </c>
      <c r="B10" s="33" t="s">
        <v>282</v>
      </c>
      <c r="C10" s="33" t="s">
        <v>186</v>
      </c>
      <c r="D10" s="33" t="s">
        <v>186</v>
      </c>
      <c r="E10" s="34" t="s">
        <v>70</v>
      </c>
      <c r="F10" s="33" t="s">
        <v>70</v>
      </c>
      <c r="G10" s="33" t="s">
        <v>186</v>
      </c>
      <c r="H10" s="33" t="s">
        <v>139</v>
      </c>
      <c r="I10" s="33" t="s">
        <v>139</v>
      </c>
      <c r="J10" s="36" t="s">
        <v>283</v>
      </c>
      <c r="K10" s="36" t="s">
        <v>284</v>
      </c>
      <c r="L10" s="33"/>
      <c r="M10" s="45">
        <v>9</v>
      </c>
      <c r="N10" s="45" t="s">
        <v>285</v>
      </c>
      <c r="O10" s="46" t="s">
        <v>285</v>
      </c>
    </row>
    <row r="11" spans="1:15" ht="29.25">
      <c r="A11" s="33">
        <v>10</v>
      </c>
      <c r="B11" s="33" t="s">
        <v>75</v>
      </c>
      <c r="C11" s="33" t="s">
        <v>198</v>
      </c>
      <c r="D11" s="33" t="s">
        <v>198</v>
      </c>
      <c r="E11" s="34" t="s">
        <v>198</v>
      </c>
      <c r="F11" s="33" t="s">
        <v>286</v>
      </c>
      <c r="G11" s="33" t="s">
        <v>198</v>
      </c>
      <c r="H11" s="33" t="s">
        <v>144</v>
      </c>
      <c r="I11" s="33" t="s">
        <v>287</v>
      </c>
      <c r="J11" s="36" t="s">
        <v>288</v>
      </c>
      <c r="K11" s="36" t="s">
        <v>288</v>
      </c>
      <c r="L11" s="47" t="s">
        <v>289</v>
      </c>
      <c r="M11" s="40">
        <v>10</v>
      </c>
      <c r="N11" s="40" t="s">
        <v>290</v>
      </c>
      <c r="O11" s="41" t="s">
        <v>291</v>
      </c>
    </row>
    <row r="12" spans="1:15" ht="29.25">
      <c r="A12" s="33">
        <v>11</v>
      </c>
      <c r="B12" s="33" t="s">
        <v>292</v>
      </c>
      <c r="C12" s="33" t="s">
        <v>73</v>
      </c>
      <c r="D12" s="33" t="s">
        <v>73</v>
      </c>
      <c r="E12" s="34" t="s">
        <v>293</v>
      </c>
      <c r="F12" s="33" t="s">
        <v>293</v>
      </c>
      <c r="G12" s="33" t="s">
        <v>73</v>
      </c>
      <c r="H12" s="33" t="s">
        <v>141</v>
      </c>
      <c r="I12" s="33" t="s">
        <v>144</v>
      </c>
      <c r="J12" s="36" t="s">
        <v>294</v>
      </c>
      <c r="K12" s="36" t="s">
        <v>295</v>
      </c>
      <c r="L12" s="33"/>
      <c r="M12" s="43">
        <v>11</v>
      </c>
      <c r="N12" s="43" t="s">
        <v>296</v>
      </c>
      <c r="O12" s="44" t="s">
        <v>296</v>
      </c>
    </row>
    <row r="13" spans="1:15" ht="29.25">
      <c r="A13" s="33">
        <v>12</v>
      </c>
      <c r="B13" s="33" t="s">
        <v>119</v>
      </c>
      <c r="C13" s="33" t="s">
        <v>119</v>
      </c>
      <c r="D13" s="33" t="s">
        <v>119</v>
      </c>
      <c r="E13" s="34" t="s">
        <v>73</v>
      </c>
      <c r="F13" s="33" t="s">
        <v>73</v>
      </c>
      <c r="G13" s="33" t="s">
        <v>119</v>
      </c>
      <c r="H13" s="33" t="s">
        <v>142</v>
      </c>
      <c r="I13" s="33" t="s">
        <v>142</v>
      </c>
      <c r="J13" s="36" t="s">
        <v>297</v>
      </c>
      <c r="K13" s="36" t="s">
        <v>298</v>
      </c>
      <c r="L13" s="33"/>
      <c r="M13" s="43">
        <v>12</v>
      </c>
      <c r="N13" s="43" t="s">
        <v>299</v>
      </c>
      <c r="O13" s="44" t="s">
        <v>299</v>
      </c>
    </row>
    <row r="14" spans="1:15" ht="29.25">
      <c r="A14" s="33">
        <v>13</v>
      </c>
      <c r="B14" s="33" t="s">
        <v>300</v>
      </c>
      <c r="C14" s="33" t="s">
        <v>195</v>
      </c>
      <c r="D14" s="33" t="s">
        <v>195</v>
      </c>
      <c r="E14" s="34" t="s">
        <v>119</v>
      </c>
      <c r="F14" s="33" t="s">
        <v>119</v>
      </c>
      <c r="G14" s="33" t="s">
        <v>195</v>
      </c>
      <c r="H14" s="33" t="s">
        <v>143</v>
      </c>
      <c r="I14" s="33" t="s">
        <v>143</v>
      </c>
      <c r="J14" s="36" t="s">
        <v>301</v>
      </c>
      <c r="K14" s="36" t="s">
        <v>302</v>
      </c>
      <c r="L14" s="33"/>
      <c r="M14" s="45">
        <v>13</v>
      </c>
      <c r="N14" s="45" t="s">
        <v>303</v>
      </c>
      <c r="O14" s="46" t="s">
        <v>303</v>
      </c>
    </row>
    <row r="15" spans="1:15" ht="29.25">
      <c r="A15" s="33">
        <v>14</v>
      </c>
      <c r="B15" s="33" t="s">
        <v>304</v>
      </c>
      <c r="C15" s="33" t="s">
        <v>76</v>
      </c>
      <c r="D15" s="33" t="s">
        <v>76</v>
      </c>
      <c r="E15" s="34" t="s">
        <v>305</v>
      </c>
      <c r="F15" s="33" t="s">
        <v>305</v>
      </c>
      <c r="G15" s="33" t="s">
        <v>76</v>
      </c>
      <c r="H15" s="33" t="s">
        <v>145</v>
      </c>
      <c r="I15" s="33" t="s">
        <v>306</v>
      </c>
      <c r="J15" s="48" t="s">
        <v>183</v>
      </c>
      <c r="K15" s="49" t="s">
        <v>307</v>
      </c>
      <c r="L15" s="33"/>
      <c r="M15" s="40">
        <v>14</v>
      </c>
      <c r="N15" s="40" t="s">
        <v>308</v>
      </c>
      <c r="O15" s="41" t="s">
        <v>308</v>
      </c>
    </row>
    <row r="16" spans="1:15" ht="29.25">
      <c r="A16" s="33">
        <v>15</v>
      </c>
      <c r="B16" s="33" t="s">
        <v>309</v>
      </c>
      <c r="C16" s="33" t="s">
        <v>233</v>
      </c>
      <c r="D16" s="33" t="s">
        <v>121</v>
      </c>
      <c r="E16" s="34" t="s">
        <v>121</v>
      </c>
      <c r="F16" s="33" t="s">
        <v>121</v>
      </c>
      <c r="G16" s="33" t="s">
        <v>310</v>
      </c>
      <c r="H16" s="33" t="s">
        <v>146</v>
      </c>
      <c r="I16" s="33" t="s">
        <v>146</v>
      </c>
      <c r="J16" s="36" t="s">
        <v>311</v>
      </c>
      <c r="K16" s="36" t="s">
        <v>312</v>
      </c>
      <c r="L16" s="33"/>
      <c r="M16" s="43">
        <v>15</v>
      </c>
      <c r="N16" s="43" t="s">
        <v>313</v>
      </c>
      <c r="O16" s="44" t="s">
        <v>313</v>
      </c>
    </row>
    <row r="17" spans="1:15" ht="29.25">
      <c r="A17" s="33">
        <v>16</v>
      </c>
      <c r="B17" s="33" t="s">
        <v>314</v>
      </c>
      <c r="C17" s="33" t="s">
        <v>235</v>
      </c>
      <c r="D17" s="33" t="s">
        <v>78</v>
      </c>
      <c r="E17" s="34" t="s">
        <v>78</v>
      </c>
      <c r="F17" s="33" t="s">
        <v>78</v>
      </c>
      <c r="G17" s="33" t="s">
        <v>315</v>
      </c>
      <c r="H17" s="33" t="s">
        <v>316</v>
      </c>
      <c r="I17" s="33" t="s">
        <v>147</v>
      </c>
      <c r="J17" s="36" t="s">
        <v>317</v>
      </c>
      <c r="K17" s="36" t="s">
        <v>318</v>
      </c>
      <c r="L17" s="33"/>
      <c r="M17" s="43">
        <v>16</v>
      </c>
      <c r="N17" s="43" t="s">
        <v>319</v>
      </c>
      <c r="O17" s="44" t="s">
        <v>319</v>
      </c>
    </row>
    <row r="18" spans="1:15" ht="29.25">
      <c r="A18" s="33">
        <v>17</v>
      </c>
      <c r="B18" s="33" t="s">
        <v>79</v>
      </c>
      <c r="C18" s="33" t="s">
        <v>79</v>
      </c>
      <c r="D18" s="33" t="s">
        <v>79</v>
      </c>
      <c r="E18" s="34" t="s">
        <v>79</v>
      </c>
      <c r="F18" s="33" t="s">
        <v>79</v>
      </c>
      <c r="G18" s="33" t="s">
        <v>79</v>
      </c>
      <c r="H18" s="33" t="s">
        <v>320</v>
      </c>
      <c r="I18" s="33" t="s">
        <v>148</v>
      </c>
      <c r="J18" s="48" t="s">
        <v>321</v>
      </c>
      <c r="K18" s="36" t="s">
        <v>322</v>
      </c>
      <c r="L18" s="33"/>
      <c r="M18" s="45">
        <v>17</v>
      </c>
      <c r="N18" s="45" t="s">
        <v>323</v>
      </c>
      <c r="O18" s="46" t="s">
        <v>323</v>
      </c>
    </row>
    <row r="19" spans="1:15" ht="29.25">
      <c r="A19" s="50">
        <v>18</v>
      </c>
      <c r="B19" s="39" t="s">
        <v>324</v>
      </c>
      <c r="C19" s="50" t="s">
        <v>325</v>
      </c>
      <c r="D19" s="50" t="s">
        <v>325</v>
      </c>
      <c r="E19" s="51" t="s">
        <v>326</v>
      </c>
      <c r="F19" s="50" t="s">
        <v>327</v>
      </c>
      <c r="G19" s="50" t="s">
        <v>325</v>
      </c>
      <c r="H19" s="39" t="s">
        <v>150</v>
      </c>
      <c r="I19" s="39" t="s">
        <v>306</v>
      </c>
      <c r="J19" s="52" t="s">
        <v>183</v>
      </c>
      <c r="K19" s="52" t="s">
        <v>307</v>
      </c>
      <c r="L19" s="47" t="s">
        <v>328</v>
      </c>
      <c r="M19" s="40">
        <v>18</v>
      </c>
      <c r="N19" s="40" t="s">
        <v>329</v>
      </c>
      <c r="O19" s="41" t="s">
        <v>330</v>
      </c>
    </row>
    <row r="20" spans="1:15" ht="29.25">
      <c r="A20" s="50">
        <v>19</v>
      </c>
      <c r="B20" s="47" t="s">
        <v>331</v>
      </c>
      <c r="C20" s="50" t="s">
        <v>332</v>
      </c>
      <c r="D20" s="50" t="s">
        <v>333</v>
      </c>
      <c r="E20" s="51" t="s">
        <v>334</v>
      </c>
      <c r="F20" s="50" t="s">
        <v>333</v>
      </c>
      <c r="G20" s="50" t="s">
        <v>335</v>
      </c>
      <c r="H20" s="47" t="s">
        <v>336</v>
      </c>
      <c r="I20" s="47" t="s">
        <v>151</v>
      </c>
      <c r="J20" s="52" t="s">
        <v>311</v>
      </c>
      <c r="K20" s="52" t="s">
        <v>337</v>
      </c>
      <c r="L20" s="47" t="s">
        <v>338</v>
      </c>
      <c r="M20" s="43">
        <v>19</v>
      </c>
      <c r="N20" s="43" t="s">
        <v>339</v>
      </c>
      <c r="O20" s="44" t="s">
        <v>340</v>
      </c>
    </row>
    <row r="21" spans="1:15" ht="29.25">
      <c r="A21" s="50">
        <v>20</v>
      </c>
      <c r="B21" s="47" t="s">
        <v>341</v>
      </c>
      <c r="C21" s="50" t="s">
        <v>342</v>
      </c>
      <c r="D21" s="50" t="s">
        <v>343</v>
      </c>
      <c r="E21" s="51" t="s">
        <v>344</v>
      </c>
      <c r="F21" s="50" t="s">
        <v>343</v>
      </c>
      <c r="G21" s="50" t="s">
        <v>345</v>
      </c>
      <c r="H21" s="47" t="s">
        <v>346</v>
      </c>
      <c r="I21" s="47" t="s">
        <v>152</v>
      </c>
      <c r="J21" s="52" t="s">
        <v>317</v>
      </c>
      <c r="K21" s="52" t="s">
        <v>347</v>
      </c>
      <c r="L21" s="47" t="s">
        <v>348</v>
      </c>
      <c r="M21" s="43">
        <v>20</v>
      </c>
      <c r="N21" s="43" t="s">
        <v>349</v>
      </c>
      <c r="O21" s="44" t="s">
        <v>350</v>
      </c>
    </row>
    <row r="22" spans="1:15" ht="29.25">
      <c r="A22" s="50">
        <v>21</v>
      </c>
      <c r="B22" s="47" t="s">
        <v>351</v>
      </c>
      <c r="C22" s="50" t="s">
        <v>352</v>
      </c>
      <c r="D22" s="50" t="s">
        <v>352</v>
      </c>
      <c r="E22" s="51" t="s">
        <v>353</v>
      </c>
      <c r="F22" s="50" t="s">
        <v>352</v>
      </c>
      <c r="G22" s="50" t="s">
        <v>352</v>
      </c>
      <c r="H22" s="47" t="s">
        <v>354</v>
      </c>
      <c r="I22" s="47" t="s">
        <v>153</v>
      </c>
      <c r="J22" s="52" t="s">
        <v>321</v>
      </c>
      <c r="K22" s="52" t="s">
        <v>355</v>
      </c>
      <c r="L22" s="47" t="s">
        <v>356</v>
      </c>
      <c r="M22" s="45">
        <v>21</v>
      </c>
      <c r="N22" s="45" t="s">
        <v>357</v>
      </c>
      <c r="O22" s="46" t="s">
        <v>358</v>
      </c>
    </row>
    <row r="23" spans="1:15" ht="29.25">
      <c r="A23" s="54">
        <v>22</v>
      </c>
      <c r="B23" s="54" t="s">
        <v>80</v>
      </c>
      <c r="C23" s="54" t="s">
        <v>80</v>
      </c>
      <c r="D23" s="54" t="s">
        <v>80</v>
      </c>
      <c r="E23" s="55" t="s">
        <v>80</v>
      </c>
      <c r="F23" s="54" t="s">
        <v>80</v>
      </c>
      <c r="G23" s="54" t="s">
        <v>80</v>
      </c>
      <c r="H23" s="54" t="s">
        <v>149</v>
      </c>
      <c r="I23" s="54" t="s">
        <v>149</v>
      </c>
      <c r="J23" s="56" t="s">
        <v>359</v>
      </c>
      <c r="K23" s="56" t="s">
        <v>359</v>
      </c>
      <c r="L23" s="54"/>
      <c r="M23" s="43">
        <v>22</v>
      </c>
      <c r="N23" s="43" t="s">
        <v>360</v>
      </c>
      <c r="O23" s="44" t="s">
        <v>360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2394-896F-4396-9466-3132747E330E}">
  <dimension ref="B2:W17"/>
  <sheetViews>
    <sheetView workbookViewId="0">
      <selection activeCell="AB12" sqref="AB12"/>
    </sheetView>
  </sheetViews>
  <sheetFormatPr defaultRowHeight="21"/>
  <cols>
    <col min="2" max="2" width="11.8984375" customWidth="1"/>
    <col min="3" max="23" width="6.5" style="167" customWidth="1"/>
  </cols>
  <sheetData>
    <row r="2" spans="2:23" ht="25.5">
      <c r="B2" s="308" t="s">
        <v>238</v>
      </c>
      <c r="C2" s="307">
        <f xml:space="preserve"> COLUMN() - 2</f>
        <v>1</v>
      </c>
      <c r="D2" s="307">
        <f t="shared" ref="D2:W2" si="0" xml:space="preserve"> COLUMN() - 2</f>
        <v>2</v>
      </c>
      <c r="E2" s="307">
        <f t="shared" si="0"/>
        <v>3</v>
      </c>
      <c r="F2" s="307">
        <f t="shared" si="0"/>
        <v>4</v>
      </c>
      <c r="G2" s="307">
        <f t="shared" si="0"/>
        <v>5</v>
      </c>
      <c r="H2" s="307">
        <f t="shared" si="0"/>
        <v>6</v>
      </c>
      <c r="I2" s="307">
        <f t="shared" si="0"/>
        <v>7</v>
      </c>
      <c r="J2" s="307">
        <f t="shared" si="0"/>
        <v>8</v>
      </c>
      <c r="K2" s="307">
        <f t="shared" si="0"/>
        <v>9</v>
      </c>
      <c r="L2" s="307">
        <f t="shared" si="0"/>
        <v>10</v>
      </c>
      <c r="M2" s="307">
        <f t="shared" si="0"/>
        <v>11</v>
      </c>
      <c r="N2" s="307">
        <f t="shared" si="0"/>
        <v>12</v>
      </c>
      <c r="O2" s="307">
        <f t="shared" si="0"/>
        <v>13</v>
      </c>
      <c r="P2" s="307">
        <f t="shared" si="0"/>
        <v>14</v>
      </c>
      <c r="Q2" s="307">
        <f t="shared" si="0"/>
        <v>15</v>
      </c>
      <c r="R2" s="307">
        <f t="shared" si="0"/>
        <v>16</v>
      </c>
      <c r="S2" s="307">
        <f t="shared" si="0"/>
        <v>17</v>
      </c>
      <c r="T2" s="307">
        <f t="shared" si="0"/>
        <v>18</v>
      </c>
      <c r="U2" s="307">
        <f t="shared" si="0"/>
        <v>19</v>
      </c>
      <c r="V2" s="307">
        <f t="shared" si="0"/>
        <v>20</v>
      </c>
      <c r="W2" s="307">
        <f t="shared" si="0"/>
        <v>21</v>
      </c>
    </row>
    <row r="3" spans="2:23" ht="53.25" customHeight="1">
      <c r="B3" s="308" t="s">
        <v>239</v>
      </c>
      <c r="C3" s="310" t="s">
        <v>59</v>
      </c>
      <c r="D3" s="310" t="s">
        <v>267</v>
      </c>
      <c r="E3" s="310" t="s">
        <v>7</v>
      </c>
      <c r="F3" s="310" t="s">
        <v>68</v>
      </c>
      <c r="G3" s="311" t="s">
        <v>70</v>
      </c>
      <c r="H3" s="311" t="s">
        <v>282</v>
      </c>
      <c r="I3" s="311" t="s">
        <v>69</v>
      </c>
      <c r="J3" s="311" t="s">
        <v>72</v>
      </c>
      <c r="K3" s="310" t="s">
        <v>119</v>
      </c>
      <c r="L3" s="310" t="s">
        <v>300</v>
      </c>
      <c r="M3" s="310" t="s">
        <v>80</v>
      </c>
      <c r="N3" s="310" t="s">
        <v>75</v>
      </c>
      <c r="O3" s="310" t="s">
        <v>292</v>
      </c>
      <c r="P3" s="311" t="s">
        <v>309</v>
      </c>
      <c r="Q3" s="311" t="s">
        <v>314</v>
      </c>
      <c r="R3" s="311" t="s">
        <v>79</v>
      </c>
      <c r="S3" s="311" t="s">
        <v>304</v>
      </c>
      <c r="T3" s="326" t="s">
        <v>331</v>
      </c>
      <c r="U3" s="326" t="s">
        <v>341</v>
      </c>
      <c r="V3" s="326" t="s">
        <v>351</v>
      </c>
      <c r="W3" s="326" t="s">
        <v>324</v>
      </c>
    </row>
    <row r="4" spans="2:23" ht="53.25" customHeight="1">
      <c r="B4" s="308" t="s">
        <v>243</v>
      </c>
      <c r="C4" s="310" t="s">
        <v>61</v>
      </c>
      <c r="D4" s="310" t="s">
        <v>105</v>
      </c>
      <c r="E4" s="310" t="s">
        <v>9</v>
      </c>
      <c r="F4" s="310" t="s">
        <v>133</v>
      </c>
      <c r="G4" s="311" t="s">
        <v>138</v>
      </c>
      <c r="H4" s="311" t="s">
        <v>139</v>
      </c>
      <c r="I4" s="311" t="s">
        <v>137</v>
      </c>
      <c r="J4" s="311" t="s">
        <v>140</v>
      </c>
      <c r="K4" s="310" t="s">
        <v>142</v>
      </c>
      <c r="L4" s="310" t="s">
        <v>143</v>
      </c>
      <c r="M4" s="310" t="s">
        <v>149</v>
      </c>
      <c r="N4" s="310" t="s">
        <v>144</v>
      </c>
      <c r="O4" s="310" t="s">
        <v>141</v>
      </c>
      <c r="P4" s="311" t="s">
        <v>146</v>
      </c>
      <c r="Q4" s="311" t="s">
        <v>316</v>
      </c>
      <c r="R4" s="311" t="s">
        <v>320</v>
      </c>
      <c r="S4" s="311" t="s">
        <v>145</v>
      </c>
      <c r="T4" s="326" t="s">
        <v>336</v>
      </c>
      <c r="U4" s="326" t="s">
        <v>346</v>
      </c>
      <c r="V4" s="326" t="s">
        <v>354</v>
      </c>
      <c r="W4" s="326" t="s">
        <v>150</v>
      </c>
    </row>
    <row r="5" spans="2:23" ht="53.25" customHeight="1">
      <c r="B5" s="308" t="s">
        <v>244</v>
      </c>
      <c r="C5" s="310" t="s">
        <v>61</v>
      </c>
      <c r="D5" s="310" t="s">
        <v>105</v>
      </c>
      <c r="E5" s="310" t="s">
        <v>260</v>
      </c>
      <c r="F5" s="310" t="s">
        <v>133</v>
      </c>
      <c r="G5" s="311" t="s">
        <v>138</v>
      </c>
      <c r="H5" s="311" t="s">
        <v>139</v>
      </c>
      <c r="I5" s="311" t="s">
        <v>137</v>
      </c>
      <c r="J5" s="311" t="s">
        <v>140</v>
      </c>
      <c r="K5" s="310" t="s">
        <v>142</v>
      </c>
      <c r="L5" s="310" t="s">
        <v>143</v>
      </c>
      <c r="M5" s="310" t="s">
        <v>149</v>
      </c>
      <c r="N5" s="310" t="s">
        <v>287</v>
      </c>
      <c r="O5" s="310" t="s">
        <v>144</v>
      </c>
      <c r="P5" s="311" t="s">
        <v>146</v>
      </c>
      <c r="Q5" s="311" t="s">
        <v>147</v>
      </c>
      <c r="R5" s="311" t="s">
        <v>148</v>
      </c>
      <c r="S5" s="311" t="s">
        <v>306</v>
      </c>
      <c r="T5" s="326" t="s">
        <v>151</v>
      </c>
      <c r="U5" s="326" t="s">
        <v>152</v>
      </c>
      <c r="V5" s="326" t="s">
        <v>153</v>
      </c>
      <c r="W5" s="326" t="s">
        <v>306</v>
      </c>
    </row>
    <row r="9" spans="2:23" ht="25.5">
      <c r="B9" s="308" t="s">
        <v>238</v>
      </c>
      <c r="C9" s="307">
        <f xml:space="preserve"> COLUMN() - 2</f>
        <v>1</v>
      </c>
      <c r="D9" s="307">
        <f t="shared" ref="D9:W9" si="1" xml:space="preserve"> COLUMN() - 2</f>
        <v>2</v>
      </c>
      <c r="E9" s="307">
        <f t="shared" si="1"/>
        <v>3</v>
      </c>
      <c r="F9" s="307">
        <f t="shared" si="1"/>
        <v>4</v>
      </c>
      <c r="G9" s="307">
        <f t="shared" si="1"/>
        <v>5</v>
      </c>
      <c r="H9" s="307">
        <f t="shared" si="1"/>
        <v>6</v>
      </c>
      <c r="I9" s="307">
        <f t="shared" si="1"/>
        <v>7</v>
      </c>
      <c r="J9" s="307">
        <f t="shared" si="1"/>
        <v>8</v>
      </c>
      <c r="K9" s="307">
        <f t="shared" si="1"/>
        <v>9</v>
      </c>
      <c r="L9" s="307">
        <f t="shared" si="1"/>
        <v>10</v>
      </c>
      <c r="M9" s="307">
        <f t="shared" si="1"/>
        <v>11</v>
      </c>
      <c r="N9" s="307">
        <f t="shared" si="1"/>
        <v>12</v>
      </c>
      <c r="O9" s="307">
        <f t="shared" si="1"/>
        <v>13</v>
      </c>
      <c r="P9" s="307">
        <f t="shared" si="1"/>
        <v>14</v>
      </c>
      <c r="Q9" s="307">
        <f t="shared" si="1"/>
        <v>15</v>
      </c>
      <c r="R9" s="307">
        <f t="shared" si="1"/>
        <v>16</v>
      </c>
      <c r="S9" s="307">
        <f t="shared" si="1"/>
        <v>17</v>
      </c>
      <c r="T9" s="307">
        <f t="shared" si="1"/>
        <v>18</v>
      </c>
      <c r="U9" s="307">
        <f t="shared" si="1"/>
        <v>19</v>
      </c>
      <c r="V9" s="307">
        <f t="shared" si="1"/>
        <v>20</v>
      </c>
      <c r="W9" s="307">
        <f t="shared" si="1"/>
        <v>21</v>
      </c>
    </row>
    <row r="10" spans="2:23" ht="36">
      <c r="B10" s="308" t="s">
        <v>239</v>
      </c>
      <c r="C10" s="310" t="s">
        <v>59</v>
      </c>
      <c r="D10" s="310" t="s">
        <v>267</v>
      </c>
      <c r="E10" s="310" t="s">
        <v>7</v>
      </c>
      <c r="F10" s="310" t="s">
        <v>68</v>
      </c>
      <c r="G10" s="311" t="s">
        <v>70</v>
      </c>
      <c r="H10" s="311" t="s">
        <v>282</v>
      </c>
      <c r="I10" s="311" t="s">
        <v>69</v>
      </c>
      <c r="J10" s="311" t="s">
        <v>72</v>
      </c>
      <c r="K10" s="310" t="s">
        <v>119</v>
      </c>
      <c r="L10" s="310" t="s">
        <v>300</v>
      </c>
      <c r="M10" s="310" t="s">
        <v>80</v>
      </c>
      <c r="N10" s="310" t="s">
        <v>75</v>
      </c>
      <c r="O10" s="310" t="s">
        <v>292</v>
      </c>
      <c r="P10" s="311" t="s">
        <v>309</v>
      </c>
      <c r="Q10" s="311" t="s">
        <v>314</v>
      </c>
      <c r="R10" s="311" t="s">
        <v>79</v>
      </c>
      <c r="S10" s="311" t="s">
        <v>304</v>
      </c>
      <c r="T10" s="312" t="s">
        <v>331</v>
      </c>
      <c r="U10" s="312" t="s">
        <v>341</v>
      </c>
      <c r="V10" s="312" t="s">
        <v>351</v>
      </c>
      <c r="W10" s="312" t="s">
        <v>324</v>
      </c>
    </row>
    <row r="11" spans="2:23" ht="36">
      <c r="B11" s="308" t="s">
        <v>3</v>
      </c>
      <c r="C11" s="310" t="s">
        <v>59</v>
      </c>
      <c r="D11" s="310" t="s">
        <v>103</v>
      </c>
      <c r="E11" s="310" t="s">
        <v>7</v>
      </c>
      <c r="F11" s="310" t="s">
        <v>68</v>
      </c>
      <c r="G11" s="311" t="s">
        <v>70</v>
      </c>
      <c r="H11" s="311" t="s">
        <v>186</v>
      </c>
      <c r="I11" s="311" t="s">
        <v>69</v>
      </c>
      <c r="J11" s="311" t="s">
        <v>72</v>
      </c>
      <c r="K11" s="310" t="s">
        <v>119</v>
      </c>
      <c r="L11" s="310" t="s">
        <v>195</v>
      </c>
      <c r="M11" s="310" t="s">
        <v>80</v>
      </c>
      <c r="N11" s="310" t="s">
        <v>198</v>
      </c>
      <c r="O11" s="310" t="s">
        <v>73</v>
      </c>
      <c r="P11" s="311" t="s">
        <v>233</v>
      </c>
      <c r="Q11" s="311" t="s">
        <v>235</v>
      </c>
      <c r="R11" s="311" t="s">
        <v>79</v>
      </c>
      <c r="S11" s="311" t="s">
        <v>76</v>
      </c>
      <c r="T11" s="313" t="s">
        <v>332</v>
      </c>
      <c r="U11" s="313" t="s">
        <v>342</v>
      </c>
      <c r="V11" s="313" t="s">
        <v>352</v>
      </c>
      <c r="W11" s="313" t="s">
        <v>325</v>
      </c>
    </row>
    <row r="12" spans="2:23" ht="36">
      <c r="B12" s="308" t="s">
        <v>240</v>
      </c>
      <c r="C12" s="310" t="s">
        <v>59</v>
      </c>
      <c r="D12" s="310" t="s">
        <v>103</v>
      </c>
      <c r="E12" s="310" t="s">
        <v>7</v>
      </c>
      <c r="F12" s="310" t="s">
        <v>68</v>
      </c>
      <c r="G12" s="311" t="s">
        <v>70</v>
      </c>
      <c r="H12" s="311" t="s">
        <v>186</v>
      </c>
      <c r="I12" s="311" t="s">
        <v>69</v>
      </c>
      <c r="J12" s="311" t="s">
        <v>72</v>
      </c>
      <c r="K12" s="310" t="s">
        <v>119</v>
      </c>
      <c r="L12" s="310" t="s">
        <v>195</v>
      </c>
      <c r="M12" s="310" t="s">
        <v>80</v>
      </c>
      <c r="N12" s="310" t="s">
        <v>198</v>
      </c>
      <c r="O12" s="310" t="s">
        <v>73</v>
      </c>
      <c r="P12" s="311" t="s">
        <v>121</v>
      </c>
      <c r="Q12" s="311" t="s">
        <v>78</v>
      </c>
      <c r="R12" s="311" t="s">
        <v>79</v>
      </c>
      <c r="S12" s="311" t="s">
        <v>76</v>
      </c>
      <c r="T12" s="313" t="s">
        <v>333</v>
      </c>
      <c r="U12" s="313" t="s">
        <v>343</v>
      </c>
      <c r="V12" s="313" t="s">
        <v>352</v>
      </c>
      <c r="W12" s="313" t="s">
        <v>325</v>
      </c>
    </row>
    <row r="13" spans="2:23" ht="46.5">
      <c r="B13" s="309" t="s">
        <v>1200</v>
      </c>
      <c r="C13" s="310" t="s">
        <v>7</v>
      </c>
      <c r="D13" s="310" t="s">
        <v>59</v>
      </c>
      <c r="E13" s="310" t="s">
        <v>259</v>
      </c>
      <c r="F13" s="310" t="s">
        <v>68</v>
      </c>
      <c r="G13" s="311" t="s">
        <v>112</v>
      </c>
      <c r="H13" s="311" t="s">
        <v>70</v>
      </c>
      <c r="I13" s="311" t="s">
        <v>69</v>
      </c>
      <c r="J13" s="311" t="s">
        <v>72</v>
      </c>
      <c r="K13" s="310" t="s">
        <v>73</v>
      </c>
      <c r="L13" s="310" t="s">
        <v>119</v>
      </c>
      <c r="M13" s="310" t="s">
        <v>80</v>
      </c>
      <c r="N13" s="310" t="s">
        <v>198</v>
      </c>
      <c r="O13" s="310" t="s">
        <v>293</v>
      </c>
      <c r="P13" s="311" t="s">
        <v>121</v>
      </c>
      <c r="Q13" s="311" t="s">
        <v>78</v>
      </c>
      <c r="R13" s="311" t="s">
        <v>79</v>
      </c>
      <c r="S13" s="311" t="s">
        <v>305</v>
      </c>
      <c r="T13" s="313" t="s">
        <v>334</v>
      </c>
      <c r="U13" s="313" t="s">
        <v>344</v>
      </c>
      <c r="V13" s="313" t="s">
        <v>353</v>
      </c>
      <c r="W13" s="313" t="s">
        <v>326</v>
      </c>
    </row>
    <row r="14" spans="2:23" ht="36">
      <c r="B14" s="308" t="s">
        <v>241</v>
      </c>
      <c r="C14" s="310" t="s">
        <v>7</v>
      </c>
      <c r="D14" s="310" t="s">
        <v>59</v>
      </c>
      <c r="E14" s="310" t="s">
        <v>259</v>
      </c>
      <c r="F14" s="310" t="s">
        <v>254</v>
      </c>
      <c r="G14" s="311" t="s">
        <v>112</v>
      </c>
      <c r="H14" s="311" t="s">
        <v>70</v>
      </c>
      <c r="I14" s="311" t="s">
        <v>271</v>
      </c>
      <c r="J14" s="311" t="s">
        <v>72</v>
      </c>
      <c r="K14" s="310" t="s">
        <v>73</v>
      </c>
      <c r="L14" s="310" t="s">
        <v>119</v>
      </c>
      <c r="M14" s="310" t="s">
        <v>80</v>
      </c>
      <c r="N14" s="310" t="s">
        <v>286</v>
      </c>
      <c r="O14" s="310" t="s">
        <v>293</v>
      </c>
      <c r="P14" s="311" t="s">
        <v>121</v>
      </c>
      <c r="Q14" s="311" t="s">
        <v>78</v>
      </c>
      <c r="R14" s="311" t="s">
        <v>79</v>
      </c>
      <c r="S14" s="311" t="s">
        <v>305</v>
      </c>
      <c r="T14" s="313" t="s">
        <v>333</v>
      </c>
      <c r="U14" s="313" t="s">
        <v>343</v>
      </c>
      <c r="V14" s="313" t="s">
        <v>352</v>
      </c>
      <c r="W14" s="313" t="s">
        <v>327</v>
      </c>
    </row>
    <row r="15" spans="2:23" ht="36">
      <c r="B15" s="308" t="s">
        <v>242</v>
      </c>
      <c r="C15" s="310" t="s">
        <v>59</v>
      </c>
      <c r="D15" s="310" t="s">
        <v>103</v>
      </c>
      <c r="E15" s="310" t="s">
        <v>7</v>
      </c>
      <c r="F15" s="310" t="s">
        <v>68</v>
      </c>
      <c r="G15" s="311" t="s">
        <v>70</v>
      </c>
      <c r="H15" s="311" t="s">
        <v>186</v>
      </c>
      <c r="I15" s="311" t="s">
        <v>69</v>
      </c>
      <c r="J15" s="311" t="s">
        <v>72</v>
      </c>
      <c r="K15" s="310" t="s">
        <v>119</v>
      </c>
      <c r="L15" s="310" t="s">
        <v>195</v>
      </c>
      <c r="M15" s="310" t="s">
        <v>80</v>
      </c>
      <c r="N15" s="310" t="s">
        <v>198</v>
      </c>
      <c r="O15" s="310" t="s">
        <v>73</v>
      </c>
      <c r="P15" s="311" t="s">
        <v>310</v>
      </c>
      <c r="Q15" s="311" t="s">
        <v>315</v>
      </c>
      <c r="R15" s="311" t="s">
        <v>79</v>
      </c>
      <c r="S15" s="311" t="s">
        <v>76</v>
      </c>
      <c r="T15" s="313" t="s">
        <v>335</v>
      </c>
      <c r="U15" s="313" t="s">
        <v>345</v>
      </c>
      <c r="V15" s="313" t="s">
        <v>352</v>
      </c>
      <c r="W15" s="313" t="s">
        <v>325</v>
      </c>
    </row>
    <row r="16" spans="2:23" ht="36">
      <c r="B16" s="308" t="s">
        <v>243</v>
      </c>
      <c r="C16" s="310" t="s">
        <v>61</v>
      </c>
      <c r="D16" s="310" t="s">
        <v>105</v>
      </c>
      <c r="E16" s="310" t="s">
        <v>9</v>
      </c>
      <c r="F16" s="310" t="s">
        <v>133</v>
      </c>
      <c r="G16" s="311" t="s">
        <v>138</v>
      </c>
      <c r="H16" s="311" t="s">
        <v>139</v>
      </c>
      <c r="I16" s="311" t="s">
        <v>137</v>
      </c>
      <c r="J16" s="311" t="s">
        <v>140</v>
      </c>
      <c r="K16" s="310" t="s">
        <v>142</v>
      </c>
      <c r="L16" s="310" t="s">
        <v>143</v>
      </c>
      <c r="M16" s="310" t="s">
        <v>149</v>
      </c>
      <c r="N16" s="310" t="s">
        <v>144</v>
      </c>
      <c r="O16" s="310" t="s">
        <v>141</v>
      </c>
      <c r="P16" s="311" t="s">
        <v>146</v>
      </c>
      <c r="Q16" s="311" t="s">
        <v>316</v>
      </c>
      <c r="R16" s="311" t="s">
        <v>320</v>
      </c>
      <c r="S16" s="311" t="s">
        <v>145</v>
      </c>
      <c r="T16" s="312" t="s">
        <v>336</v>
      </c>
      <c r="U16" s="312" t="s">
        <v>346</v>
      </c>
      <c r="V16" s="312" t="s">
        <v>354</v>
      </c>
      <c r="W16" s="312" t="s">
        <v>150</v>
      </c>
    </row>
    <row r="17" spans="2:23" ht="36">
      <c r="B17" s="308" t="s">
        <v>244</v>
      </c>
      <c r="C17" s="310" t="s">
        <v>61</v>
      </c>
      <c r="D17" s="310" t="s">
        <v>105</v>
      </c>
      <c r="E17" s="310" t="s">
        <v>260</v>
      </c>
      <c r="F17" s="310" t="s">
        <v>133</v>
      </c>
      <c r="G17" s="311" t="s">
        <v>138</v>
      </c>
      <c r="H17" s="311" t="s">
        <v>139</v>
      </c>
      <c r="I17" s="311" t="s">
        <v>137</v>
      </c>
      <c r="J17" s="311" t="s">
        <v>140</v>
      </c>
      <c r="K17" s="310" t="s">
        <v>142</v>
      </c>
      <c r="L17" s="310" t="s">
        <v>143</v>
      </c>
      <c r="M17" s="310" t="s">
        <v>149</v>
      </c>
      <c r="N17" s="310" t="s">
        <v>287</v>
      </c>
      <c r="O17" s="310" t="s">
        <v>144</v>
      </c>
      <c r="P17" s="311" t="s">
        <v>146</v>
      </c>
      <c r="Q17" s="311" t="s">
        <v>147</v>
      </c>
      <c r="R17" s="311" t="s">
        <v>148</v>
      </c>
      <c r="S17" s="311" t="s">
        <v>306</v>
      </c>
      <c r="T17" s="312" t="s">
        <v>151</v>
      </c>
      <c r="U17" s="312" t="s">
        <v>152</v>
      </c>
      <c r="V17" s="312" t="s">
        <v>153</v>
      </c>
      <c r="W17" s="312" t="s">
        <v>306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F446-C7CB-4314-AF3C-728067425E74}">
  <dimension ref="A1:AF113"/>
  <sheetViews>
    <sheetView workbookViewId="0">
      <selection activeCell="A3" sqref="A3:J101"/>
    </sheetView>
  </sheetViews>
  <sheetFormatPr defaultRowHeight="26.25" outlineLevelCol="1"/>
  <cols>
    <col min="1" max="1" width="7" style="115" customWidth="1"/>
    <col min="2" max="4" width="12.296875" style="115" customWidth="1"/>
    <col min="5" max="5" width="16.59765625" style="115" customWidth="1" outlineLevel="1"/>
    <col min="6" max="7" width="12.296875" style="115" customWidth="1" outlineLevel="1"/>
    <col min="8" max="11" width="12.296875" style="115" customWidth="1"/>
    <col min="12" max="12" width="12.296875" style="115" customWidth="1" outlineLevel="1"/>
    <col min="13" max="13" width="12.296875" style="115" customWidth="1"/>
    <col min="14" max="14" width="7" style="115" customWidth="1"/>
    <col min="15" max="15" width="5.8984375" style="115" customWidth="1"/>
    <col min="16" max="19" width="12.296875" style="115" customWidth="1"/>
    <col min="20" max="20" width="8.796875" style="115"/>
    <col min="21" max="21" width="5.8984375" style="115" customWidth="1"/>
    <col min="22" max="25" width="12.296875" style="116" customWidth="1"/>
    <col min="26" max="26" width="8.796875" style="116"/>
    <col min="27" max="27" width="1.8984375" style="115" customWidth="1"/>
    <col min="28" max="28" width="26.8984375" style="134" customWidth="1"/>
    <col min="29" max="29" width="25.09765625" style="134" customWidth="1"/>
    <col min="30" max="30" width="1.8984375" style="115" customWidth="1"/>
    <col min="31" max="31" width="26.8984375" style="135" customWidth="1"/>
    <col min="32" max="32" width="25.09765625" style="135" customWidth="1"/>
    <col min="33" max="16384" width="8.796875" style="115"/>
  </cols>
  <sheetData>
    <row r="1" spans="1:32" ht="30" customHeight="1">
      <c r="A1" s="117" t="s">
        <v>752</v>
      </c>
      <c r="I1" s="115" t="s">
        <v>753</v>
      </c>
      <c r="J1" s="115" t="s">
        <v>361</v>
      </c>
    </row>
    <row r="2" spans="1:32" ht="12.75" customHeight="1" thickBot="1">
      <c r="P2" s="118"/>
      <c r="Q2" s="118"/>
      <c r="R2" s="118"/>
      <c r="V2" s="133"/>
      <c r="W2" s="133"/>
      <c r="X2" s="133"/>
    </row>
    <row r="3" spans="1:32" ht="48.75" thickBot="1">
      <c r="A3" s="119" t="s">
        <v>754</v>
      </c>
      <c r="B3" s="120" t="s">
        <v>755</v>
      </c>
      <c r="C3" s="120" t="s">
        <v>756</v>
      </c>
      <c r="D3" s="121" t="s">
        <v>757</v>
      </c>
      <c r="E3" s="121" t="s">
        <v>758</v>
      </c>
      <c r="F3" s="121" t="s">
        <v>759</v>
      </c>
      <c r="G3" s="121" t="s">
        <v>760</v>
      </c>
      <c r="H3" s="121" t="s">
        <v>761</v>
      </c>
      <c r="I3" s="121" t="s">
        <v>762</v>
      </c>
      <c r="J3" s="121" t="s">
        <v>763</v>
      </c>
      <c r="K3" s="121" t="s">
        <v>764</v>
      </c>
      <c r="L3" s="121" t="s">
        <v>765</v>
      </c>
      <c r="M3" s="121" t="s">
        <v>766</v>
      </c>
      <c r="N3" s="121" t="s">
        <v>767</v>
      </c>
      <c r="O3" s="122"/>
      <c r="P3" s="121" t="str">
        <f>韻母對照表[[#Headers],[台羅拼音]]</f>
        <v>台羅拼音</v>
      </c>
      <c r="Q3" s="121" t="s">
        <v>763</v>
      </c>
      <c r="R3" s="121" t="s">
        <v>761</v>
      </c>
      <c r="S3" s="121" t="s">
        <v>766</v>
      </c>
      <c r="T3" s="121" t="s">
        <v>767</v>
      </c>
      <c r="U3" s="122"/>
      <c r="V3" s="121" t="str">
        <f>P3</f>
        <v>台羅拼音</v>
      </c>
      <c r="W3" s="121" t="s">
        <v>763</v>
      </c>
      <c r="X3" s="121" t="s">
        <v>761</v>
      </c>
      <c r="Y3" s="121" t="s">
        <v>766</v>
      </c>
      <c r="Z3" s="121" t="s">
        <v>767</v>
      </c>
    </row>
    <row r="4" spans="1:32" ht="27.75" thickBot="1">
      <c r="A4" s="123">
        <v>1</v>
      </c>
      <c r="B4" s="124" t="s">
        <v>375</v>
      </c>
      <c r="C4" s="125" t="s">
        <v>10</v>
      </c>
      <c r="D4" s="126" t="s">
        <v>10</v>
      </c>
      <c r="E4" s="126" t="s">
        <v>10</v>
      </c>
      <c r="F4" s="126" t="s">
        <v>10</v>
      </c>
      <c r="G4" s="126" t="s">
        <v>10</v>
      </c>
      <c r="H4" s="126" t="s">
        <v>768</v>
      </c>
      <c r="I4" s="126" t="s">
        <v>768</v>
      </c>
      <c r="J4" s="127" t="s">
        <v>769</v>
      </c>
      <c r="K4" s="128" t="s">
        <v>770</v>
      </c>
      <c r="L4" s="127" t="s">
        <v>771</v>
      </c>
      <c r="N4" s="127">
        <f xml:space="preserve"> LEN(韻母對照表[[#This Row],[台羅拼音]])</f>
        <v>1</v>
      </c>
      <c r="O4" s="129"/>
      <c r="P4" s="116" t="str" cm="1">
        <f t="array" ref="P4:T20">_xlfn.LET(_xlpm.crit,韻母對照表[聲韻調類]="韻-鼻",_xlfn.SORTBY(_xlfn._xlws.FILTER(_xlfn.HSTACK(韻母對照表[台羅拼音],韻母對照表[十五音],韻母對照表[方音符號],韻母對照表[聲韻調類],韻母對照表[字長]),_xlpm.crit,"無符合資料"),_xlfn._xlws.FILTER(韻母對照表[字長],_xlpm.crit),-1))</f>
        <v>uaihnn</v>
      </c>
      <c r="Q4" s="116" t="str">
        <v>閂</v>
      </c>
      <c r="R4" s="116" t="str">
        <v>ㄨㆮㆷ</v>
      </c>
      <c r="S4" s="116" t="str">
        <v>韻-鼻</v>
      </c>
      <c r="T4" s="116">
        <v>6</v>
      </c>
      <c r="U4" s="129"/>
      <c r="V4" s="116" t="str" cm="1">
        <f t="array" ref="V4:Z72">_xlfn.LET(_xlpm.crit,(韻母對照表[聲韻調類]&lt;&gt;"韻-鼻")*(韻母對照表[台語注音二式]&lt;&gt;""),_xlfn.SORTBY(_xlfn._xlws.FILTER(_xlfn.HSTACK(韻母對照表[台語音標],韻母對照表[十五音],韻母對照表[方音符號],韻母對照表[聲韻調類],韻母對照表[字長]),_xlpm.crit,"無符合資料"),_xlfn._xlws.FILTER(韻母對照表[字長],_xlpm.crit),-1))</f>
        <v>aunn</v>
      </c>
      <c r="W4" s="116" t="str">
        <v>爻</v>
      </c>
      <c r="X4" s="116" t="str">
        <v>ㆯ</v>
      </c>
      <c r="Y4" s="116">
        <v>0</v>
      </c>
      <c r="Z4" s="116">
        <v>4</v>
      </c>
      <c r="AB4" s="134" t="str">
        <f t="shared" ref="AB4:AB19" si="0" xml:space="preserve"> _xlfn.CONCAT("    - xform/", "》", $P4, "/", Q4, "》", "/")</f>
        <v xml:space="preserve">    - xform/》uaihnn/閂》/</v>
      </c>
      <c r="AC4" s="134" t="str">
        <f t="shared" ref="AC4:AC19" si="1" xml:space="preserve"> _xlfn.CONCAT("    - xform/", "》", $V4, "/", W4, "》", "/")</f>
        <v xml:space="preserve">    - xform/》aunn/爻》/</v>
      </c>
      <c r="AE4" s="135" t="str">
        <f t="shared" ref="AE4:AE19" si="2" xml:space="preserve"> _xlfn.CONCAT("    - xform/", "〉", $P4, "/", R4, "〉", "/")</f>
        <v xml:space="preserve">    - xform/〉uaihnn/ㄨㆮㆷ〉/</v>
      </c>
      <c r="AF4" s="135" t="str">
        <f xml:space="preserve"> _xlfn.CONCAT("    - xform/", "〉", $V4, "/", X4, "〉", "/")</f>
        <v xml:space="preserve">    - xform/〉aunn/ㆯ〉/</v>
      </c>
    </row>
    <row r="5" spans="1:32" ht="27.75" thickBot="1">
      <c r="A5" s="123">
        <v>2</v>
      </c>
      <c r="B5" s="124" t="s">
        <v>376</v>
      </c>
      <c r="C5" s="125" t="s">
        <v>377</v>
      </c>
      <c r="D5" s="126" t="s">
        <v>377</v>
      </c>
      <c r="E5" s="126" t="s">
        <v>377</v>
      </c>
      <c r="F5" s="126" t="s">
        <v>377</v>
      </c>
      <c r="G5" s="126" t="s">
        <v>377</v>
      </c>
      <c r="H5" s="126" t="s">
        <v>772</v>
      </c>
      <c r="I5" s="126" t="s">
        <v>773</v>
      </c>
      <c r="J5" s="127" t="s">
        <v>769</v>
      </c>
      <c r="K5" s="127" t="s">
        <v>774</v>
      </c>
      <c r="L5" s="127" t="s">
        <v>775</v>
      </c>
      <c r="M5" s="126"/>
      <c r="N5" s="127">
        <f xml:space="preserve"> LEN(韻母對照表[[#This Row],[台羅拼音]])</f>
        <v>2</v>
      </c>
      <c r="O5" s="129"/>
      <c r="P5" s="116" t="str">
        <v>iahnn</v>
      </c>
      <c r="Q5" s="116" t="str">
        <v>迦</v>
      </c>
      <c r="R5" s="116" t="str">
        <v>ㄧㆩㆷ</v>
      </c>
      <c r="S5" s="116" t="str">
        <v>韻-鼻</v>
      </c>
      <c r="T5" s="116">
        <v>5</v>
      </c>
      <c r="U5" s="129"/>
      <c r="V5" s="116" t="str">
        <v>iang</v>
      </c>
      <c r="W5" s="116" t="str">
        <v>姜</v>
      </c>
      <c r="X5" s="116" t="str">
        <v>ㄧㄤ</v>
      </c>
      <c r="Y5" s="116">
        <v>0</v>
      </c>
      <c r="Z5" s="116">
        <v>4</v>
      </c>
      <c r="AB5" s="134" t="str">
        <f t="shared" si="0"/>
        <v xml:space="preserve">    - xform/》iahnn/迦》/</v>
      </c>
      <c r="AC5" s="134" t="str">
        <f t="shared" si="1"/>
        <v xml:space="preserve">    - xform/》iang/姜》/</v>
      </c>
      <c r="AE5" s="135" t="str">
        <f t="shared" si="2"/>
        <v xml:space="preserve">    - xform/〉iahnn/ㄧㆩㆷ〉/</v>
      </c>
      <c r="AF5" s="135" t="str">
        <f t="shared" ref="AF5:AF68" si="3" xml:space="preserve"> _xlfn.CONCAT("    - xform/", "〉", $V5, "/", X5, "〉", "/")</f>
        <v xml:space="preserve">    - xform/〉iang/ㄧㄤ〉/</v>
      </c>
    </row>
    <row r="6" spans="1:32" ht="27.75" thickBot="1">
      <c r="A6" s="123">
        <v>3</v>
      </c>
      <c r="B6" s="124" t="s">
        <v>776</v>
      </c>
      <c r="C6" s="125" t="s">
        <v>206</v>
      </c>
      <c r="D6" s="126" t="s">
        <v>206</v>
      </c>
      <c r="E6" s="126" t="s">
        <v>206</v>
      </c>
      <c r="F6" s="126" t="s">
        <v>206</v>
      </c>
      <c r="G6" s="126" t="s">
        <v>206</v>
      </c>
      <c r="H6" s="126" t="s">
        <v>777</v>
      </c>
      <c r="I6" s="126" t="s">
        <v>777</v>
      </c>
      <c r="J6" s="127" t="s">
        <v>778</v>
      </c>
      <c r="K6" s="127" t="s">
        <v>779</v>
      </c>
      <c r="L6" s="127" t="s">
        <v>780</v>
      </c>
      <c r="M6" s="126"/>
      <c r="N6" s="127">
        <f xml:space="preserve"> LEN(韻母對照表[[#This Row],[台羅拼音]])</f>
        <v>2</v>
      </c>
      <c r="O6" s="129"/>
      <c r="P6" s="116" t="str">
        <v>iaunn</v>
      </c>
      <c r="Q6" s="116" t="str">
        <v>嘄</v>
      </c>
      <c r="R6" s="116" t="str">
        <v>ㄧㆯ</v>
      </c>
      <c r="S6" s="116" t="str">
        <v>韻-鼻</v>
      </c>
      <c r="T6" s="116">
        <v>5</v>
      </c>
      <c r="U6" s="129"/>
      <c r="V6" s="116" t="str">
        <v>iauh</v>
      </c>
      <c r="W6" s="116" t="str">
        <v>嬌</v>
      </c>
      <c r="X6" s="116" t="str">
        <v>ㄧㄠㆷ</v>
      </c>
      <c r="Y6" s="116">
        <v>0</v>
      </c>
      <c r="Z6" s="116">
        <v>4</v>
      </c>
      <c r="AB6" s="134" t="str">
        <f t="shared" si="0"/>
        <v xml:space="preserve">    - xform/》iaunn/嘄》/</v>
      </c>
      <c r="AC6" s="134" t="str">
        <f t="shared" si="1"/>
        <v xml:space="preserve">    - xform/》iauh/嬌》/</v>
      </c>
      <c r="AE6" s="135" t="str">
        <f t="shared" si="2"/>
        <v xml:space="preserve">    - xform/〉iaunn/ㄧㆯ〉/</v>
      </c>
      <c r="AF6" s="135" t="str">
        <f t="shared" si="3"/>
        <v xml:space="preserve">    - xform/〉iauh/ㄧㄠㆷ〉/</v>
      </c>
    </row>
    <row r="7" spans="1:32" ht="30.75" thickBot="1">
      <c r="A7" s="123">
        <v>4</v>
      </c>
      <c r="B7" s="124" t="s">
        <v>781</v>
      </c>
      <c r="C7" s="125" t="s">
        <v>381</v>
      </c>
      <c r="D7" s="130" t="s">
        <v>382</v>
      </c>
      <c r="E7" s="130" t="s">
        <v>382</v>
      </c>
      <c r="F7" s="130" t="s">
        <v>382</v>
      </c>
      <c r="G7" s="130" t="s">
        <v>381</v>
      </c>
      <c r="H7" s="130" t="s">
        <v>782</v>
      </c>
      <c r="I7" s="130" t="s">
        <v>383</v>
      </c>
      <c r="J7" s="127" t="s">
        <v>778</v>
      </c>
      <c r="K7" s="127" t="s">
        <v>783</v>
      </c>
      <c r="L7" s="131" t="s">
        <v>784</v>
      </c>
      <c r="M7" s="126"/>
      <c r="N7" s="127">
        <f xml:space="preserve"> LEN(韻母對照表[[#This Row],[台羅拼音]])</f>
        <v>3</v>
      </c>
      <c r="O7" s="129"/>
      <c r="P7" s="116" t="str">
        <v>iuhnn</v>
      </c>
      <c r="Q7" s="116" t="str">
        <v>牛</v>
      </c>
      <c r="R7" s="116" t="str">
        <v>ㄧㆫㆷ</v>
      </c>
      <c r="S7" s="116" t="str">
        <v>韻-鼻</v>
      </c>
      <c r="T7" s="116">
        <v>5</v>
      </c>
      <c r="U7" s="129"/>
      <c r="V7" s="116" t="str">
        <v>iooh</v>
      </c>
      <c r="W7" s="116">
        <v>0</v>
      </c>
      <c r="X7" s="116" t="str">
        <v>ㄧㆦㆷ</v>
      </c>
      <c r="Y7" s="116">
        <v>0</v>
      </c>
      <c r="Z7" s="116">
        <v>4</v>
      </c>
      <c r="AB7" s="134" t="str">
        <f t="shared" si="0"/>
        <v xml:space="preserve">    - xform/》iuhnn/牛》/</v>
      </c>
      <c r="AC7" s="134" t="str">
        <f t="shared" si="1"/>
        <v xml:space="preserve">    - xform/》iooh/0》/</v>
      </c>
      <c r="AE7" s="135" t="str">
        <f t="shared" si="2"/>
        <v xml:space="preserve">    - xform/〉iuhnn/ㄧㆫㆷ〉/</v>
      </c>
      <c r="AF7" s="135" t="str">
        <f t="shared" si="3"/>
        <v xml:space="preserve">    - xform/〉iooh/ㄧㆦㆷ〉/</v>
      </c>
    </row>
    <row r="8" spans="1:32" ht="27.75" thickBot="1">
      <c r="A8" s="123">
        <v>5</v>
      </c>
      <c r="B8" s="124" t="s">
        <v>785</v>
      </c>
      <c r="C8" s="125" t="s">
        <v>384</v>
      </c>
      <c r="D8" s="126" t="s">
        <v>384</v>
      </c>
      <c r="E8" s="126" t="s">
        <v>384</v>
      </c>
      <c r="F8" s="126" t="s">
        <v>385</v>
      </c>
      <c r="G8" s="126" t="s">
        <v>786</v>
      </c>
      <c r="H8" s="126" t="s">
        <v>176</v>
      </c>
      <c r="I8" s="126" t="s">
        <v>787</v>
      </c>
      <c r="J8" s="127" t="s">
        <v>788</v>
      </c>
      <c r="K8" s="127" t="s">
        <v>789</v>
      </c>
      <c r="L8" s="127" t="s">
        <v>790</v>
      </c>
      <c r="M8" s="126" t="s">
        <v>791</v>
      </c>
      <c r="N8" s="127">
        <f xml:space="preserve"> LEN(韻母對照表[[#This Row],[台羅拼音]])</f>
        <v>4</v>
      </c>
      <c r="O8" s="129"/>
      <c r="P8" s="116" t="str">
        <v>uainn</v>
      </c>
      <c r="Q8" s="116" t="str">
        <v>閂</v>
      </c>
      <c r="R8" s="116" t="str">
        <v>ㄨㆮ</v>
      </c>
      <c r="S8" s="116" t="str">
        <v>韻-鼻</v>
      </c>
      <c r="T8" s="116">
        <v>5</v>
      </c>
      <c r="U8" s="129"/>
      <c r="V8" s="116" t="str">
        <v>iong</v>
      </c>
      <c r="W8" s="116" t="str">
        <v>恭</v>
      </c>
      <c r="X8" s="116" t="str">
        <v>ㄧㆲ</v>
      </c>
      <c r="Y8" s="116">
        <v>0</v>
      </c>
      <c r="Z8" s="116">
        <v>4</v>
      </c>
      <c r="AB8" s="134" t="str">
        <f t="shared" si="0"/>
        <v xml:space="preserve">    - xform/》uainn/閂》/</v>
      </c>
      <c r="AC8" s="134" t="str">
        <f t="shared" si="1"/>
        <v xml:space="preserve">    - xform/》iong/恭》/</v>
      </c>
      <c r="AE8" s="135" t="str">
        <f t="shared" si="2"/>
        <v xml:space="preserve">    - xform/〉uainn/ㄨㆮ〉/</v>
      </c>
      <c r="AF8" s="135" t="str">
        <f t="shared" si="3"/>
        <v xml:space="preserve">    - xform/〉iong/ㄧㆲ〉/</v>
      </c>
    </row>
    <row r="9" spans="1:32" ht="30.75" thickBot="1">
      <c r="A9" s="123">
        <v>6</v>
      </c>
      <c r="B9" s="124" t="s">
        <v>566</v>
      </c>
      <c r="C9" s="125" t="s">
        <v>387</v>
      </c>
      <c r="D9" s="126" t="s">
        <v>387</v>
      </c>
      <c r="E9" s="126" t="s">
        <v>387</v>
      </c>
      <c r="F9" s="126" t="s">
        <v>387</v>
      </c>
      <c r="G9" s="126" t="s">
        <v>387</v>
      </c>
      <c r="H9" s="126" t="s">
        <v>792</v>
      </c>
      <c r="I9" s="126" t="s">
        <v>793</v>
      </c>
      <c r="J9" s="127" t="s">
        <v>794</v>
      </c>
      <c r="K9" s="127" t="s">
        <v>795</v>
      </c>
      <c r="L9" s="127" t="s">
        <v>796</v>
      </c>
      <c r="M9" s="126"/>
      <c r="N9" s="127">
        <f xml:space="preserve"> LEN(韻母對照表[[#This Row],[台羅拼音]])</f>
        <v>2</v>
      </c>
      <c r="O9" s="129"/>
      <c r="P9" s="116" t="str">
        <v>ainn</v>
      </c>
      <c r="Q9" s="116" t="str">
        <v>閒</v>
      </c>
      <c r="R9" s="116" t="str">
        <v>ㆮ</v>
      </c>
      <c r="S9" s="116" t="str">
        <v>韻-鼻</v>
      </c>
      <c r="T9" s="116">
        <v>4</v>
      </c>
      <c r="U9" s="129"/>
      <c r="V9" s="116" t="str">
        <v>uaih</v>
      </c>
      <c r="W9" s="116" t="str">
        <v>乖</v>
      </c>
      <c r="X9" s="116" t="str">
        <v>ㄨㄞㆷ</v>
      </c>
      <c r="Y9" s="116">
        <v>0</v>
      </c>
      <c r="Z9" s="116">
        <v>4</v>
      </c>
      <c r="AB9" s="134" t="str">
        <f t="shared" si="0"/>
        <v xml:space="preserve">    - xform/》ainn/閒》/</v>
      </c>
      <c r="AC9" s="134" t="str">
        <f t="shared" si="1"/>
        <v xml:space="preserve">    - xform/》uaih/乖》/</v>
      </c>
      <c r="AE9" s="135" t="str">
        <f t="shared" si="2"/>
        <v xml:space="preserve">    - xform/〉ainn/ㆮ〉/</v>
      </c>
      <c r="AF9" s="135" t="str">
        <f t="shared" si="3"/>
        <v xml:space="preserve">    - xform/〉uaih/ㄨㄞㆷ〉/</v>
      </c>
    </row>
    <row r="10" spans="1:32" ht="27.75" thickBot="1">
      <c r="A10" s="123">
        <v>7</v>
      </c>
      <c r="B10" s="124" t="s">
        <v>389</v>
      </c>
      <c r="C10" s="125" t="s">
        <v>210</v>
      </c>
      <c r="D10" s="126" t="s">
        <v>210</v>
      </c>
      <c r="E10" s="126" t="s">
        <v>210</v>
      </c>
      <c r="F10" s="126" t="s">
        <v>210</v>
      </c>
      <c r="G10" s="126" t="s">
        <v>210</v>
      </c>
      <c r="H10" s="126" t="s">
        <v>166</v>
      </c>
      <c r="I10" s="126" t="s">
        <v>797</v>
      </c>
      <c r="J10" s="127" t="s">
        <v>798</v>
      </c>
      <c r="K10" s="127" t="s">
        <v>799</v>
      </c>
      <c r="L10" s="127" t="s">
        <v>800</v>
      </c>
      <c r="M10" s="126"/>
      <c r="N10" s="127">
        <f xml:space="preserve"> LEN(韻母對照表[[#This Row],[台羅拼音]])</f>
        <v>2</v>
      </c>
      <c r="O10" s="129"/>
      <c r="P10" s="116" t="str">
        <v>ahnn</v>
      </c>
      <c r="Q10" s="116" t="str">
        <v>監</v>
      </c>
      <c r="R10" s="116" t="str">
        <v>ㆩㆷ</v>
      </c>
      <c r="S10" s="116" t="str">
        <v>韻-鼻</v>
      </c>
      <c r="T10" s="116">
        <v>4</v>
      </c>
      <c r="U10" s="129"/>
      <c r="V10" s="116" t="str">
        <v>uang</v>
      </c>
      <c r="W10" s="116" t="str">
        <v>光</v>
      </c>
      <c r="X10" s="116" t="str">
        <v>ㄨㄤ</v>
      </c>
      <c r="Y10" s="116">
        <v>0</v>
      </c>
      <c r="Z10" s="116">
        <v>4</v>
      </c>
      <c r="AB10" s="134" t="str">
        <f t="shared" si="0"/>
        <v xml:space="preserve">    - xform/》ahnn/監》/</v>
      </c>
      <c r="AC10" s="134" t="str">
        <f t="shared" si="1"/>
        <v xml:space="preserve">    - xform/》uang/光》/</v>
      </c>
      <c r="AE10" s="135" t="str">
        <f t="shared" si="2"/>
        <v xml:space="preserve">    - xform/〉ahnn/ㆩㆷ〉/</v>
      </c>
      <c r="AF10" s="135" t="str">
        <f t="shared" si="3"/>
        <v xml:space="preserve">    - xform/〉uang/ㄨㄤ〉/</v>
      </c>
    </row>
    <row r="11" spans="1:32" ht="27.75" thickBot="1">
      <c r="A11" s="123">
        <v>8</v>
      </c>
      <c r="B11" s="124" t="s">
        <v>391</v>
      </c>
      <c r="C11" s="125" t="s">
        <v>212</v>
      </c>
      <c r="D11" s="126" t="s">
        <v>212</v>
      </c>
      <c r="E11" s="126" t="s">
        <v>212</v>
      </c>
      <c r="F11" s="126" t="s">
        <v>212</v>
      </c>
      <c r="G11" s="126" t="s">
        <v>212</v>
      </c>
      <c r="H11" s="126" t="s">
        <v>801</v>
      </c>
      <c r="I11" s="126" t="s">
        <v>801</v>
      </c>
      <c r="J11" s="127" t="s">
        <v>802</v>
      </c>
      <c r="K11" s="127" t="s">
        <v>803</v>
      </c>
      <c r="L11" s="127" t="s">
        <v>804</v>
      </c>
      <c r="M11" s="126"/>
      <c r="N11" s="127">
        <f xml:space="preserve"> LEN(韻母對照表[[#This Row],[台羅拼音]])</f>
        <v>2</v>
      </c>
      <c r="O11" s="129"/>
      <c r="P11" s="116" t="str">
        <v>ehnn</v>
      </c>
      <c r="Q11" s="116" t="str">
        <v>更</v>
      </c>
      <c r="R11" s="116" t="str">
        <v>ㆥㆷ</v>
      </c>
      <c r="S11" s="116" t="str">
        <v>韻-鼻</v>
      </c>
      <c r="T11" s="116">
        <v>4</v>
      </c>
      <c r="U11" s="129"/>
      <c r="V11" s="116" t="str">
        <v>uann</v>
      </c>
      <c r="W11" s="116" t="str">
        <v>官</v>
      </c>
      <c r="X11" s="116" t="str">
        <v>ㄨㆩ</v>
      </c>
      <c r="Y11" s="116">
        <v>0</v>
      </c>
      <c r="Z11" s="116">
        <v>4</v>
      </c>
      <c r="AB11" s="134" t="str">
        <f t="shared" si="0"/>
        <v xml:space="preserve">    - xform/》ehnn/更》/</v>
      </c>
      <c r="AC11" s="134" t="str">
        <f t="shared" si="1"/>
        <v xml:space="preserve">    - xform/》uann/官》/</v>
      </c>
      <c r="AE11" s="135" t="str">
        <f t="shared" si="2"/>
        <v xml:space="preserve">    - xform/〉ehnn/ㆥㆷ〉/</v>
      </c>
      <c r="AF11" s="135" t="str">
        <f t="shared" si="3"/>
        <v xml:space="preserve">    - xform/〉uann/ㄨㆩ〉/</v>
      </c>
    </row>
    <row r="12" spans="1:32" ht="27.75" thickBot="1">
      <c r="A12" s="123">
        <v>9</v>
      </c>
      <c r="B12" s="124" t="s">
        <v>805</v>
      </c>
      <c r="C12" s="125" t="s">
        <v>215</v>
      </c>
      <c r="D12" s="126" t="s">
        <v>215</v>
      </c>
      <c r="E12" s="126" t="s">
        <v>215</v>
      </c>
      <c r="F12" s="126" t="s">
        <v>215</v>
      </c>
      <c r="G12" s="126" t="s">
        <v>215</v>
      </c>
      <c r="H12" s="126" t="s">
        <v>806</v>
      </c>
      <c r="I12" s="126" t="s">
        <v>806</v>
      </c>
      <c r="J12" s="127" t="s">
        <v>794</v>
      </c>
      <c r="K12" s="127" t="s">
        <v>807</v>
      </c>
      <c r="L12" s="127" t="s">
        <v>808</v>
      </c>
      <c r="M12" s="126"/>
      <c r="N12" s="127">
        <f xml:space="preserve"> LEN(韻母對照表[[#This Row],[台羅拼音]])</f>
        <v>3</v>
      </c>
      <c r="O12" s="129"/>
      <c r="P12" s="116" t="str">
        <v>iann</v>
      </c>
      <c r="Q12" s="116" t="str">
        <v>驚</v>
      </c>
      <c r="R12" s="116" t="str">
        <v>ㄧㆩ</v>
      </c>
      <c r="S12" s="116" t="str">
        <v>韻-鼻</v>
      </c>
      <c r="T12" s="116">
        <v>4</v>
      </c>
      <c r="U12" s="129"/>
      <c r="V12" s="116" t="str">
        <v>aih</v>
      </c>
      <c r="W12" s="116" t="str">
        <v>皆</v>
      </c>
      <c r="X12" s="116" t="str">
        <v>ㄞㆷ</v>
      </c>
      <c r="Y12" s="116">
        <v>0</v>
      </c>
      <c r="Z12" s="116">
        <v>3</v>
      </c>
      <c r="AB12" s="134" t="str">
        <f t="shared" si="0"/>
        <v xml:space="preserve">    - xform/》iann/驚》/</v>
      </c>
      <c r="AC12" s="134" t="str">
        <f t="shared" si="1"/>
        <v xml:space="preserve">    - xform/》aih/皆》/</v>
      </c>
      <c r="AE12" s="135" t="str">
        <f t="shared" si="2"/>
        <v xml:space="preserve">    - xform/〉iann/ㄧㆩ〉/</v>
      </c>
      <c r="AF12" s="135" t="str">
        <f t="shared" si="3"/>
        <v xml:space="preserve">    - xform/〉aih/ㄞㆷ〉/</v>
      </c>
    </row>
    <row r="13" spans="1:32" ht="27.75" thickBot="1">
      <c r="A13" s="123">
        <v>10</v>
      </c>
      <c r="B13" s="124" t="s">
        <v>392</v>
      </c>
      <c r="C13" s="125" t="s">
        <v>393</v>
      </c>
      <c r="D13" s="126" t="s">
        <v>393</v>
      </c>
      <c r="E13" s="126" t="s">
        <v>393</v>
      </c>
      <c r="F13" s="126" t="s">
        <v>394</v>
      </c>
      <c r="G13" s="126" t="s">
        <v>809</v>
      </c>
      <c r="H13" s="126" t="s">
        <v>171</v>
      </c>
      <c r="I13" s="126" t="s">
        <v>810</v>
      </c>
      <c r="J13" s="127" t="s">
        <v>811</v>
      </c>
      <c r="K13" s="127" t="s">
        <v>812</v>
      </c>
      <c r="L13" s="127" t="s">
        <v>813</v>
      </c>
      <c r="M13" s="126" t="s">
        <v>791</v>
      </c>
      <c r="N13" s="127">
        <f xml:space="preserve"> LEN(韻母對照表[[#This Row],[台羅拼音]])</f>
        <v>3</v>
      </c>
      <c r="O13" s="129"/>
      <c r="P13" s="116" t="str">
        <v>ionn</v>
      </c>
      <c r="Q13" s="116" t="str">
        <v>薑</v>
      </c>
      <c r="R13" s="116" t="str">
        <v>ㄧㆧ</v>
      </c>
      <c r="S13" s="116" t="str">
        <v>韻-鼻</v>
      </c>
      <c r="T13" s="116">
        <v>4</v>
      </c>
      <c r="U13" s="129"/>
      <c r="V13" s="116" t="str">
        <v>ang</v>
      </c>
      <c r="W13" s="116" t="str">
        <v>江</v>
      </c>
      <c r="X13" s="116" t="str">
        <v>ㄤ</v>
      </c>
      <c r="Y13" s="116">
        <v>0</v>
      </c>
      <c r="Z13" s="116">
        <v>3</v>
      </c>
      <c r="AB13" s="134" t="str">
        <f t="shared" si="0"/>
        <v xml:space="preserve">    - xform/》ionn/薑》/</v>
      </c>
      <c r="AC13" s="134" t="str">
        <f t="shared" si="1"/>
        <v xml:space="preserve">    - xform/》ang/江》/</v>
      </c>
      <c r="AE13" s="135" t="str">
        <f t="shared" si="2"/>
        <v xml:space="preserve">    - xform/〉ionn/ㄧㆧ〉/</v>
      </c>
      <c r="AF13" s="135" t="str">
        <f t="shared" si="3"/>
        <v xml:space="preserve">    - xform/〉ang/ㄤ〉/</v>
      </c>
    </row>
    <row r="14" spans="1:32" ht="27.75" thickBot="1">
      <c r="A14" s="123">
        <v>11</v>
      </c>
      <c r="B14" s="124" t="s">
        <v>397</v>
      </c>
      <c r="C14" s="125" t="s">
        <v>1154</v>
      </c>
      <c r="D14" s="126" t="s">
        <v>399</v>
      </c>
      <c r="E14" s="126" t="s">
        <v>398</v>
      </c>
      <c r="F14" s="130" t="s">
        <v>400</v>
      </c>
      <c r="G14" s="126" t="s">
        <v>814</v>
      </c>
      <c r="H14" s="126" t="s">
        <v>401</v>
      </c>
      <c r="I14" s="126" t="s">
        <v>815</v>
      </c>
      <c r="J14" s="127" t="s">
        <v>811</v>
      </c>
      <c r="K14" s="127" t="s">
        <v>816</v>
      </c>
      <c r="L14" s="127" t="s">
        <v>817</v>
      </c>
      <c r="M14" s="126" t="s">
        <v>791</v>
      </c>
      <c r="N14" s="127">
        <f xml:space="preserve"> LEN(韻母對照表[[#This Row],[台羅拼音]])</f>
        <v>4</v>
      </c>
      <c r="O14" s="129"/>
      <c r="P14" s="116" t="str">
        <v>iunn</v>
      </c>
      <c r="Q14" s="116" t="str">
        <v>牛</v>
      </c>
      <c r="R14" s="116" t="str">
        <v>ㄧㆫ</v>
      </c>
      <c r="S14" s="116" t="str">
        <v>韻-鼻</v>
      </c>
      <c r="T14" s="116">
        <v>4</v>
      </c>
      <c r="U14" s="129"/>
      <c r="V14" s="116" t="str">
        <v>auh</v>
      </c>
      <c r="W14" s="116" t="str">
        <v>交</v>
      </c>
      <c r="X14" s="116" t="str">
        <v>ㄠㆷ</v>
      </c>
      <c r="Y14" s="116">
        <v>0</v>
      </c>
      <c r="Z14" s="116">
        <v>3</v>
      </c>
      <c r="AB14" s="134" t="str">
        <f t="shared" si="0"/>
        <v xml:space="preserve">    - xform/》iunn/牛》/</v>
      </c>
      <c r="AC14" s="134" t="str">
        <f t="shared" si="1"/>
        <v xml:space="preserve">    - xform/》auh/交》/</v>
      </c>
      <c r="AE14" s="135" t="str">
        <f t="shared" si="2"/>
        <v xml:space="preserve">    - xform/〉iunn/ㄧㆫ〉/</v>
      </c>
      <c r="AF14" s="135" t="str">
        <f t="shared" si="3"/>
        <v xml:space="preserve">    - xform/〉auh/ㄠㆷ〉/</v>
      </c>
    </row>
    <row r="15" spans="1:32" ht="27.75" thickBot="1">
      <c r="A15" s="123">
        <v>12</v>
      </c>
      <c r="B15" s="124" t="s">
        <v>567</v>
      </c>
      <c r="C15" s="125" t="s">
        <v>402</v>
      </c>
      <c r="D15" s="126" t="s">
        <v>402</v>
      </c>
      <c r="E15" s="126" t="s">
        <v>402</v>
      </c>
      <c r="F15" s="126" t="s">
        <v>402</v>
      </c>
      <c r="G15" s="126" t="s">
        <v>402</v>
      </c>
      <c r="H15" s="126" t="s">
        <v>818</v>
      </c>
      <c r="I15" s="126" t="s">
        <v>819</v>
      </c>
      <c r="J15" s="127" t="s">
        <v>798</v>
      </c>
      <c r="K15" s="127" t="s">
        <v>820</v>
      </c>
      <c r="L15" s="127" t="s">
        <v>821</v>
      </c>
      <c r="M15" s="126"/>
      <c r="N15" s="127">
        <f xml:space="preserve"> LEN(韻母對照表[[#This Row],[台羅拼音]])</f>
        <v>2</v>
      </c>
      <c r="O15" s="129"/>
      <c r="P15" s="116" t="str">
        <v>ohnn</v>
      </c>
      <c r="Q15" s="116" t="str">
        <v>扛</v>
      </c>
      <c r="R15" s="116" t="str">
        <v>ㆧㆷ</v>
      </c>
      <c r="S15" s="116" t="str">
        <v>韻-鼻</v>
      </c>
      <c r="T15" s="116">
        <v>4</v>
      </c>
      <c r="U15" s="129"/>
      <c r="V15" s="116" t="str">
        <v>iah</v>
      </c>
      <c r="W15" s="116" t="str">
        <v>迦</v>
      </c>
      <c r="X15" s="116" t="str">
        <v>ㄧㄚㆷ</v>
      </c>
      <c r="Y15" s="116">
        <v>0</v>
      </c>
      <c r="Z15" s="116">
        <v>3</v>
      </c>
      <c r="AB15" s="134" t="str">
        <f t="shared" si="0"/>
        <v xml:space="preserve">    - xform/》ohnn/扛》/</v>
      </c>
      <c r="AC15" s="134" t="str">
        <f t="shared" si="1"/>
        <v xml:space="preserve">    - xform/》iah/迦》/</v>
      </c>
      <c r="AE15" s="135" t="str">
        <f t="shared" si="2"/>
        <v xml:space="preserve">    - xform/〉ohnn/ㆧㆷ〉/</v>
      </c>
      <c r="AF15" s="135" t="str">
        <f t="shared" si="3"/>
        <v xml:space="preserve">    - xform/〉iah/ㄧㄚㆷ〉/</v>
      </c>
    </row>
    <row r="16" spans="1:32" ht="27.75" thickBot="1">
      <c r="A16" s="123">
        <v>13</v>
      </c>
      <c r="B16" s="124" t="s">
        <v>568</v>
      </c>
      <c r="C16" s="125" t="s">
        <v>403</v>
      </c>
      <c r="D16" s="126" t="s">
        <v>403</v>
      </c>
      <c r="E16" s="126" t="s">
        <v>403</v>
      </c>
      <c r="F16" s="126" t="s">
        <v>403</v>
      </c>
      <c r="G16" s="126" t="s">
        <v>403</v>
      </c>
      <c r="H16" s="126" t="s">
        <v>822</v>
      </c>
      <c r="I16" s="126" t="s">
        <v>823</v>
      </c>
      <c r="J16" s="127" t="s">
        <v>802</v>
      </c>
      <c r="K16" s="127" t="s">
        <v>824</v>
      </c>
      <c r="L16" s="127" t="s">
        <v>825</v>
      </c>
      <c r="M16" s="126"/>
      <c r="N16" s="127">
        <f xml:space="preserve"> LEN(韻母對照表[[#This Row],[台羅拼音]])</f>
        <v>2</v>
      </c>
      <c r="O16" s="129"/>
      <c r="P16" s="116" t="str">
        <v>uinn</v>
      </c>
      <c r="Q16" s="116" t="str">
        <v>褌</v>
      </c>
      <c r="R16" s="116" t="str">
        <v>ㄨㆪ</v>
      </c>
      <c r="S16" s="116" t="str">
        <v>韻-鼻</v>
      </c>
      <c r="T16" s="116">
        <v>4</v>
      </c>
      <c r="U16" s="129"/>
      <c r="V16" s="116" t="str">
        <v>iak</v>
      </c>
      <c r="W16" s="116" t="str">
        <v>姜</v>
      </c>
      <c r="X16" s="116" t="str">
        <v>ㄧㄚㆻ</v>
      </c>
      <c r="Y16" s="116">
        <v>0</v>
      </c>
      <c r="Z16" s="116">
        <v>3</v>
      </c>
      <c r="AB16" s="134" t="str">
        <f t="shared" si="0"/>
        <v xml:space="preserve">    - xform/》uinn/褌》/</v>
      </c>
      <c r="AC16" s="134" t="str">
        <f t="shared" si="1"/>
        <v xml:space="preserve">    - xform/》iak/姜》/</v>
      </c>
      <c r="AE16" s="135" t="str">
        <f t="shared" si="2"/>
        <v xml:space="preserve">    - xform/〉uinn/ㄨㆪ〉/</v>
      </c>
      <c r="AF16" s="135" t="str">
        <f t="shared" si="3"/>
        <v xml:space="preserve">    - xform/〉iak/ㄧㄚㆻ〉/</v>
      </c>
    </row>
    <row r="17" spans="1:32" ht="27.75" thickBot="1">
      <c r="A17" s="123">
        <v>14</v>
      </c>
      <c r="B17" s="124" t="s">
        <v>826</v>
      </c>
      <c r="C17" s="125" t="s">
        <v>208</v>
      </c>
      <c r="D17" s="126" t="s">
        <v>208</v>
      </c>
      <c r="E17" s="126" t="s">
        <v>208</v>
      </c>
      <c r="F17" s="126" t="s">
        <v>404</v>
      </c>
      <c r="G17" s="126" t="s">
        <v>208</v>
      </c>
      <c r="H17" s="126" t="s">
        <v>827</v>
      </c>
      <c r="I17" s="126" t="s">
        <v>827</v>
      </c>
      <c r="J17" s="127" t="s">
        <v>828</v>
      </c>
      <c r="K17" s="127" t="s">
        <v>829</v>
      </c>
      <c r="L17" s="127" t="s">
        <v>830</v>
      </c>
      <c r="M17" s="126"/>
      <c r="N17" s="127">
        <f xml:space="preserve"> LEN(韻母對照表[[#This Row],[台羅拼音]])</f>
        <v>2</v>
      </c>
      <c r="O17" s="129"/>
      <c r="P17" s="116" t="str">
        <v>ann</v>
      </c>
      <c r="Q17" s="116" t="str">
        <v>監</v>
      </c>
      <c r="R17" s="116" t="str">
        <v>ㆩ</v>
      </c>
      <c r="S17" s="116" t="str">
        <v>韻-鼻</v>
      </c>
      <c r="T17" s="116">
        <v>3</v>
      </c>
      <c r="U17" s="129"/>
      <c r="V17" s="116" t="str">
        <v>iam</v>
      </c>
      <c r="W17" s="116" t="str">
        <v>兼</v>
      </c>
      <c r="X17" s="116" t="str">
        <v>ㄧㆰ</v>
      </c>
      <c r="Y17" s="116">
        <v>0</v>
      </c>
      <c r="Z17" s="116">
        <v>3</v>
      </c>
      <c r="AB17" s="134" t="str">
        <f t="shared" si="0"/>
        <v xml:space="preserve">    - xform/》ann/監》/</v>
      </c>
      <c r="AC17" s="134" t="str">
        <f t="shared" si="1"/>
        <v xml:space="preserve">    - xform/》iam/兼》/</v>
      </c>
      <c r="AE17" s="135" t="str">
        <f t="shared" si="2"/>
        <v xml:space="preserve">    - xform/〉ann/ㆩ〉/</v>
      </c>
      <c r="AF17" s="135" t="str">
        <f t="shared" si="3"/>
        <v xml:space="preserve">    - xform/〉iam/ㄧㆰ〉/</v>
      </c>
    </row>
    <row r="18" spans="1:32" ht="30.75" thickBot="1">
      <c r="A18" s="123">
        <v>15</v>
      </c>
      <c r="B18" s="124" t="s">
        <v>405</v>
      </c>
      <c r="C18" s="125" t="s">
        <v>406</v>
      </c>
      <c r="D18" s="126" t="s">
        <v>406</v>
      </c>
      <c r="E18" s="126" t="s">
        <v>406</v>
      </c>
      <c r="F18" s="126" t="s">
        <v>407</v>
      </c>
      <c r="G18" s="126" t="s">
        <v>406</v>
      </c>
      <c r="H18" s="126" t="s">
        <v>831</v>
      </c>
      <c r="I18" s="126" t="s">
        <v>832</v>
      </c>
      <c r="J18" s="127" t="s">
        <v>828</v>
      </c>
      <c r="K18" s="127" t="s">
        <v>833</v>
      </c>
      <c r="L18" s="127" t="s">
        <v>834</v>
      </c>
      <c r="M18" s="126"/>
      <c r="N18" s="127">
        <f xml:space="preserve"> LEN(韻母對照表[[#This Row],[台羅拼音]])</f>
        <v>3</v>
      </c>
      <c r="O18" s="129"/>
      <c r="P18" s="116" t="str">
        <v>enn</v>
      </c>
      <c r="Q18" s="116" t="str">
        <v>更</v>
      </c>
      <c r="R18" s="116" t="str">
        <v>ㆥ</v>
      </c>
      <c r="S18" s="116" t="str">
        <v>韻-鼻</v>
      </c>
      <c r="T18" s="116">
        <v>3</v>
      </c>
      <c r="U18" s="129"/>
      <c r="V18" s="116" t="str">
        <v>ian</v>
      </c>
      <c r="W18" s="116" t="str">
        <v>堅</v>
      </c>
      <c r="X18" s="116" t="str">
        <v>ㄧㄢ</v>
      </c>
      <c r="Y18" s="116">
        <v>0</v>
      </c>
      <c r="Z18" s="116">
        <v>3</v>
      </c>
      <c r="AB18" s="134" t="str">
        <f t="shared" si="0"/>
        <v xml:space="preserve">    - xform/》enn/更》/</v>
      </c>
      <c r="AC18" s="134" t="str">
        <f t="shared" si="1"/>
        <v xml:space="preserve">    - xform/》ian/堅》/</v>
      </c>
      <c r="AE18" s="135" t="str">
        <f t="shared" si="2"/>
        <v xml:space="preserve">    - xform/〉enn/ㆥ〉/</v>
      </c>
      <c r="AF18" s="135" t="str">
        <f t="shared" si="3"/>
        <v xml:space="preserve">    - xform/〉ian/ㄧㄢ〉/</v>
      </c>
    </row>
    <row r="19" spans="1:32" ht="27.75" thickBot="1">
      <c r="A19" s="123">
        <v>16</v>
      </c>
      <c r="B19" s="124" t="s">
        <v>1169</v>
      </c>
      <c r="C19" s="125" t="s">
        <v>576</v>
      </c>
      <c r="D19" s="130" t="s">
        <v>576</v>
      </c>
      <c r="E19" s="130" t="s">
        <v>576</v>
      </c>
      <c r="F19" s="130" t="s">
        <v>1166</v>
      </c>
      <c r="G19" s="130" t="s">
        <v>1167</v>
      </c>
      <c r="H19" s="126" t="s">
        <v>177</v>
      </c>
      <c r="I19" s="126" t="s">
        <v>737</v>
      </c>
      <c r="J19" s="131" t="s">
        <v>1170</v>
      </c>
      <c r="K19" s="161" t="s">
        <v>1172</v>
      </c>
      <c r="L19" s="131" t="s">
        <v>1171</v>
      </c>
      <c r="M19" s="126"/>
      <c r="N19" s="127">
        <f xml:space="preserve"> LEN(韻母對照表[[#This Row],[台羅拼音]])</f>
        <v>4</v>
      </c>
      <c r="O19" s="129"/>
      <c r="P19" s="116" t="str">
        <v>inn</v>
      </c>
      <c r="Q19" s="116" t="str">
        <v>梔</v>
      </c>
      <c r="R19" s="116" t="str">
        <v>ㆪ</v>
      </c>
      <c r="S19" s="116" t="str">
        <v>韻-鼻</v>
      </c>
      <c r="T19" s="116">
        <v>3</v>
      </c>
      <c r="U19" s="129"/>
      <c r="V19" s="116" t="str">
        <v>iap</v>
      </c>
      <c r="W19" s="116" t="str">
        <v>兼</v>
      </c>
      <c r="X19" s="116" t="str">
        <v>ㄧㄚㆴ</v>
      </c>
      <c r="Y19" s="116">
        <v>0</v>
      </c>
      <c r="Z19" s="116">
        <v>3</v>
      </c>
      <c r="AB19" s="134" t="str">
        <f t="shared" si="0"/>
        <v xml:space="preserve">    - xform/》inn/梔》/</v>
      </c>
      <c r="AC19" s="134" t="str">
        <f t="shared" si="1"/>
        <v xml:space="preserve">    - xform/》iap/兼》/</v>
      </c>
      <c r="AE19" s="135" t="str">
        <f t="shared" si="2"/>
        <v xml:space="preserve">    - xform/〉inn/ㆪ〉/</v>
      </c>
      <c r="AF19" s="135" t="str">
        <f t="shared" si="3"/>
        <v xml:space="preserve">    - xform/〉iap/ㄧㄚㆴ〉/</v>
      </c>
    </row>
    <row r="20" spans="1:32" ht="30.75" thickBot="1">
      <c r="A20" s="123">
        <v>17</v>
      </c>
      <c r="B20" s="124" t="s">
        <v>388</v>
      </c>
      <c r="C20" s="125" t="s">
        <v>85</v>
      </c>
      <c r="D20" s="126" t="s">
        <v>41</v>
      </c>
      <c r="E20" s="126" t="s">
        <v>85</v>
      </c>
      <c r="F20" s="126" t="s">
        <v>85</v>
      </c>
      <c r="G20" s="126" t="s">
        <v>408</v>
      </c>
      <c r="H20" s="126" t="s">
        <v>154</v>
      </c>
      <c r="I20" s="126" t="s">
        <v>835</v>
      </c>
      <c r="J20" s="160" t="s">
        <v>1159</v>
      </c>
      <c r="K20" s="127" t="s">
        <v>836</v>
      </c>
      <c r="L20" s="160" t="s">
        <v>1160</v>
      </c>
      <c r="M20" s="126"/>
      <c r="N20" s="127">
        <f xml:space="preserve"> LEN(韻母對照表[[#This Row],[台羅拼音]])</f>
        <v>1</v>
      </c>
      <c r="O20" s="129"/>
      <c r="P20" s="116" t="str">
        <v>onn</v>
      </c>
      <c r="Q20" s="116" t="str">
        <v>姑</v>
      </c>
      <c r="R20" s="116" t="str">
        <v>ㆧ</v>
      </c>
      <c r="S20" s="116" t="str">
        <v>韻-鼻</v>
      </c>
      <c r="T20" s="116">
        <v>3</v>
      </c>
      <c r="U20" s="129"/>
      <c r="V20" s="116" t="str">
        <v>iat</v>
      </c>
      <c r="W20" s="116" t="str">
        <v>堅</v>
      </c>
      <c r="X20" s="116" t="str">
        <v>ㄧㄚㆵ</v>
      </c>
      <c r="Y20" s="116">
        <v>0</v>
      </c>
      <c r="Z20" s="116">
        <v>3</v>
      </c>
      <c r="AC20" s="134" t="str">
        <f t="shared" ref="AC20:AC68" si="4" xml:space="preserve"> _xlfn.CONCAT("    - xform/", "》", $V20, "/", W20, "》", "/")</f>
        <v xml:space="preserve">    - xform/》iat/堅》/</v>
      </c>
      <c r="AF20" s="135" t="str">
        <f t="shared" si="3"/>
        <v xml:space="preserve">    - xform/〉iat/ㄧㄚㆵ〉/</v>
      </c>
    </row>
    <row r="21" spans="1:32" ht="27.75" thickBot="1">
      <c r="A21" s="123">
        <v>18</v>
      </c>
      <c r="B21" s="124" t="s">
        <v>837</v>
      </c>
      <c r="C21" s="125" t="s">
        <v>410</v>
      </c>
      <c r="D21" s="130" t="s">
        <v>410</v>
      </c>
      <c r="E21" s="132"/>
      <c r="F21" s="132"/>
      <c r="G21" s="132"/>
      <c r="H21" s="130" t="s">
        <v>838</v>
      </c>
      <c r="I21" s="130" t="s">
        <v>839</v>
      </c>
      <c r="J21" s="127" t="s">
        <v>840</v>
      </c>
      <c r="K21" s="127" t="s">
        <v>841</v>
      </c>
      <c r="L21" s="131" t="s">
        <v>842</v>
      </c>
      <c r="M21" s="126"/>
      <c r="N21" s="127">
        <f xml:space="preserve"> LEN(韻母對照表[[#This Row],[台羅拼音]])</f>
        <v>2</v>
      </c>
      <c r="O21" s="129"/>
      <c r="U21" s="129"/>
      <c r="V21" s="116" t="str">
        <v>iau</v>
      </c>
      <c r="W21" s="116" t="str">
        <v>嬌</v>
      </c>
      <c r="X21" s="116" t="str">
        <v>ㄧㄠ</v>
      </c>
      <c r="Y21" s="116">
        <v>0</v>
      </c>
      <c r="Z21" s="116">
        <v>3</v>
      </c>
      <c r="AC21" s="134" t="str">
        <f t="shared" si="4"/>
        <v xml:space="preserve">    - xform/》iau/嬌》/</v>
      </c>
      <c r="AF21" s="135" t="str">
        <f t="shared" si="3"/>
        <v xml:space="preserve">    - xform/〉iau/ㄧㄠ〉/</v>
      </c>
    </row>
    <row r="22" spans="1:32" ht="27.75" thickBot="1">
      <c r="A22" s="123">
        <v>19</v>
      </c>
      <c r="B22" s="124" t="s">
        <v>843</v>
      </c>
      <c r="C22" s="125" t="s">
        <v>411</v>
      </c>
      <c r="D22" s="130" t="s">
        <v>411</v>
      </c>
      <c r="E22" s="132"/>
      <c r="F22" s="132"/>
      <c r="G22" s="132"/>
      <c r="H22" s="130" t="s">
        <v>844</v>
      </c>
      <c r="I22" s="130" t="s">
        <v>845</v>
      </c>
      <c r="J22" s="127" t="s">
        <v>840</v>
      </c>
      <c r="K22" s="127" t="s">
        <v>846</v>
      </c>
      <c r="L22" s="131" t="s">
        <v>847</v>
      </c>
      <c r="M22" s="126"/>
      <c r="N22" s="127">
        <f xml:space="preserve"> LEN(韻母對照表[[#This Row],[台羅拼音]])</f>
        <v>3</v>
      </c>
      <c r="O22" s="129"/>
      <c r="U22" s="129"/>
      <c r="V22" s="116" t="str">
        <v>ing</v>
      </c>
      <c r="W22" s="116" t="str">
        <v>經</v>
      </c>
      <c r="X22" s="116" t="str">
        <v>ㄧㄥ</v>
      </c>
      <c r="Y22" s="116">
        <v>0</v>
      </c>
      <c r="Z22" s="116">
        <v>3</v>
      </c>
      <c r="AC22" s="134" t="str">
        <f t="shared" si="4"/>
        <v xml:space="preserve">    - xform/》ing/經》/</v>
      </c>
      <c r="AF22" s="135" t="str">
        <f t="shared" si="3"/>
        <v xml:space="preserve">    - xform/〉ing/ㄧㄥ〉/</v>
      </c>
    </row>
    <row r="23" spans="1:32" ht="27.75" thickBot="1">
      <c r="A23" s="123">
        <v>20</v>
      </c>
      <c r="B23" s="124" t="s">
        <v>412</v>
      </c>
      <c r="C23" s="125" t="s">
        <v>413</v>
      </c>
      <c r="D23" s="126" t="s">
        <v>413</v>
      </c>
      <c r="E23" s="126" t="s">
        <v>413</v>
      </c>
      <c r="F23" s="126" t="s">
        <v>413</v>
      </c>
      <c r="G23" s="126" t="s">
        <v>413</v>
      </c>
      <c r="H23" s="126" t="s">
        <v>414</v>
      </c>
      <c r="I23" s="126" t="s">
        <v>848</v>
      </c>
      <c r="J23" s="127" t="s">
        <v>849</v>
      </c>
      <c r="K23" s="127" t="s">
        <v>850</v>
      </c>
      <c r="L23" s="127" t="s">
        <v>851</v>
      </c>
      <c r="M23" s="126"/>
      <c r="N23" s="127">
        <f xml:space="preserve"> LEN(韻母對照表[[#This Row],[台羅拼音]])</f>
        <v>2</v>
      </c>
      <c r="O23" s="129"/>
      <c r="U23" s="129"/>
      <c r="V23" s="116" t="str">
        <v>ioh</v>
      </c>
      <c r="W23" s="116" t="str">
        <v>茄</v>
      </c>
      <c r="X23" s="116" t="str">
        <v>ㄧㄜㆷ</v>
      </c>
      <c r="Y23" s="116">
        <v>0</v>
      </c>
      <c r="Z23" s="116">
        <v>3</v>
      </c>
      <c r="AC23" s="134" t="str">
        <f t="shared" si="4"/>
        <v xml:space="preserve">    - xform/》ioh/茄》/</v>
      </c>
      <c r="AF23" s="135" t="str">
        <f t="shared" si="3"/>
        <v xml:space="preserve">    - xform/〉ioh/ㄧㄜㆷ〉/</v>
      </c>
    </row>
    <row r="24" spans="1:32" ht="27.75" thickBot="1">
      <c r="A24" s="123">
        <v>21</v>
      </c>
      <c r="B24" s="124" t="s">
        <v>852</v>
      </c>
      <c r="C24" s="125" t="s">
        <v>415</v>
      </c>
      <c r="D24" s="130" t="s">
        <v>415</v>
      </c>
      <c r="E24" s="132"/>
      <c r="F24" s="132"/>
      <c r="G24" s="132"/>
      <c r="H24" s="130" t="s">
        <v>853</v>
      </c>
      <c r="I24" s="130" t="s">
        <v>854</v>
      </c>
      <c r="J24" s="127" t="s">
        <v>855</v>
      </c>
      <c r="K24" s="127" t="s">
        <v>783</v>
      </c>
      <c r="L24" s="131" t="s">
        <v>856</v>
      </c>
      <c r="M24" s="126"/>
      <c r="N24" s="127">
        <f xml:space="preserve"> LEN(韻母對照表[[#This Row],[台羅拼音]])</f>
        <v>2</v>
      </c>
      <c r="O24" s="129"/>
      <c r="U24" s="129"/>
      <c r="V24" s="116" t="str">
        <v>ioo</v>
      </c>
      <c r="W24" s="116">
        <v>0</v>
      </c>
      <c r="X24" s="116" t="str">
        <v>ㄧㆦ</v>
      </c>
      <c r="Y24" s="116">
        <v>0</v>
      </c>
      <c r="Z24" s="116">
        <v>3</v>
      </c>
      <c r="AC24" s="134" t="str">
        <f t="shared" si="4"/>
        <v xml:space="preserve">    - xform/》ioo/0》/</v>
      </c>
      <c r="AF24" s="135" t="str">
        <f t="shared" si="3"/>
        <v xml:space="preserve">    - xform/〉ioo/ㄧㆦ〉/</v>
      </c>
    </row>
    <row r="25" spans="1:32" ht="27.75" thickBot="1">
      <c r="A25" s="123">
        <v>22</v>
      </c>
      <c r="B25" s="124" t="s">
        <v>857</v>
      </c>
      <c r="C25" s="125" t="s">
        <v>416</v>
      </c>
      <c r="D25" s="130" t="s">
        <v>416</v>
      </c>
      <c r="E25" s="132"/>
      <c r="F25" s="132"/>
      <c r="G25" s="132"/>
      <c r="H25" s="130" t="s">
        <v>858</v>
      </c>
      <c r="I25" s="130" t="s">
        <v>859</v>
      </c>
      <c r="J25" s="127" t="s">
        <v>855</v>
      </c>
      <c r="K25" s="127" t="s">
        <v>783</v>
      </c>
      <c r="L25" s="131" t="s">
        <v>860</v>
      </c>
      <c r="M25" s="126"/>
      <c r="N25" s="127">
        <f xml:space="preserve"> LEN(韻母對照表[[#This Row],[台羅拼音]])</f>
        <v>3</v>
      </c>
      <c r="O25" s="129"/>
      <c r="U25" s="129"/>
      <c r="V25" s="116" t="str">
        <v>iok</v>
      </c>
      <c r="W25" s="116" t="str">
        <v>恭</v>
      </c>
      <c r="X25" s="116" t="str">
        <v>ㄧㆦㆻ</v>
      </c>
      <c r="Y25" s="116">
        <v>0</v>
      </c>
      <c r="Z25" s="116">
        <v>3</v>
      </c>
      <c r="AC25" s="134" t="str">
        <f t="shared" si="4"/>
        <v xml:space="preserve">    - xform/》iok/恭》/</v>
      </c>
      <c r="AF25" s="135" t="str">
        <f t="shared" si="3"/>
        <v xml:space="preserve">    - xform/〉iok/ㄧㆦㆻ〉/</v>
      </c>
    </row>
    <row r="26" spans="1:32" ht="27.75" thickBot="1">
      <c r="A26" s="123">
        <v>23</v>
      </c>
      <c r="B26" s="124" t="s">
        <v>417</v>
      </c>
      <c r="C26" s="125" t="s">
        <v>418</v>
      </c>
      <c r="D26" s="126" t="s">
        <v>418</v>
      </c>
      <c r="E26" s="126" t="s">
        <v>418</v>
      </c>
      <c r="F26" s="126" t="s">
        <v>419</v>
      </c>
      <c r="G26" s="126" t="s">
        <v>861</v>
      </c>
      <c r="H26" s="126" t="s">
        <v>174</v>
      </c>
      <c r="I26" s="126" t="s">
        <v>862</v>
      </c>
      <c r="J26" s="127" t="s">
        <v>863</v>
      </c>
      <c r="K26" s="127" t="s">
        <v>864</v>
      </c>
      <c r="L26" s="127" t="s">
        <v>865</v>
      </c>
      <c r="M26" s="126" t="s">
        <v>791</v>
      </c>
      <c r="N26" s="127">
        <f xml:space="preserve"> LEN(韻母對照表[[#This Row],[台羅拼音]])</f>
        <v>3</v>
      </c>
      <c r="O26" s="129"/>
      <c r="U26" s="129"/>
      <c r="V26" s="116" t="str">
        <v>ngh</v>
      </c>
      <c r="W26" s="116" t="str">
        <v>鋼</v>
      </c>
      <c r="X26" s="116" t="str">
        <v>ㆭㆷ</v>
      </c>
      <c r="Y26" s="116">
        <v>0</v>
      </c>
      <c r="Z26" s="116">
        <v>3</v>
      </c>
      <c r="AC26" s="134" t="str">
        <f t="shared" si="4"/>
        <v xml:space="preserve">    - xform/》ngh/鋼》/</v>
      </c>
      <c r="AF26" s="135" t="str">
        <f t="shared" si="3"/>
        <v xml:space="preserve">    - xform/〉ngh/ㆭㆷ〉/</v>
      </c>
    </row>
    <row r="27" spans="1:32" ht="30.75" thickBot="1">
      <c r="A27" s="123">
        <v>24</v>
      </c>
      <c r="B27" s="124" t="s">
        <v>421</v>
      </c>
      <c r="C27" s="125" t="s">
        <v>1155</v>
      </c>
      <c r="D27" s="130" t="s">
        <v>422</v>
      </c>
      <c r="E27" s="130" t="s">
        <v>422</v>
      </c>
      <c r="F27" s="130" t="s">
        <v>422</v>
      </c>
      <c r="G27" s="130" t="s">
        <v>866</v>
      </c>
      <c r="H27" s="130" t="s">
        <v>423</v>
      </c>
      <c r="I27" s="130" t="s">
        <v>867</v>
      </c>
      <c r="J27" s="127" t="s">
        <v>863</v>
      </c>
      <c r="K27" s="127" t="s">
        <v>868</v>
      </c>
      <c r="L27" s="131" t="s">
        <v>869</v>
      </c>
      <c r="M27" s="126" t="s">
        <v>791</v>
      </c>
      <c r="N27" s="127">
        <f xml:space="preserve"> LEN(韻母對照表[[#This Row],[台羅拼音]])</f>
        <v>4</v>
      </c>
      <c r="O27" s="129"/>
      <c r="U27" s="129"/>
      <c r="V27" s="116" t="str">
        <v>ong</v>
      </c>
      <c r="W27" s="116" t="str">
        <v>公</v>
      </c>
      <c r="X27" s="116" t="str">
        <v>ㆲ</v>
      </c>
      <c r="Y27" s="116">
        <v>0</v>
      </c>
      <c r="Z27" s="116">
        <v>3</v>
      </c>
      <c r="AC27" s="134" t="str">
        <f t="shared" si="4"/>
        <v xml:space="preserve">    - xform/》ong/公》/</v>
      </c>
      <c r="AF27" s="135" t="str">
        <f t="shared" si="3"/>
        <v xml:space="preserve">    - xform/〉ong/ㆲ〉/</v>
      </c>
    </row>
    <row r="28" spans="1:32" ht="27.75" thickBot="1">
      <c r="A28" s="123">
        <v>25</v>
      </c>
      <c r="B28" s="124" t="s">
        <v>396</v>
      </c>
      <c r="C28" s="125" t="s">
        <v>62</v>
      </c>
      <c r="D28" s="126" t="s">
        <v>62</v>
      </c>
      <c r="E28" s="126" t="s">
        <v>62</v>
      </c>
      <c r="F28" s="126" t="s">
        <v>62</v>
      </c>
      <c r="G28" s="126" t="s">
        <v>62</v>
      </c>
      <c r="H28" s="126" t="s">
        <v>870</v>
      </c>
      <c r="I28" s="126" t="s">
        <v>870</v>
      </c>
      <c r="J28" s="127" t="s">
        <v>871</v>
      </c>
      <c r="K28" s="127" t="s">
        <v>872</v>
      </c>
      <c r="L28" s="127" t="s">
        <v>873</v>
      </c>
      <c r="M28" s="126"/>
      <c r="N28" s="127">
        <f xml:space="preserve"> LEN(韻母對照表[[#This Row],[台羅拼音]])</f>
        <v>1</v>
      </c>
      <c r="O28" s="129"/>
      <c r="U28" s="129"/>
      <c r="V28" s="116" t="str">
        <v>ooh</v>
      </c>
      <c r="W28" s="116" t="str">
        <v>沽</v>
      </c>
      <c r="X28" s="116" t="str">
        <v>ㆦㆷ</v>
      </c>
      <c r="Y28" s="116">
        <v>0</v>
      </c>
      <c r="Z28" s="116">
        <v>3</v>
      </c>
      <c r="AC28" s="134" t="str">
        <f t="shared" si="4"/>
        <v xml:space="preserve">    - xform/》ooh/沽》/</v>
      </c>
      <c r="AF28" s="135" t="str">
        <f t="shared" si="3"/>
        <v xml:space="preserve">    - xform/〉ooh/ㆦㆷ〉/</v>
      </c>
    </row>
    <row r="29" spans="1:32" ht="27.75" thickBot="1">
      <c r="A29" s="123">
        <v>26</v>
      </c>
      <c r="B29" s="124" t="s">
        <v>424</v>
      </c>
      <c r="C29" s="125" t="s">
        <v>424</v>
      </c>
      <c r="D29" s="126" t="s">
        <v>424</v>
      </c>
      <c r="E29" s="126" t="s">
        <v>424</v>
      </c>
      <c r="F29" s="126" t="s">
        <v>424</v>
      </c>
      <c r="G29" s="126" t="s">
        <v>424</v>
      </c>
      <c r="H29" s="126" t="s">
        <v>874</v>
      </c>
      <c r="I29" s="126" t="s">
        <v>874</v>
      </c>
      <c r="J29" s="127" t="s">
        <v>875</v>
      </c>
      <c r="K29" s="127" t="s">
        <v>876</v>
      </c>
      <c r="L29" s="127" t="s">
        <v>877</v>
      </c>
      <c r="M29" s="126"/>
      <c r="N29" s="127">
        <f xml:space="preserve"> LEN(韻母對照表[[#This Row],[台羅拼音]])</f>
        <v>2</v>
      </c>
      <c r="O29" s="129"/>
      <c r="U29" s="129"/>
      <c r="V29" s="116" t="str">
        <v>uah</v>
      </c>
      <c r="W29" s="116" t="str">
        <v>瓜</v>
      </c>
      <c r="X29" s="116" t="str">
        <v>ㄨㄚㆷ</v>
      </c>
      <c r="Y29" s="116">
        <v>0</v>
      </c>
      <c r="Z29" s="116">
        <v>3</v>
      </c>
      <c r="AC29" s="134" t="str">
        <f t="shared" si="4"/>
        <v xml:space="preserve">    - xform/》uah/瓜》/</v>
      </c>
      <c r="AF29" s="135" t="str">
        <f t="shared" si="3"/>
        <v xml:space="preserve">    - xform/〉uah/ㄨㄚㆷ〉/</v>
      </c>
    </row>
    <row r="30" spans="1:32" ht="27.75" thickBot="1">
      <c r="A30" s="123">
        <v>27</v>
      </c>
      <c r="B30" s="124" t="s">
        <v>1232</v>
      </c>
      <c r="C30" s="125" t="s">
        <v>425</v>
      </c>
      <c r="D30" s="126" t="s">
        <v>425</v>
      </c>
      <c r="E30" s="126" t="s">
        <v>425</v>
      </c>
      <c r="F30" s="126" t="s">
        <v>425</v>
      </c>
      <c r="G30" s="126" t="s">
        <v>425</v>
      </c>
      <c r="H30" s="126" t="s">
        <v>878</v>
      </c>
      <c r="I30" s="126" t="s">
        <v>879</v>
      </c>
      <c r="J30" s="127" t="s">
        <v>875</v>
      </c>
      <c r="K30" s="127" t="s">
        <v>880</v>
      </c>
      <c r="L30" s="127" t="s">
        <v>881</v>
      </c>
      <c r="M30" s="126"/>
      <c r="N30" s="127">
        <f xml:space="preserve"> LEN(韻母對照表[[#This Row],[台羅拼音]])</f>
        <v>3</v>
      </c>
      <c r="O30" s="129"/>
      <c r="U30" s="129"/>
      <c r="V30" s="116" t="str">
        <v>uai</v>
      </c>
      <c r="W30" s="116" t="str">
        <v>乖</v>
      </c>
      <c r="X30" s="116" t="str">
        <v>ㄨㄞ</v>
      </c>
      <c r="Y30" s="116">
        <v>0</v>
      </c>
      <c r="Z30" s="116">
        <v>3</v>
      </c>
      <c r="AC30" s="134" t="str">
        <f t="shared" si="4"/>
        <v xml:space="preserve">    - xform/》uai/乖》/</v>
      </c>
      <c r="AF30" s="135" t="str">
        <f t="shared" si="3"/>
        <v xml:space="preserve">    - xform/〉uai/ㄨㄞ〉/</v>
      </c>
    </row>
    <row r="31" spans="1:32" ht="27.75" thickBot="1">
      <c r="A31" s="123">
        <v>28</v>
      </c>
      <c r="B31" s="124" t="s">
        <v>1233</v>
      </c>
      <c r="C31" s="125" t="s">
        <v>426</v>
      </c>
      <c r="D31" s="126" t="s">
        <v>426</v>
      </c>
      <c r="E31" s="126" t="s">
        <v>426</v>
      </c>
      <c r="F31" s="126" t="s">
        <v>426</v>
      </c>
      <c r="G31" s="126" t="s">
        <v>426</v>
      </c>
      <c r="H31" s="126" t="s">
        <v>882</v>
      </c>
      <c r="I31" s="126" t="s">
        <v>883</v>
      </c>
      <c r="J31" s="127" t="s">
        <v>884</v>
      </c>
      <c r="K31" s="127" t="s">
        <v>885</v>
      </c>
      <c r="L31" s="127" t="s">
        <v>886</v>
      </c>
      <c r="M31" s="126"/>
      <c r="N31" s="127">
        <f xml:space="preserve"> LEN(韻母對照表[[#This Row],[台羅拼音]])</f>
        <v>3</v>
      </c>
      <c r="O31" s="129"/>
      <c r="U31" s="129"/>
      <c r="V31" s="116" t="str">
        <v>uan</v>
      </c>
      <c r="W31" s="116" t="str">
        <v>觀</v>
      </c>
      <c r="X31" s="116" t="str">
        <v>ㄨㄢ</v>
      </c>
      <c r="Y31" s="116">
        <v>0</v>
      </c>
      <c r="Z31" s="116">
        <v>3</v>
      </c>
      <c r="AC31" s="134" t="str">
        <f t="shared" si="4"/>
        <v xml:space="preserve">    - xform/》uan/觀》/</v>
      </c>
      <c r="AF31" s="135" t="str">
        <f t="shared" si="3"/>
        <v xml:space="preserve">    - xform/〉uan/ㄨㄢ〉/</v>
      </c>
    </row>
    <row r="32" spans="1:32" ht="27.75" thickBot="1">
      <c r="A32" s="123">
        <v>29</v>
      </c>
      <c r="B32" s="124" t="s">
        <v>427</v>
      </c>
      <c r="C32" s="125" t="s">
        <v>427</v>
      </c>
      <c r="D32" s="126" t="s">
        <v>427</v>
      </c>
      <c r="E32" s="126" t="s">
        <v>427</v>
      </c>
      <c r="F32" s="126" t="s">
        <v>427</v>
      </c>
      <c r="G32" s="126" t="s">
        <v>427</v>
      </c>
      <c r="H32" s="126" t="s">
        <v>887</v>
      </c>
      <c r="I32" s="126" t="s">
        <v>888</v>
      </c>
      <c r="J32" s="127" t="s">
        <v>889</v>
      </c>
      <c r="K32" s="127" t="s">
        <v>890</v>
      </c>
      <c r="L32" s="127" t="s">
        <v>891</v>
      </c>
      <c r="M32" s="126"/>
      <c r="N32" s="127">
        <f xml:space="preserve"> LEN(韻母對照表[[#This Row],[台羅拼音]])</f>
        <v>3</v>
      </c>
      <c r="O32" s="129"/>
      <c r="U32" s="129"/>
      <c r="V32" s="116" t="str">
        <v>uat</v>
      </c>
      <c r="W32" s="116" t="str">
        <v>觀</v>
      </c>
      <c r="X32" s="116" t="str">
        <v>ㄨㄚㆵ</v>
      </c>
      <c r="Y32" s="116">
        <v>0</v>
      </c>
      <c r="Z32" s="116">
        <v>3</v>
      </c>
      <c r="AC32" s="134" t="str">
        <f t="shared" si="4"/>
        <v xml:space="preserve">    - xform/》uat/觀》/</v>
      </c>
      <c r="AF32" s="135" t="str">
        <f t="shared" si="3"/>
        <v xml:space="preserve">    - xform/〉uat/ㄨㄚㆵ〉/</v>
      </c>
    </row>
    <row r="33" spans="1:32" ht="27.75" thickBot="1">
      <c r="A33" s="123">
        <v>30</v>
      </c>
      <c r="B33" s="124" t="s">
        <v>428</v>
      </c>
      <c r="C33" s="125" t="s">
        <v>428</v>
      </c>
      <c r="D33" s="126" t="s">
        <v>428</v>
      </c>
      <c r="E33" s="126" t="s">
        <v>428</v>
      </c>
      <c r="F33" s="126" t="s">
        <v>428</v>
      </c>
      <c r="G33" s="126" t="s">
        <v>428</v>
      </c>
      <c r="H33" s="126" t="s">
        <v>892</v>
      </c>
      <c r="I33" s="126" t="s">
        <v>892</v>
      </c>
      <c r="J33" s="127" t="s">
        <v>893</v>
      </c>
      <c r="K33" s="127" t="s">
        <v>894</v>
      </c>
      <c r="L33" s="127" t="s">
        <v>895</v>
      </c>
      <c r="M33" s="126"/>
      <c r="N33" s="127">
        <f xml:space="preserve"> LEN(韻母對照表[[#This Row],[台羅拼音]])</f>
        <v>3</v>
      </c>
      <c r="O33" s="129"/>
      <c r="U33" s="129"/>
      <c r="V33" s="116" t="str">
        <v>ueh</v>
      </c>
      <c r="W33" s="116" t="str">
        <v>檜</v>
      </c>
      <c r="X33" s="116" t="str">
        <v>ㄨㆤㆷ</v>
      </c>
      <c r="Y33" s="116">
        <v>0</v>
      </c>
      <c r="Z33" s="116">
        <v>3</v>
      </c>
      <c r="AC33" s="134" t="str">
        <f t="shared" si="4"/>
        <v xml:space="preserve">    - xform/》ueh/檜》/</v>
      </c>
      <c r="AF33" s="135" t="str">
        <f t="shared" si="3"/>
        <v xml:space="preserve">    - xform/〉ueh/ㄨㆤㆷ〉/</v>
      </c>
    </row>
    <row r="34" spans="1:32" ht="27.75" thickBot="1">
      <c r="A34" s="123">
        <v>31</v>
      </c>
      <c r="B34" s="124" t="s">
        <v>1234</v>
      </c>
      <c r="C34" s="125" t="s">
        <v>429</v>
      </c>
      <c r="D34" s="126" t="s">
        <v>429</v>
      </c>
      <c r="E34" s="126" t="s">
        <v>429</v>
      </c>
      <c r="F34" s="126" t="s">
        <v>429</v>
      </c>
      <c r="G34" s="126" t="s">
        <v>429</v>
      </c>
      <c r="H34" s="126" t="s">
        <v>896</v>
      </c>
      <c r="I34" s="126" t="s">
        <v>896</v>
      </c>
      <c r="J34" s="127" t="s">
        <v>884</v>
      </c>
      <c r="K34" s="127" t="s">
        <v>897</v>
      </c>
      <c r="L34" s="127" t="s">
        <v>898</v>
      </c>
      <c r="M34" s="126"/>
      <c r="N34" s="127">
        <f xml:space="preserve"> LEN(韻母對照表[[#This Row],[台羅拼音]])</f>
        <v>4</v>
      </c>
      <c r="O34" s="129"/>
      <c r="U34" s="129"/>
      <c r="V34" s="116" t="str">
        <v>uih</v>
      </c>
      <c r="W34" s="116" t="str">
        <v>褌</v>
      </c>
      <c r="X34" s="116" t="str">
        <v>ㄨㄧㆷ</v>
      </c>
      <c r="Y34" s="116">
        <v>0</v>
      </c>
      <c r="Z34" s="116">
        <v>3</v>
      </c>
      <c r="AC34" s="134" t="str">
        <f t="shared" si="4"/>
        <v xml:space="preserve">    - xform/》uih/褌》/</v>
      </c>
      <c r="AF34" s="135" t="str">
        <f t="shared" si="3"/>
        <v xml:space="preserve">    - xform/〉uih/ㄨㄧㆷ〉/</v>
      </c>
    </row>
    <row r="35" spans="1:32" ht="27.75" thickBot="1">
      <c r="A35" s="123">
        <v>32</v>
      </c>
      <c r="B35" s="124" t="s">
        <v>1235</v>
      </c>
      <c r="C35" s="125" t="s">
        <v>430</v>
      </c>
      <c r="D35" s="126" t="s">
        <v>430</v>
      </c>
      <c r="E35" s="126" t="s">
        <v>430</v>
      </c>
      <c r="F35" s="126" t="s">
        <v>431</v>
      </c>
      <c r="G35" s="126" t="s">
        <v>899</v>
      </c>
      <c r="H35" s="126" t="s">
        <v>900</v>
      </c>
      <c r="I35" s="126" t="s">
        <v>901</v>
      </c>
      <c r="J35" s="127" t="s">
        <v>902</v>
      </c>
      <c r="K35" s="127" t="s">
        <v>783</v>
      </c>
      <c r="L35" s="127" t="s">
        <v>903</v>
      </c>
      <c r="M35" s="126" t="s">
        <v>791</v>
      </c>
      <c r="N35" s="127">
        <f xml:space="preserve"> LEN(韻母對照表[[#This Row],[台羅拼音]])</f>
        <v>4</v>
      </c>
      <c r="O35" s="129"/>
      <c r="U35" s="129"/>
      <c r="V35" s="116" t="str">
        <v>unn</v>
      </c>
      <c r="W35" s="116">
        <v>0</v>
      </c>
      <c r="X35" s="116" t="str">
        <v>ㆫ</v>
      </c>
      <c r="Y35" s="116">
        <v>0</v>
      </c>
      <c r="Z35" s="116">
        <v>3</v>
      </c>
      <c r="AC35" s="134" t="str">
        <f t="shared" si="4"/>
        <v xml:space="preserve">    - xform/》unn/0》/</v>
      </c>
      <c r="AF35" s="135" t="str">
        <f t="shared" si="3"/>
        <v xml:space="preserve">    - xform/〉unn/ㆫ〉/</v>
      </c>
    </row>
    <row r="36" spans="1:32" ht="30.75" thickBot="1">
      <c r="A36" s="123">
        <v>33</v>
      </c>
      <c r="B36" s="124" t="s">
        <v>1236</v>
      </c>
      <c r="C36" s="125" t="s">
        <v>1156</v>
      </c>
      <c r="D36" s="130" t="s">
        <v>432</v>
      </c>
      <c r="E36" s="130" t="s">
        <v>432</v>
      </c>
      <c r="F36" s="130" t="s">
        <v>432</v>
      </c>
      <c r="G36" s="130" t="s">
        <v>904</v>
      </c>
      <c r="H36" s="130" t="s">
        <v>905</v>
      </c>
      <c r="I36" s="130" t="s">
        <v>906</v>
      </c>
      <c r="J36" s="127" t="s">
        <v>875</v>
      </c>
      <c r="K36" s="127" t="s">
        <v>907</v>
      </c>
      <c r="L36" s="131" t="s">
        <v>908</v>
      </c>
      <c r="M36" s="126" t="s">
        <v>791</v>
      </c>
      <c r="N36" s="127">
        <f xml:space="preserve"> LEN(韻母對照表[[#This Row],[台羅拼音]])</f>
        <v>5</v>
      </c>
      <c r="O36" s="129"/>
      <c r="U36" s="129"/>
      <c r="V36" s="116" t="str">
        <v>ah</v>
      </c>
      <c r="W36" s="116" t="str">
        <v>膠</v>
      </c>
      <c r="X36" s="116" t="str">
        <v>ㄚㆷ</v>
      </c>
      <c r="Y36" s="116">
        <v>0</v>
      </c>
      <c r="Z36" s="116">
        <v>2</v>
      </c>
      <c r="AC36" s="134" t="str">
        <f t="shared" si="4"/>
        <v xml:space="preserve">    - xform/》ah/膠》/</v>
      </c>
      <c r="AF36" s="135" t="str">
        <f t="shared" si="3"/>
        <v xml:space="preserve">    - xform/〉ah/ㄚㆷ〉/</v>
      </c>
    </row>
    <row r="37" spans="1:32" ht="27.75" thickBot="1">
      <c r="A37" s="123">
        <v>34</v>
      </c>
      <c r="B37" s="124" t="s">
        <v>1237</v>
      </c>
      <c r="C37" s="125" t="s">
        <v>433</v>
      </c>
      <c r="D37" s="126" t="s">
        <v>433</v>
      </c>
      <c r="E37" s="126" t="s">
        <v>433</v>
      </c>
      <c r="F37" s="126" t="s">
        <v>433</v>
      </c>
      <c r="G37" s="126" t="s">
        <v>433</v>
      </c>
      <c r="H37" s="126" t="s">
        <v>909</v>
      </c>
      <c r="I37" s="126" t="s">
        <v>910</v>
      </c>
      <c r="J37" s="127" t="s">
        <v>889</v>
      </c>
      <c r="K37" s="127" t="s">
        <v>911</v>
      </c>
      <c r="L37" s="127" t="s">
        <v>912</v>
      </c>
      <c r="M37" s="126"/>
      <c r="N37" s="127">
        <f xml:space="preserve"> LEN(韻母對照表[[#This Row],[台羅拼音]])</f>
        <v>3</v>
      </c>
      <c r="O37" s="129"/>
      <c r="U37" s="129"/>
      <c r="V37" s="116" t="str">
        <v>ai</v>
      </c>
      <c r="W37" s="116" t="str">
        <v>皆</v>
      </c>
      <c r="X37" s="116" t="str">
        <v>ㄞ</v>
      </c>
      <c r="Y37" s="116">
        <v>0</v>
      </c>
      <c r="Z37" s="116">
        <v>2</v>
      </c>
      <c r="AC37" s="134" t="str">
        <f t="shared" si="4"/>
        <v xml:space="preserve">    - xform/》ai/皆》/</v>
      </c>
      <c r="AF37" s="135" t="str">
        <f t="shared" si="3"/>
        <v xml:space="preserve">    - xform/〉ai/ㄞ〉/</v>
      </c>
    </row>
    <row r="38" spans="1:32" ht="27.75" thickBot="1">
      <c r="A38" s="123">
        <v>35</v>
      </c>
      <c r="B38" s="124" t="s">
        <v>1238</v>
      </c>
      <c r="C38" s="125" t="s">
        <v>434</v>
      </c>
      <c r="D38" s="126" t="s">
        <v>434</v>
      </c>
      <c r="E38" s="126" t="s">
        <v>434</v>
      </c>
      <c r="F38" s="126" t="s">
        <v>434</v>
      </c>
      <c r="G38" s="126" t="s">
        <v>434</v>
      </c>
      <c r="H38" s="126" t="s">
        <v>913</v>
      </c>
      <c r="I38" s="126" t="s">
        <v>914</v>
      </c>
      <c r="J38" s="127" t="s">
        <v>893</v>
      </c>
      <c r="K38" s="127" t="s">
        <v>915</v>
      </c>
      <c r="L38" s="127" t="s">
        <v>916</v>
      </c>
      <c r="M38" s="126"/>
      <c r="N38" s="127">
        <f xml:space="preserve"> LEN(韻母對照表[[#This Row],[台羅拼音]])</f>
        <v>3</v>
      </c>
      <c r="O38" s="129"/>
      <c r="U38" s="129"/>
      <c r="V38" s="116" t="str">
        <v>ak</v>
      </c>
      <c r="W38" s="116" t="str">
        <v>江</v>
      </c>
      <c r="X38" s="116" t="str">
        <v>ㄚㆻ</v>
      </c>
      <c r="Y38" s="116">
        <v>0</v>
      </c>
      <c r="Z38" s="116">
        <v>2</v>
      </c>
      <c r="AC38" s="134" t="str">
        <f t="shared" si="4"/>
        <v xml:space="preserve">    - xform/》ak/江》/</v>
      </c>
      <c r="AF38" s="135" t="str">
        <f t="shared" si="3"/>
        <v xml:space="preserve">    - xform/〉ak/ㄚㆻ〉/</v>
      </c>
    </row>
    <row r="39" spans="1:32" ht="27.75" thickBot="1">
      <c r="A39" s="123">
        <v>36</v>
      </c>
      <c r="B39" s="124" t="s">
        <v>1239</v>
      </c>
      <c r="C39" s="125" t="s">
        <v>435</v>
      </c>
      <c r="D39" s="126" t="s">
        <v>435</v>
      </c>
      <c r="E39" s="126" t="s">
        <v>435</v>
      </c>
      <c r="F39" s="126" t="s">
        <v>436</v>
      </c>
      <c r="G39" s="126" t="s">
        <v>435</v>
      </c>
      <c r="H39" s="126" t="s">
        <v>917</v>
      </c>
      <c r="I39" s="126" t="s">
        <v>917</v>
      </c>
      <c r="J39" s="127" t="s">
        <v>918</v>
      </c>
      <c r="K39" s="127" t="s">
        <v>919</v>
      </c>
      <c r="L39" s="127" t="s">
        <v>920</v>
      </c>
      <c r="M39" s="126"/>
      <c r="N39" s="127">
        <f xml:space="preserve"> LEN(韻母對照表[[#This Row],[台羅拼音]])</f>
        <v>3</v>
      </c>
      <c r="O39" s="129"/>
      <c r="U39" s="129"/>
      <c r="V39" s="116" t="str">
        <v>am</v>
      </c>
      <c r="W39" s="116" t="str">
        <v>甘</v>
      </c>
      <c r="X39" s="116" t="str">
        <v>ㆰ</v>
      </c>
      <c r="Y39" s="116">
        <v>0</v>
      </c>
      <c r="Z39" s="116">
        <v>2</v>
      </c>
      <c r="AC39" s="134" t="str">
        <f t="shared" si="4"/>
        <v xml:space="preserve">    - xform/》am/甘》/</v>
      </c>
      <c r="AF39" s="135" t="str">
        <f t="shared" si="3"/>
        <v xml:space="preserve">    - xform/〉am/ㆰ〉/</v>
      </c>
    </row>
    <row r="40" spans="1:32" ht="27.75" thickBot="1">
      <c r="A40" s="123">
        <v>37</v>
      </c>
      <c r="B40" s="124" t="s">
        <v>1240</v>
      </c>
      <c r="C40" s="125" t="s">
        <v>437</v>
      </c>
      <c r="D40" s="126" t="s">
        <v>437</v>
      </c>
      <c r="E40" s="126" t="s">
        <v>437</v>
      </c>
      <c r="F40" s="126" t="s">
        <v>438</v>
      </c>
      <c r="G40" s="126" t="s">
        <v>437</v>
      </c>
      <c r="H40" s="126" t="s">
        <v>921</v>
      </c>
      <c r="I40" s="126" t="s">
        <v>922</v>
      </c>
      <c r="J40" s="127" t="s">
        <v>918</v>
      </c>
      <c r="K40" s="127" t="s">
        <v>923</v>
      </c>
      <c r="L40" s="127" t="s">
        <v>924</v>
      </c>
      <c r="M40" s="126"/>
      <c r="N40" s="127">
        <f xml:space="preserve"> LEN(韻母對照表[[#This Row],[台羅拼音]])</f>
        <v>4</v>
      </c>
      <c r="O40" s="129"/>
      <c r="U40" s="129"/>
      <c r="V40" s="116" t="str">
        <v>an</v>
      </c>
      <c r="W40" s="116" t="str">
        <v>干</v>
      </c>
      <c r="X40" s="116" t="str">
        <v>ㄢ</v>
      </c>
      <c r="Y40" s="116">
        <v>0</v>
      </c>
      <c r="Z40" s="116">
        <v>2</v>
      </c>
      <c r="AC40" s="134" t="str">
        <f t="shared" si="4"/>
        <v xml:space="preserve">    - xform/》an/干》/</v>
      </c>
      <c r="AF40" s="135" t="str">
        <f t="shared" si="3"/>
        <v xml:space="preserve">    - xform/〉an/ㄢ〉/</v>
      </c>
    </row>
    <row r="41" spans="1:32" ht="27.75" thickBot="1">
      <c r="A41" s="123">
        <v>38</v>
      </c>
      <c r="B41" s="124" t="str">
        <f xml:space="preserve"> _xlfn.CONCAT("i", "a", _xlfn.UNICHAR(771), "ʊ")</f>
        <v>iãʊ</v>
      </c>
      <c r="C41" s="125" t="s">
        <v>439</v>
      </c>
      <c r="D41" s="126" t="s">
        <v>439</v>
      </c>
      <c r="E41" s="126" t="s">
        <v>439</v>
      </c>
      <c r="F41" s="126" t="s">
        <v>440</v>
      </c>
      <c r="G41" s="126" t="s">
        <v>925</v>
      </c>
      <c r="H41" s="126" t="s">
        <v>926</v>
      </c>
      <c r="I41" s="126" t="s">
        <v>927</v>
      </c>
      <c r="J41" s="127" t="s">
        <v>928</v>
      </c>
      <c r="K41" s="127" t="s">
        <v>929</v>
      </c>
      <c r="L41" s="127" t="s">
        <v>930</v>
      </c>
      <c r="M41" s="126" t="s">
        <v>791</v>
      </c>
      <c r="N41" s="127">
        <f xml:space="preserve"> LEN(韻母對照表[[#This Row],[台羅拼音]])</f>
        <v>5</v>
      </c>
      <c r="O41" s="129"/>
      <c r="U41" s="129"/>
      <c r="V41" s="116" t="str">
        <v>ap</v>
      </c>
      <c r="W41" s="116" t="str">
        <v>甘</v>
      </c>
      <c r="X41" s="116" t="str">
        <v>ㄚㆴ</v>
      </c>
      <c r="Y41" s="116">
        <v>0</v>
      </c>
      <c r="Z41" s="116">
        <v>2</v>
      </c>
      <c r="AC41" s="134" t="str">
        <f t="shared" si="4"/>
        <v xml:space="preserve">    - xform/》ap/甘》/</v>
      </c>
      <c r="AF41" s="135" t="str">
        <f t="shared" si="3"/>
        <v xml:space="preserve">    - xform/〉ap/ㄚㆴ〉/</v>
      </c>
    </row>
    <row r="42" spans="1:32" ht="27.75" thickBot="1">
      <c r="A42" s="123">
        <v>39</v>
      </c>
      <c r="B42" s="124" t="s">
        <v>441</v>
      </c>
      <c r="C42" s="125" t="s">
        <v>442</v>
      </c>
      <c r="D42" s="126" t="s">
        <v>442</v>
      </c>
      <c r="E42" s="126" t="s">
        <v>442</v>
      </c>
      <c r="F42" s="126" t="s">
        <v>442</v>
      </c>
      <c r="G42" s="126" t="s">
        <v>442</v>
      </c>
      <c r="H42" s="126" t="s">
        <v>931</v>
      </c>
      <c r="I42" s="126" t="s">
        <v>932</v>
      </c>
      <c r="J42" s="127" t="s">
        <v>871</v>
      </c>
      <c r="K42" s="127" t="s">
        <v>933</v>
      </c>
      <c r="L42" s="127" t="s">
        <v>934</v>
      </c>
      <c r="M42" s="126"/>
      <c r="N42" s="127">
        <f xml:space="preserve"> LEN(韻母對照表[[#This Row],[台羅拼音]])</f>
        <v>2</v>
      </c>
      <c r="O42" s="129"/>
      <c r="U42" s="129"/>
      <c r="V42" s="116" t="str">
        <v>at</v>
      </c>
      <c r="W42" s="116" t="str">
        <v>干</v>
      </c>
      <c r="X42" s="116" t="str">
        <v>ㄚㆵ</v>
      </c>
      <c r="Y42" s="116">
        <v>0</v>
      </c>
      <c r="Z42" s="116">
        <v>2</v>
      </c>
      <c r="AC42" s="134" t="str">
        <f t="shared" si="4"/>
        <v xml:space="preserve">    - xform/》at/干》/</v>
      </c>
      <c r="AF42" s="135" t="str">
        <f t="shared" si="3"/>
        <v xml:space="preserve">    - xform/〉at/ㄚㆵ〉/</v>
      </c>
    </row>
    <row r="43" spans="1:32" ht="27.75" thickBot="1">
      <c r="A43" s="123">
        <v>40</v>
      </c>
      <c r="B43" s="124" t="s">
        <v>443</v>
      </c>
      <c r="C43" s="125" t="s">
        <v>444</v>
      </c>
      <c r="D43" s="126" t="s">
        <v>444</v>
      </c>
      <c r="E43" s="126" t="s">
        <v>445</v>
      </c>
      <c r="F43" s="126" t="s">
        <v>444</v>
      </c>
      <c r="G43" s="126" t="s">
        <v>446</v>
      </c>
      <c r="H43" s="126" t="s">
        <v>935</v>
      </c>
      <c r="I43" s="126" t="s">
        <v>936</v>
      </c>
      <c r="J43" s="127" t="s">
        <v>855</v>
      </c>
      <c r="K43" s="127" t="s">
        <v>937</v>
      </c>
      <c r="L43" s="127" t="s">
        <v>938</v>
      </c>
      <c r="M43" s="126"/>
      <c r="N43" s="127">
        <f xml:space="preserve"> LEN(韻母對照表[[#This Row],[台羅拼音]])</f>
        <v>2</v>
      </c>
      <c r="O43" s="129"/>
      <c r="U43" s="129"/>
      <c r="V43" s="116" t="str">
        <v>au</v>
      </c>
      <c r="W43" s="116" t="str">
        <v>交</v>
      </c>
      <c r="X43" s="116" t="str">
        <v>ㄠ</v>
      </c>
      <c r="Y43" s="116">
        <v>0</v>
      </c>
      <c r="Z43" s="116">
        <v>2</v>
      </c>
      <c r="AC43" s="134" t="str">
        <f t="shared" si="4"/>
        <v xml:space="preserve">    - xform/》au/交》/</v>
      </c>
      <c r="AF43" s="135" t="str">
        <f t="shared" si="3"/>
        <v xml:space="preserve">    - xform/〉au/ㄠ〉/</v>
      </c>
    </row>
    <row r="44" spans="1:32" ht="27.75" thickBot="1">
      <c r="A44" s="123">
        <v>41</v>
      </c>
      <c r="B44" s="124" t="s">
        <v>447</v>
      </c>
      <c r="C44" s="125" t="s">
        <v>448</v>
      </c>
      <c r="D44" s="126" t="s">
        <v>448</v>
      </c>
      <c r="E44" s="126" t="s">
        <v>448</v>
      </c>
      <c r="F44" s="126" t="s">
        <v>448</v>
      </c>
      <c r="G44" s="126" t="s">
        <v>448</v>
      </c>
      <c r="H44" s="126" t="s">
        <v>939</v>
      </c>
      <c r="I44" s="126" t="s">
        <v>940</v>
      </c>
      <c r="J44" s="127" t="s">
        <v>941</v>
      </c>
      <c r="K44" s="127" t="s">
        <v>942</v>
      </c>
      <c r="L44" s="127" t="s">
        <v>943</v>
      </c>
      <c r="M44" s="126"/>
      <c r="N44" s="127">
        <f xml:space="preserve"> LEN(韻母對照表[[#This Row],[台羅拼音]])</f>
        <v>2</v>
      </c>
      <c r="O44" s="129"/>
      <c r="U44" s="129"/>
      <c r="V44" s="116" t="str">
        <v>eh</v>
      </c>
      <c r="W44" s="116" t="str">
        <v>伽</v>
      </c>
      <c r="X44" s="116" t="str">
        <v>ㆤㆷ</v>
      </c>
      <c r="Y44" s="116">
        <v>0</v>
      </c>
      <c r="Z44" s="116">
        <v>2</v>
      </c>
      <c r="AC44" s="134" t="str">
        <f t="shared" si="4"/>
        <v xml:space="preserve">    - xform/》eh/伽》/</v>
      </c>
      <c r="AF44" s="135" t="str">
        <f t="shared" si="3"/>
        <v xml:space="preserve">    - xform/〉eh/ㆤㆷ〉/</v>
      </c>
    </row>
    <row r="45" spans="1:32" ht="27.75" thickBot="1">
      <c r="A45" s="123">
        <v>42</v>
      </c>
      <c r="B45" s="124" t="s">
        <v>449</v>
      </c>
      <c r="C45" s="125" t="s">
        <v>450</v>
      </c>
      <c r="D45" s="126" t="s">
        <v>450</v>
      </c>
      <c r="E45" s="126" t="s">
        <v>450</v>
      </c>
      <c r="F45" s="126" t="s">
        <v>450</v>
      </c>
      <c r="G45" s="126" t="s">
        <v>450</v>
      </c>
      <c r="H45" s="126" t="s">
        <v>944</v>
      </c>
      <c r="I45" s="126" t="s">
        <v>944</v>
      </c>
      <c r="J45" s="127" t="s">
        <v>945</v>
      </c>
      <c r="K45" s="127" t="s">
        <v>946</v>
      </c>
      <c r="L45" s="127" t="s">
        <v>947</v>
      </c>
      <c r="M45" s="126"/>
      <c r="N45" s="127">
        <f xml:space="preserve"> LEN(韻母對照表[[#This Row],[台羅拼音]])</f>
        <v>2</v>
      </c>
      <c r="O45" s="129"/>
      <c r="U45" s="129"/>
      <c r="V45" s="116" t="str">
        <v>ia</v>
      </c>
      <c r="W45" s="116" t="str">
        <v>迦</v>
      </c>
      <c r="X45" s="116" t="str">
        <v>ㄧㄚ</v>
      </c>
      <c r="Y45" s="116">
        <v>0</v>
      </c>
      <c r="Z45" s="116">
        <v>2</v>
      </c>
      <c r="AC45" s="134" t="str">
        <f t="shared" si="4"/>
        <v xml:space="preserve">    - xform/》ia/迦》/</v>
      </c>
      <c r="AF45" s="135" t="str">
        <f t="shared" si="3"/>
        <v xml:space="preserve">    - xform/〉ia/ㄧㄚ〉/</v>
      </c>
    </row>
    <row r="46" spans="1:32" ht="27.75" thickBot="1">
      <c r="A46" s="123">
        <v>43</v>
      </c>
      <c r="B46" s="124" t="s">
        <v>948</v>
      </c>
      <c r="C46" s="125" t="s">
        <v>451</v>
      </c>
      <c r="D46" s="126" t="s">
        <v>451</v>
      </c>
      <c r="E46" s="126" t="s">
        <v>451</v>
      </c>
      <c r="F46" s="126" t="s">
        <v>451</v>
      </c>
      <c r="G46" s="126" t="s">
        <v>452</v>
      </c>
      <c r="H46" s="126" t="s">
        <v>949</v>
      </c>
      <c r="I46" s="126" t="s">
        <v>949</v>
      </c>
      <c r="J46" s="127" t="s">
        <v>855</v>
      </c>
      <c r="K46" s="127" t="s">
        <v>950</v>
      </c>
      <c r="L46" s="127" t="s">
        <v>951</v>
      </c>
      <c r="M46" s="126"/>
      <c r="N46" s="127">
        <f xml:space="preserve"> LEN(韻母對照表[[#This Row],[台羅拼音]])</f>
        <v>3</v>
      </c>
      <c r="O46" s="129"/>
      <c r="U46" s="129"/>
      <c r="V46" s="116" t="str">
        <v>ih</v>
      </c>
      <c r="W46" s="116" t="str">
        <v>居</v>
      </c>
      <c r="X46" s="116" t="str">
        <v>ㄧㆷ</v>
      </c>
      <c r="Y46" s="116">
        <v>0</v>
      </c>
      <c r="Z46" s="116">
        <v>2</v>
      </c>
      <c r="AC46" s="134" t="str">
        <f t="shared" si="4"/>
        <v xml:space="preserve">    - xform/》ih/居》/</v>
      </c>
      <c r="AF46" s="135" t="str">
        <f t="shared" si="3"/>
        <v xml:space="preserve">    - xform/〉ih/ㄧㆷ〉/</v>
      </c>
    </row>
    <row r="47" spans="1:32" ht="27.75" thickBot="1">
      <c r="A47" s="123">
        <v>44</v>
      </c>
      <c r="B47" s="124" t="s">
        <v>453</v>
      </c>
      <c r="C47" s="125" t="s">
        <v>454</v>
      </c>
      <c r="D47" s="126" t="s">
        <v>454</v>
      </c>
      <c r="E47" s="126" t="s">
        <v>454</v>
      </c>
      <c r="F47" s="126" t="s">
        <v>455</v>
      </c>
      <c r="G47" s="126" t="s">
        <v>952</v>
      </c>
      <c r="H47" s="126" t="s">
        <v>172</v>
      </c>
      <c r="I47" s="126" t="s">
        <v>953</v>
      </c>
      <c r="J47" s="127" t="s">
        <v>954</v>
      </c>
      <c r="K47" s="127" t="s">
        <v>955</v>
      </c>
      <c r="L47" s="127" t="s">
        <v>956</v>
      </c>
      <c r="M47" s="126" t="s">
        <v>791</v>
      </c>
      <c r="N47" s="127">
        <f xml:space="preserve"> LEN(韻母對照表[[#This Row],[台羅拼音]])</f>
        <v>3</v>
      </c>
      <c r="O47" s="129"/>
      <c r="U47" s="129"/>
      <c r="V47" s="116" t="str">
        <v>ik</v>
      </c>
      <c r="W47" s="116" t="str">
        <v>經</v>
      </c>
      <c r="X47" s="116" t="str">
        <v>ㄧㆻ</v>
      </c>
      <c r="Y47" s="116">
        <v>0</v>
      </c>
      <c r="Z47" s="116">
        <v>2</v>
      </c>
      <c r="AC47" s="134" t="str">
        <f t="shared" si="4"/>
        <v xml:space="preserve">    - xform/》ik/經》/</v>
      </c>
      <c r="AF47" s="135" t="str">
        <f t="shared" si="3"/>
        <v xml:space="preserve">    - xform/〉ik/ㄧㆻ〉/</v>
      </c>
    </row>
    <row r="48" spans="1:32" ht="27" thickBot="1">
      <c r="A48" s="123">
        <v>45</v>
      </c>
      <c r="B48" s="124" t="s">
        <v>584</v>
      </c>
      <c r="C48" s="125" t="s">
        <v>39</v>
      </c>
      <c r="D48" s="130"/>
      <c r="E48" s="130"/>
      <c r="F48" s="130"/>
      <c r="G48" s="130"/>
      <c r="H48" s="126" t="s">
        <v>585</v>
      </c>
      <c r="I48" s="126"/>
      <c r="J48" s="131"/>
      <c r="K48" s="127"/>
      <c r="L48" s="131"/>
      <c r="M48" s="126"/>
      <c r="N48" s="127">
        <f xml:space="preserve"> LEN(韻母對照表[[#This Row],[台羅拼音]])</f>
        <v>2</v>
      </c>
      <c r="O48" s="129"/>
      <c r="U48" s="129"/>
      <c r="V48" s="116" t="str">
        <v>im</v>
      </c>
      <c r="W48" s="116" t="str">
        <v>金</v>
      </c>
      <c r="X48" s="116" t="str">
        <v>ㄧㆬ</v>
      </c>
      <c r="Y48" s="116">
        <v>0</v>
      </c>
      <c r="Z48" s="116">
        <v>2</v>
      </c>
      <c r="AC48" s="134" t="str">
        <f t="shared" si="4"/>
        <v xml:space="preserve">    - xform/》im/金》/</v>
      </c>
      <c r="AF48" s="135" t="str">
        <f t="shared" si="3"/>
        <v xml:space="preserve">    - xform/〉im/ㄧㆬ〉/</v>
      </c>
    </row>
    <row r="49" spans="1:32" ht="27" thickBot="1">
      <c r="A49" s="123">
        <v>46</v>
      </c>
      <c r="B49" s="124" t="str">
        <f xml:space="preserve"> _xlfn.CONCAT($B$48, "ʔ")</f>
        <v>ɯʔ</v>
      </c>
      <c r="C49" s="125" t="s">
        <v>583</v>
      </c>
      <c r="D49" s="130"/>
      <c r="E49" s="130"/>
      <c r="F49" s="130"/>
      <c r="G49" s="130"/>
      <c r="H49" s="126" t="s">
        <v>957</v>
      </c>
      <c r="I49" s="126"/>
      <c r="J49" s="131"/>
      <c r="K49" s="127"/>
      <c r="L49" s="131"/>
      <c r="M49" s="126"/>
      <c r="N49" s="127">
        <f xml:space="preserve"> LEN(韻母對照表[[#This Row],[台羅拼音]])</f>
        <v>3</v>
      </c>
      <c r="O49" s="129"/>
      <c r="U49" s="129"/>
      <c r="V49" s="116" t="str">
        <v>in</v>
      </c>
      <c r="W49" s="116" t="str">
        <v>巾</v>
      </c>
      <c r="X49" s="116" t="str">
        <v>ㄧㄣ</v>
      </c>
      <c r="Y49" s="116">
        <v>0</v>
      </c>
      <c r="Z49" s="116">
        <v>2</v>
      </c>
      <c r="AC49" s="134" t="str">
        <f t="shared" si="4"/>
        <v xml:space="preserve">    - xform/》in/巾》/</v>
      </c>
      <c r="AF49" s="135" t="str">
        <f t="shared" si="3"/>
        <v xml:space="preserve">    - xform/〉in/ㄧㄣ〉/</v>
      </c>
    </row>
    <row r="50" spans="1:32" ht="27" thickBot="1">
      <c r="A50" s="123">
        <v>47</v>
      </c>
      <c r="B50" s="124" t="str">
        <f xml:space="preserve"> _xlfn.CONCAT($B$48, "m")</f>
        <v>ɯm</v>
      </c>
      <c r="C50" s="125" t="s">
        <v>582</v>
      </c>
      <c r="D50" s="130"/>
      <c r="E50" s="130"/>
      <c r="F50" s="130"/>
      <c r="G50" s="130"/>
      <c r="H50" s="126" t="s">
        <v>958</v>
      </c>
      <c r="I50" s="126"/>
      <c r="J50" s="131"/>
      <c r="K50" s="127"/>
      <c r="L50" s="131"/>
      <c r="M50" s="126"/>
      <c r="N50" s="127">
        <f xml:space="preserve"> LEN(韻母對照表[[#This Row],[台羅拼音]])</f>
        <v>3</v>
      </c>
      <c r="O50" s="129"/>
      <c r="U50" s="129"/>
      <c r="V50" s="116" t="str">
        <v>io</v>
      </c>
      <c r="W50" s="116" t="str">
        <v>茄</v>
      </c>
      <c r="X50" s="116" t="str">
        <v>ㄧㄜ</v>
      </c>
      <c r="Y50" s="116">
        <v>0</v>
      </c>
      <c r="Z50" s="116">
        <v>2</v>
      </c>
      <c r="AC50" s="134" t="str">
        <f t="shared" si="4"/>
        <v xml:space="preserve">    - xform/》io/茄》/</v>
      </c>
      <c r="AF50" s="135" t="str">
        <f t="shared" si="3"/>
        <v xml:space="preserve">    - xform/〉io/ㄧㄜ〉/</v>
      </c>
    </row>
    <row r="51" spans="1:32" ht="27" thickBot="1">
      <c r="A51" s="123">
        <v>48</v>
      </c>
      <c r="B51" s="124" t="str">
        <f xml:space="preserve"> _xlfn.CONCAT($B$48, "n")</f>
        <v>ɯn</v>
      </c>
      <c r="C51" s="125" t="s">
        <v>577</v>
      </c>
      <c r="D51" s="130"/>
      <c r="E51" s="130"/>
      <c r="F51" s="130"/>
      <c r="G51" s="130"/>
      <c r="H51" s="126" t="s">
        <v>959</v>
      </c>
      <c r="I51" s="126"/>
      <c r="J51" s="131"/>
      <c r="K51" s="127"/>
      <c r="L51" s="131"/>
      <c r="M51" s="126"/>
      <c r="N51" s="127">
        <f xml:space="preserve"> LEN(韻母對照表[[#This Row],[台羅拼音]])</f>
        <v>3</v>
      </c>
      <c r="O51" s="129"/>
      <c r="U51" s="129"/>
      <c r="V51" s="116" t="str">
        <v>ip</v>
      </c>
      <c r="W51" s="116" t="str">
        <v>金</v>
      </c>
      <c r="X51" s="116" t="str">
        <v>一ㆴ</v>
      </c>
      <c r="Y51" s="116">
        <v>0</v>
      </c>
      <c r="Z51" s="116">
        <v>2</v>
      </c>
      <c r="AC51" s="134" t="str">
        <f t="shared" si="4"/>
        <v xml:space="preserve">    - xform/》ip/金》/</v>
      </c>
      <c r="AF51" s="135" t="str">
        <f t="shared" si="3"/>
        <v xml:space="preserve">    - xform/〉ip/一ㆴ〉/</v>
      </c>
    </row>
    <row r="52" spans="1:32" ht="27" thickBot="1">
      <c r="A52" s="123">
        <v>49</v>
      </c>
      <c r="B52" s="124" t="str">
        <f xml:space="preserve"> _xlfn.CONCAT($B$48, "ŋ")</f>
        <v>ɯŋ</v>
      </c>
      <c r="C52" s="125" t="s">
        <v>578</v>
      </c>
      <c r="D52" s="130"/>
      <c r="E52" s="130"/>
      <c r="F52" s="130"/>
      <c r="G52" s="130"/>
      <c r="H52" s="126" t="s">
        <v>960</v>
      </c>
      <c r="I52" s="126"/>
      <c r="J52" s="131"/>
      <c r="K52" s="127"/>
      <c r="L52" s="131"/>
      <c r="M52" s="126"/>
      <c r="N52" s="127">
        <f xml:space="preserve"> LEN(韻母對照表[[#This Row],[台羅拼音]])</f>
        <v>4</v>
      </c>
      <c r="O52" s="129"/>
      <c r="U52" s="129"/>
      <c r="V52" s="116" t="str">
        <v>it</v>
      </c>
      <c r="W52" s="116" t="str">
        <v>巾</v>
      </c>
      <c r="X52" s="116" t="str">
        <v>ㄧㆵ</v>
      </c>
      <c r="Y52" s="116">
        <v>0</v>
      </c>
      <c r="Z52" s="116">
        <v>2</v>
      </c>
      <c r="AC52" s="134" t="str">
        <f t="shared" si="4"/>
        <v xml:space="preserve">    - xform/》it/巾》/</v>
      </c>
      <c r="AF52" s="135" t="str">
        <f t="shared" si="3"/>
        <v xml:space="preserve">    - xform/〉it/ㄧㆵ〉/</v>
      </c>
    </row>
    <row r="53" spans="1:32" ht="27" thickBot="1">
      <c r="A53" s="123">
        <v>50</v>
      </c>
      <c r="B53" s="124" t="str">
        <f xml:space="preserve"> _xlfn.CONCAT($B$48, "p")</f>
        <v>ɯp</v>
      </c>
      <c r="C53" s="125" t="s">
        <v>579</v>
      </c>
      <c r="D53" s="130"/>
      <c r="E53" s="130"/>
      <c r="F53" s="130"/>
      <c r="G53" s="130"/>
      <c r="H53" s="126" t="s">
        <v>961</v>
      </c>
      <c r="I53" s="126"/>
      <c r="J53" s="131"/>
      <c r="K53" s="127"/>
      <c r="L53" s="131"/>
      <c r="M53" s="126"/>
      <c r="N53" s="127">
        <f xml:space="preserve"> LEN(韻母對照表[[#This Row],[台羅拼音]])</f>
        <v>3</v>
      </c>
      <c r="O53" s="129"/>
      <c r="U53" s="129"/>
      <c r="V53" s="116" t="str">
        <v>iu</v>
      </c>
      <c r="W53" s="116" t="str">
        <v>丩</v>
      </c>
      <c r="X53" s="116" t="str">
        <v>ㄧㄨ</v>
      </c>
      <c r="Y53" s="116">
        <v>0</v>
      </c>
      <c r="Z53" s="116">
        <v>2</v>
      </c>
      <c r="AC53" s="134" t="str">
        <f t="shared" si="4"/>
        <v xml:space="preserve">    - xform/》iu/丩》/</v>
      </c>
      <c r="AF53" s="135" t="str">
        <f t="shared" si="3"/>
        <v xml:space="preserve">    - xform/〉iu/ㄧㄨ〉/</v>
      </c>
    </row>
    <row r="54" spans="1:32" ht="27" thickBot="1">
      <c r="A54" s="123">
        <v>51</v>
      </c>
      <c r="B54" s="124" t="str">
        <f xml:space="preserve"> _xlfn.CONCAT($B$48, "t")</f>
        <v>ɯt</v>
      </c>
      <c r="C54" s="125" t="s">
        <v>580</v>
      </c>
      <c r="D54" s="130"/>
      <c r="E54" s="130"/>
      <c r="F54" s="130"/>
      <c r="G54" s="130"/>
      <c r="H54" s="126" t="s">
        <v>962</v>
      </c>
      <c r="I54" s="126"/>
      <c r="J54" s="131"/>
      <c r="K54" s="127"/>
      <c r="L54" s="131"/>
      <c r="M54" s="126"/>
      <c r="N54" s="127">
        <f xml:space="preserve"> LEN(韻母對照表[[#This Row],[台羅拼音]])</f>
        <v>3</v>
      </c>
      <c r="O54" s="129"/>
      <c r="U54" s="129"/>
      <c r="V54" s="116" t="str">
        <v>mh</v>
      </c>
      <c r="W54" s="116" t="str">
        <v>姆</v>
      </c>
      <c r="X54" s="116" t="str">
        <v>ㆬㆷ</v>
      </c>
      <c r="Y54" s="116">
        <v>0</v>
      </c>
      <c r="Z54" s="116">
        <v>2</v>
      </c>
      <c r="AC54" s="134" t="str">
        <f t="shared" si="4"/>
        <v xml:space="preserve">    - xform/》mh/姆》/</v>
      </c>
      <c r="AF54" s="135" t="str">
        <f t="shared" si="3"/>
        <v xml:space="preserve">    - xform/〉mh/ㆬㆷ〉/</v>
      </c>
    </row>
    <row r="55" spans="1:32" ht="27" thickBot="1">
      <c r="A55" s="123">
        <v>52</v>
      </c>
      <c r="B55" s="124" t="str">
        <f xml:space="preserve"> _xlfn.CONCAT($B$48, "k")</f>
        <v>ɯk</v>
      </c>
      <c r="C55" s="125" t="s">
        <v>581</v>
      </c>
      <c r="D55" s="130"/>
      <c r="E55" s="130"/>
      <c r="F55" s="130"/>
      <c r="G55" s="130"/>
      <c r="H55" s="126" t="s">
        <v>963</v>
      </c>
      <c r="I55" s="126"/>
      <c r="J55" s="131"/>
      <c r="K55" s="127"/>
      <c r="L55" s="131"/>
      <c r="M55" s="126"/>
      <c r="N55" s="127">
        <f xml:space="preserve"> LEN(韻母對照表[[#This Row],[台羅拼音]])</f>
        <v>3</v>
      </c>
      <c r="O55" s="129"/>
      <c r="U55" s="129"/>
      <c r="V55" s="116" t="str">
        <v>ng</v>
      </c>
      <c r="W55" s="116" t="str">
        <v>鋼</v>
      </c>
      <c r="X55" s="116" t="str">
        <v>ㆭ</v>
      </c>
      <c r="Y55" s="116">
        <v>0</v>
      </c>
      <c r="Z55" s="116">
        <v>2</v>
      </c>
      <c r="AC55" s="134" t="str">
        <f t="shared" si="4"/>
        <v xml:space="preserve">    - xform/》ng/鋼》/</v>
      </c>
      <c r="AF55" s="135" t="str">
        <f t="shared" si="3"/>
        <v xml:space="preserve">    - xform/〉ng/ㆭ〉/</v>
      </c>
    </row>
    <row r="56" spans="1:32" ht="27.75" thickBot="1">
      <c r="A56" s="123">
        <v>53</v>
      </c>
      <c r="B56" s="124" t="str">
        <f xml:space="preserve"> _xlfn.CONCAT("i", "ə")</f>
        <v>iə</v>
      </c>
      <c r="C56" s="125" t="s">
        <v>457</v>
      </c>
      <c r="D56" s="126" t="s">
        <v>457</v>
      </c>
      <c r="E56" s="126" t="s">
        <v>458</v>
      </c>
      <c r="F56" s="126" t="s">
        <v>457</v>
      </c>
      <c r="G56" s="126" t="s">
        <v>457</v>
      </c>
      <c r="H56" s="126" t="s">
        <v>964</v>
      </c>
      <c r="I56" s="126" t="s">
        <v>964</v>
      </c>
      <c r="J56" s="127" t="s">
        <v>965</v>
      </c>
      <c r="K56" s="127" t="s">
        <v>966</v>
      </c>
      <c r="L56" s="127" t="s">
        <v>967</v>
      </c>
      <c r="M56" s="126"/>
      <c r="N56" s="127">
        <f xml:space="preserve"> LEN(韻母對照表[[#This Row],[台羅拼音]])</f>
        <v>2</v>
      </c>
      <c r="O56" s="129"/>
      <c r="U56" s="129"/>
      <c r="V56" s="116" t="str">
        <v>oh</v>
      </c>
      <c r="W56" s="116" t="str">
        <v>高</v>
      </c>
      <c r="X56" s="116" t="str">
        <v>ㄜㆷ</v>
      </c>
      <c r="Y56" s="116">
        <v>0</v>
      </c>
      <c r="Z56" s="116">
        <v>2</v>
      </c>
      <c r="AC56" s="134" t="str">
        <f t="shared" si="4"/>
        <v xml:space="preserve">    - xform/》oh/高》/</v>
      </c>
      <c r="AF56" s="135" t="str">
        <f t="shared" si="3"/>
        <v xml:space="preserve">    - xform/〉oh/ㄜㆷ〉/</v>
      </c>
    </row>
    <row r="57" spans="1:32" ht="27.75" thickBot="1">
      <c r="A57" s="123">
        <v>54</v>
      </c>
      <c r="B57" s="124" t="str">
        <f xml:space="preserve"> _xlfn.CONCAT(B56, "ʔ")</f>
        <v>iəʔ</v>
      </c>
      <c r="C57" s="125" t="s">
        <v>459</v>
      </c>
      <c r="D57" s="126" t="s">
        <v>459</v>
      </c>
      <c r="E57" s="126" t="s">
        <v>460</v>
      </c>
      <c r="F57" s="126" t="s">
        <v>459</v>
      </c>
      <c r="G57" s="126" t="s">
        <v>459</v>
      </c>
      <c r="H57" s="126" t="s">
        <v>968</v>
      </c>
      <c r="I57" s="126" t="s">
        <v>969</v>
      </c>
      <c r="J57" s="127" t="s">
        <v>965</v>
      </c>
      <c r="K57" s="127" t="s">
        <v>970</v>
      </c>
      <c r="L57" s="127" t="s">
        <v>971</v>
      </c>
      <c r="M57" s="126"/>
      <c r="N57" s="127">
        <f xml:space="preserve"> LEN(韻母對照表[[#This Row],[台羅拼音]])</f>
        <v>3</v>
      </c>
      <c r="V57" s="116" t="str">
        <v>ok</v>
      </c>
      <c r="W57" s="116" t="str">
        <v>公</v>
      </c>
      <c r="X57" s="116" t="str">
        <v>ㆦㆻ</v>
      </c>
      <c r="Y57" s="116">
        <v>0</v>
      </c>
      <c r="Z57" s="116">
        <v>2</v>
      </c>
      <c r="AC57" s="134" t="str">
        <f t="shared" si="4"/>
        <v xml:space="preserve">    - xform/》ok/公》/</v>
      </c>
      <c r="AF57" s="135" t="str">
        <f t="shared" si="3"/>
        <v xml:space="preserve">    - xform/〉ok/ㆦㆻ〉/</v>
      </c>
    </row>
    <row r="58" spans="1:32" ht="30.75" thickBot="1">
      <c r="A58" s="123">
        <v>55</v>
      </c>
      <c r="B58" s="124" t="s">
        <v>1212</v>
      </c>
      <c r="C58" s="125" t="s">
        <v>1210</v>
      </c>
      <c r="D58" s="130" t="s">
        <v>1210</v>
      </c>
      <c r="E58" s="130" t="s">
        <v>1210</v>
      </c>
      <c r="F58" s="130" t="s">
        <v>1210</v>
      </c>
      <c r="G58" s="130" t="s">
        <v>1210</v>
      </c>
      <c r="H58" s="180" t="s">
        <v>1219</v>
      </c>
      <c r="I58" s="180" t="s">
        <v>1220</v>
      </c>
      <c r="J58" s="131"/>
      <c r="K58" s="127"/>
      <c r="L58" s="131"/>
      <c r="M58" s="126"/>
      <c r="N58" s="127">
        <f xml:space="preserve"> LEN(韻母對照表[[#This Row],[台羅拼音]])</f>
        <v>3</v>
      </c>
      <c r="V58" s="116" t="str">
        <v>om</v>
      </c>
      <c r="W58" s="116" t="str">
        <v>箴</v>
      </c>
      <c r="X58" s="116" t="str">
        <v>ㆱ</v>
      </c>
      <c r="Y58" s="116">
        <v>0</v>
      </c>
      <c r="Z58" s="116">
        <v>2</v>
      </c>
      <c r="AC58" s="134" t="str">
        <f t="shared" si="4"/>
        <v xml:space="preserve">    - xform/》om/箴》/</v>
      </c>
      <c r="AF58" s="135" t="str">
        <f t="shared" si="3"/>
        <v xml:space="preserve">    - xform/〉om/ㆱ〉/</v>
      </c>
    </row>
    <row r="59" spans="1:32" ht="30.75" thickBot="1">
      <c r="A59" s="123">
        <v>57</v>
      </c>
      <c r="B59" s="124" t="str">
        <f xml:space="preserve"> _xlfn.CONCAT(B58, "ʔ")</f>
        <v>iɔʔ</v>
      </c>
      <c r="C59" s="125" t="s">
        <v>1227</v>
      </c>
      <c r="D59" s="130" t="s">
        <v>1227</v>
      </c>
      <c r="E59" s="130" t="s">
        <v>1227</v>
      </c>
      <c r="F59" s="130"/>
      <c r="G59" s="130"/>
      <c r="H59" s="180" t="s">
        <v>1228</v>
      </c>
      <c r="I59" s="180" t="s">
        <v>1229</v>
      </c>
      <c r="J59" s="131"/>
      <c r="K59" s="127"/>
      <c r="L59" s="131"/>
      <c r="M59" s="126"/>
      <c r="N59" s="127">
        <f xml:space="preserve"> LEN(韻母對照表[[#This Row],[台羅拼音]])</f>
        <v>4</v>
      </c>
      <c r="V59" s="116" t="str">
        <v>oo</v>
      </c>
      <c r="W59" s="116" t="str">
        <v>沽</v>
      </c>
      <c r="X59" s="116" t="str">
        <v>ㆦ</v>
      </c>
      <c r="Y59" s="116">
        <v>0</v>
      </c>
      <c r="Z59" s="116">
        <v>2</v>
      </c>
      <c r="AC59" s="134" t="str">
        <f t="shared" si="4"/>
        <v xml:space="preserve">    - xform/》oo/沽》/</v>
      </c>
      <c r="AF59" s="135" t="str">
        <f t="shared" si="3"/>
        <v xml:space="preserve">    - xform/〉oo/ㆦ〉/</v>
      </c>
    </row>
    <row r="60" spans="1:32" ht="27" thickBot="1">
      <c r="A60" s="123">
        <v>56</v>
      </c>
      <c r="B60" s="124" t="str">
        <f xml:space="preserve"> _xlfn.CONCAT("i", "ɔ", _xlfn.UNICHAR(771))</f>
        <v>iɔ̃</v>
      </c>
      <c r="C60" s="125" t="s">
        <v>1211</v>
      </c>
      <c r="D60" s="130" t="s">
        <v>468</v>
      </c>
      <c r="E60" s="130" t="s">
        <v>469</v>
      </c>
      <c r="F60" s="130" t="s">
        <v>470</v>
      </c>
      <c r="G60" s="130" t="s">
        <v>1213</v>
      </c>
      <c r="H60" s="126" t="s">
        <v>1214</v>
      </c>
      <c r="I60" s="126" t="s">
        <v>1215</v>
      </c>
      <c r="J60" s="131" t="s">
        <v>1216</v>
      </c>
      <c r="K60" s="127" t="s">
        <v>1217</v>
      </c>
      <c r="L60" s="131" t="s">
        <v>1218</v>
      </c>
      <c r="M60" s="126" t="s">
        <v>1158</v>
      </c>
      <c r="N60" s="127">
        <v>4</v>
      </c>
      <c r="V60" s="116" t="str">
        <v>op</v>
      </c>
      <c r="W60" s="116" t="str">
        <v>箴</v>
      </c>
      <c r="X60" s="116" t="str">
        <v>ㆦㆴ</v>
      </c>
      <c r="Y60" s="116">
        <v>0</v>
      </c>
      <c r="Z60" s="116">
        <v>2</v>
      </c>
      <c r="AC60" s="134" t="str">
        <f t="shared" si="4"/>
        <v xml:space="preserve">    - xform/》op/箴》/</v>
      </c>
      <c r="AF60" s="135" t="str">
        <f t="shared" si="3"/>
        <v xml:space="preserve">    - xform/〉op/ㆦㆴ〉/</v>
      </c>
    </row>
    <row r="61" spans="1:32" ht="27" thickBot="1">
      <c r="A61" s="123">
        <v>58</v>
      </c>
      <c r="B61" s="124" t="str">
        <f xml:space="preserve"> _xlfn.CONCAT(B58, "k", _xlfn.UNICHAR(794))</f>
        <v>iɔk̚</v>
      </c>
      <c r="C61" s="125" t="s">
        <v>1226</v>
      </c>
      <c r="D61" s="130" t="s">
        <v>461</v>
      </c>
      <c r="E61" s="130" t="s">
        <v>462</v>
      </c>
      <c r="F61" s="130" t="s">
        <v>461</v>
      </c>
      <c r="G61" s="130" t="s">
        <v>461</v>
      </c>
      <c r="H61" s="126" t="s">
        <v>1221</v>
      </c>
      <c r="I61" s="126" t="s">
        <v>1222</v>
      </c>
      <c r="J61" s="131" t="s">
        <v>1223</v>
      </c>
      <c r="K61" s="127" t="s">
        <v>1224</v>
      </c>
      <c r="L61" s="131" t="s">
        <v>1225</v>
      </c>
      <c r="M61" s="126"/>
      <c r="N61" s="127">
        <f xml:space="preserve"> LEN(韻母對照表[[#This Row],[台羅拼音]])</f>
        <v>3</v>
      </c>
      <c r="O61" s="129"/>
      <c r="U61" s="129"/>
      <c r="V61" s="116" t="str">
        <v>ua</v>
      </c>
      <c r="W61" s="116" t="str">
        <v>瓜</v>
      </c>
      <c r="X61" s="116" t="str">
        <v>ㄨㄚ</v>
      </c>
      <c r="Y61" s="116">
        <v>0</v>
      </c>
      <c r="Z61" s="116">
        <v>2</v>
      </c>
      <c r="AC61" s="134" t="str">
        <f t="shared" si="4"/>
        <v xml:space="preserve">    - xform/》ua/瓜》/</v>
      </c>
      <c r="AF61" s="135" t="str">
        <f t="shared" si="3"/>
        <v xml:space="preserve">    - xform/〉ua/ㄨㄚ〉/</v>
      </c>
    </row>
    <row r="62" spans="1:32" ht="27.75" thickBot="1">
      <c r="A62" s="123">
        <v>59</v>
      </c>
      <c r="B62" s="124" t="str">
        <f xml:space="preserve"> _xlfn.CONCAT(B58, "ŋ")</f>
        <v>iɔŋ</v>
      </c>
      <c r="C62" s="125" t="s">
        <v>463</v>
      </c>
      <c r="D62" s="126" t="s">
        <v>463</v>
      </c>
      <c r="E62" s="126" t="s">
        <v>463</v>
      </c>
      <c r="F62" s="126" t="s">
        <v>463</v>
      </c>
      <c r="G62" s="126" t="s">
        <v>463</v>
      </c>
      <c r="H62" s="126" t="s">
        <v>973</v>
      </c>
      <c r="I62" s="126" t="s">
        <v>974</v>
      </c>
      <c r="J62" s="127" t="s">
        <v>972</v>
      </c>
      <c r="K62" s="127" t="s">
        <v>975</v>
      </c>
      <c r="L62" s="127" t="s">
        <v>976</v>
      </c>
      <c r="M62" s="126"/>
      <c r="N62" s="127">
        <f xml:space="preserve"> LEN(韻母對照表[[#This Row],[台羅拼音]])</f>
        <v>4</v>
      </c>
      <c r="O62" s="129"/>
      <c r="U62" s="129"/>
      <c r="V62" s="116" t="str">
        <v>ue</v>
      </c>
      <c r="W62" s="116" t="str">
        <v>檜</v>
      </c>
      <c r="X62" s="116" t="str">
        <v>ㄨㆤ</v>
      </c>
      <c r="Y62" s="116">
        <v>0</v>
      </c>
      <c r="Z62" s="116">
        <v>2</v>
      </c>
      <c r="AC62" s="134" t="str">
        <f t="shared" si="4"/>
        <v xml:space="preserve">    - xform/》ue/檜》/</v>
      </c>
      <c r="AF62" s="135" t="str">
        <f t="shared" si="3"/>
        <v xml:space="preserve">    - xform/〉ue/ㄨㆤ〉/</v>
      </c>
    </row>
    <row r="63" spans="1:32" ht="27.75" thickBot="1">
      <c r="A63" s="123">
        <v>60</v>
      </c>
      <c r="B63" s="124" t="s">
        <v>464</v>
      </c>
      <c r="C63" s="125" t="s">
        <v>465</v>
      </c>
      <c r="D63" s="126" t="s">
        <v>465</v>
      </c>
      <c r="E63" s="126" t="s">
        <v>465</v>
      </c>
      <c r="F63" s="126" t="s">
        <v>465</v>
      </c>
      <c r="G63" s="126" t="s">
        <v>465</v>
      </c>
      <c r="H63" s="126" t="s">
        <v>977</v>
      </c>
      <c r="I63" s="126" t="s">
        <v>978</v>
      </c>
      <c r="J63" s="127" t="s">
        <v>941</v>
      </c>
      <c r="K63" s="127" t="s">
        <v>979</v>
      </c>
      <c r="L63" s="127" t="s">
        <v>980</v>
      </c>
      <c r="M63" s="126"/>
      <c r="N63" s="127">
        <f xml:space="preserve"> LEN(韻母對照表[[#This Row],[台羅拼音]])</f>
        <v>2</v>
      </c>
      <c r="O63" s="129"/>
      <c r="U63" s="129"/>
      <c r="V63" s="116" t="str">
        <v>uh</v>
      </c>
      <c r="W63" s="116" t="str">
        <v>艍</v>
      </c>
      <c r="X63" s="116" t="str">
        <v>ㄨㆷ</v>
      </c>
      <c r="Y63" s="116">
        <v>0</v>
      </c>
      <c r="Z63" s="116">
        <v>2</v>
      </c>
      <c r="AC63" s="134" t="str">
        <f t="shared" si="4"/>
        <v xml:space="preserve">    - xform/》uh/艍》/</v>
      </c>
      <c r="AF63" s="135" t="str">
        <f t="shared" si="3"/>
        <v xml:space="preserve">    - xform/〉uh/ㄨㆷ〉/</v>
      </c>
    </row>
    <row r="64" spans="1:32" ht="27.75" thickBot="1">
      <c r="A64" s="123">
        <v>61</v>
      </c>
      <c r="B64" s="124" t="s">
        <v>466</v>
      </c>
      <c r="C64" s="125" t="s">
        <v>467</v>
      </c>
      <c r="D64" s="126" t="s">
        <v>467</v>
      </c>
      <c r="E64" s="126" t="s">
        <v>467</v>
      </c>
      <c r="F64" s="126" t="s">
        <v>467</v>
      </c>
      <c r="G64" s="126" t="s">
        <v>467</v>
      </c>
      <c r="H64" s="126" t="s">
        <v>981</v>
      </c>
      <c r="I64" s="126" t="s">
        <v>982</v>
      </c>
      <c r="J64" s="127" t="s">
        <v>945</v>
      </c>
      <c r="K64" s="127" t="s">
        <v>983</v>
      </c>
      <c r="L64" s="127" t="s">
        <v>984</v>
      </c>
      <c r="M64" s="126"/>
      <c r="N64" s="127">
        <f xml:space="preserve"> LEN(韻母對照表[[#This Row],[台羅拼音]])</f>
        <v>2</v>
      </c>
      <c r="O64" s="129"/>
      <c r="U64" s="129"/>
      <c r="V64" s="116" t="str">
        <v>ui</v>
      </c>
      <c r="W64" s="116" t="str">
        <v>規</v>
      </c>
      <c r="X64" s="116" t="str">
        <v>ㄨㄧ</v>
      </c>
      <c r="Y64" s="116">
        <v>0</v>
      </c>
      <c r="Z64" s="116">
        <v>2</v>
      </c>
      <c r="AC64" s="134" t="str">
        <f t="shared" si="4"/>
        <v xml:space="preserve">    - xform/》ui/規》/</v>
      </c>
      <c r="AF64" s="135" t="str">
        <f t="shared" si="3"/>
        <v xml:space="preserve">    - xform/〉ui/ㄨㄧ〉/</v>
      </c>
    </row>
    <row r="65" spans="1:32" ht="27.75" thickBot="1">
      <c r="A65" s="123">
        <v>62</v>
      </c>
      <c r="B65" s="179" t="s">
        <v>1231</v>
      </c>
      <c r="C65" s="125" t="s">
        <v>471</v>
      </c>
      <c r="D65" s="126" t="s">
        <v>471</v>
      </c>
      <c r="E65" s="126" t="s">
        <v>471</v>
      </c>
      <c r="F65" s="126" t="s">
        <v>471</v>
      </c>
      <c r="G65" s="126" t="s">
        <v>471</v>
      </c>
      <c r="H65" s="126" t="s">
        <v>985</v>
      </c>
      <c r="I65" s="126" t="s">
        <v>985</v>
      </c>
      <c r="J65" s="127" t="s">
        <v>986</v>
      </c>
      <c r="K65" s="127" t="s">
        <v>987</v>
      </c>
      <c r="L65" s="127" t="s">
        <v>988</v>
      </c>
      <c r="M65" s="126"/>
      <c r="N65" s="127">
        <f xml:space="preserve"> LEN(韻母對照表[[#This Row],[台羅拼音]])</f>
        <v>2</v>
      </c>
      <c r="O65" s="129"/>
      <c r="U65" s="129"/>
      <c r="V65" s="116" t="str">
        <v>un</v>
      </c>
      <c r="W65" s="116" t="str">
        <v>君</v>
      </c>
      <c r="X65" s="116" t="str">
        <v>ㄨㄣ</v>
      </c>
      <c r="Y65" s="116">
        <v>0</v>
      </c>
      <c r="Z65" s="116">
        <v>2</v>
      </c>
      <c r="AC65" s="134" t="str">
        <f t="shared" si="4"/>
        <v xml:space="preserve">    - xform/》un/君》/</v>
      </c>
      <c r="AF65" s="135" t="str">
        <f t="shared" si="3"/>
        <v xml:space="preserve">    - xform/〉un/ㄨㄣ〉/</v>
      </c>
    </row>
    <row r="66" spans="1:32" ht="27.75" thickBot="1">
      <c r="A66" s="123">
        <v>63</v>
      </c>
      <c r="B66" s="179" t="str">
        <f xml:space="preserve"> _xlfn.CONCAT("i", "u", _xlfn.UNICHAR(771))</f>
        <v>iũ</v>
      </c>
      <c r="C66" s="125" t="s">
        <v>472</v>
      </c>
      <c r="D66" s="126" t="s">
        <v>472</v>
      </c>
      <c r="E66" s="126" t="s">
        <v>472</v>
      </c>
      <c r="F66" s="126" t="s">
        <v>473</v>
      </c>
      <c r="G66" s="126" t="s">
        <v>989</v>
      </c>
      <c r="H66" s="126" t="s">
        <v>990</v>
      </c>
      <c r="I66" s="126" t="s">
        <v>991</v>
      </c>
      <c r="J66" s="127" t="s">
        <v>992</v>
      </c>
      <c r="K66" s="127" t="s">
        <v>993</v>
      </c>
      <c r="L66" s="127" t="s">
        <v>994</v>
      </c>
      <c r="M66" s="126" t="s">
        <v>791</v>
      </c>
      <c r="N66" s="127">
        <f xml:space="preserve"> LEN(韻母對照表[[#This Row],[台羅拼音]])</f>
        <v>4</v>
      </c>
      <c r="O66" s="129"/>
      <c r="U66" s="129"/>
      <c r="V66" s="116" t="str">
        <v>ut</v>
      </c>
      <c r="W66" s="116" t="str">
        <v>君</v>
      </c>
      <c r="X66" s="116" t="str">
        <v>ㄨㆵ</v>
      </c>
      <c r="Y66" s="116">
        <v>0</v>
      </c>
      <c r="Z66" s="116">
        <v>2</v>
      </c>
      <c r="AC66" s="134" t="str">
        <f t="shared" si="4"/>
        <v xml:space="preserve">    - xform/》ut/君》/</v>
      </c>
      <c r="AF66" s="135" t="str">
        <f t="shared" si="3"/>
        <v xml:space="preserve">    - xform/〉ut/ㄨㆵ〉/</v>
      </c>
    </row>
    <row r="67" spans="1:32" ht="30.75" thickBot="1">
      <c r="A67" s="123">
        <v>64</v>
      </c>
      <c r="B67" s="182" t="str">
        <f xml:space="preserve"> _xlfn.CONCAT(B66, "ʔ")</f>
        <v>iũʔ</v>
      </c>
      <c r="C67" s="125" t="s">
        <v>1157</v>
      </c>
      <c r="D67" s="130" t="s">
        <v>474</v>
      </c>
      <c r="E67" s="130" t="s">
        <v>474</v>
      </c>
      <c r="F67" s="130" t="s">
        <v>475</v>
      </c>
      <c r="G67" s="130" t="s">
        <v>995</v>
      </c>
      <c r="H67" s="130" t="s">
        <v>996</v>
      </c>
      <c r="I67" s="130" t="s">
        <v>997</v>
      </c>
      <c r="J67" s="127" t="s">
        <v>992</v>
      </c>
      <c r="K67" s="127" t="s">
        <v>783</v>
      </c>
      <c r="L67" s="131" t="s">
        <v>998</v>
      </c>
      <c r="M67" s="126" t="s">
        <v>791</v>
      </c>
      <c r="N67" s="127">
        <f xml:space="preserve"> LEN(韻母對照表[[#This Row],[台羅拼音]])</f>
        <v>5</v>
      </c>
      <c r="O67" s="129"/>
      <c r="U67" s="129"/>
      <c r="V67" s="116" t="str">
        <v>a</v>
      </c>
      <c r="W67" s="116" t="str">
        <v>膠</v>
      </c>
      <c r="X67" s="116" t="str">
        <v>ㄚ</v>
      </c>
      <c r="Y67" s="116">
        <v>0</v>
      </c>
      <c r="Z67" s="116">
        <v>1</v>
      </c>
      <c r="AC67" s="134" t="str">
        <f t="shared" si="4"/>
        <v xml:space="preserve">    - xform/》a/膠》/</v>
      </c>
      <c r="AF67" s="135" t="str">
        <f t="shared" si="3"/>
        <v xml:space="preserve">    - xform/〉a/ㄚ〉/</v>
      </c>
    </row>
    <row r="68" spans="1:32" ht="27.75" thickBot="1">
      <c r="A68" s="123">
        <v>65</v>
      </c>
      <c r="B68" s="124" t="s">
        <v>476</v>
      </c>
      <c r="C68" s="125" t="s">
        <v>68</v>
      </c>
      <c r="D68" s="126" t="s">
        <v>68</v>
      </c>
      <c r="E68" s="126" t="s">
        <v>68</v>
      </c>
      <c r="F68" s="126" t="s">
        <v>68</v>
      </c>
      <c r="G68" s="126" t="s">
        <v>68</v>
      </c>
      <c r="H68" s="126" t="s">
        <v>157</v>
      </c>
      <c r="I68" s="126" t="s">
        <v>999</v>
      </c>
      <c r="J68" s="127" t="s">
        <v>1000</v>
      </c>
      <c r="K68" s="127" t="s">
        <v>1000</v>
      </c>
      <c r="L68" s="127" t="s">
        <v>1001</v>
      </c>
      <c r="M68" s="126"/>
      <c r="N68" s="127">
        <f xml:space="preserve"> LEN(韻母對照表[[#This Row],[台羅拼音]])</f>
        <v>1</v>
      </c>
      <c r="O68" s="129"/>
      <c r="U68" s="129"/>
      <c r="V68" s="116" t="str">
        <v>e</v>
      </c>
      <c r="W68" s="116" t="str">
        <v>伽</v>
      </c>
      <c r="X68" s="116" t="str">
        <v>ㆤ</v>
      </c>
      <c r="Y68" s="116">
        <v>0</v>
      </c>
      <c r="Z68" s="116">
        <v>1</v>
      </c>
      <c r="AC68" s="134" t="str">
        <f t="shared" si="4"/>
        <v xml:space="preserve">    - xform/》e/伽》/</v>
      </c>
      <c r="AF68" s="135" t="str">
        <f t="shared" si="3"/>
        <v xml:space="preserve">    - xform/〉e/ㆤ〉/</v>
      </c>
    </row>
    <row r="69" spans="1:32" ht="27.75" thickBot="1">
      <c r="A69" s="123">
        <v>66</v>
      </c>
      <c r="B69" s="124" t="s">
        <v>477</v>
      </c>
      <c r="C69" s="125" t="s">
        <v>478</v>
      </c>
      <c r="D69" s="130" t="s">
        <v>479</v>
      </c>
      <c r="E69" s="130" t="s">
        <v>479</v>
      </c>
      <c r="F69" s="130" t="s">
        <v>479</v>
      </c>
      <c r="G69" s="130" t="s">
        <v>478</v>
      </c>
      <c r="H69" s="130" t="s">
        <v>480</v>
      </c>
      <c r="I69" s="130" t="s">
        <v>1002</v>
      </c>
      <c r="J69" s="127" t="s">
        <v>1000</v>
      </c>
      <c r="K69" s="127" t="s">
        <v>783</v>
      </c>
      <c r="L69" s="131" t="s">
        <v>1003</v>
      </c>
      <c r="M69" s="126"/>
      <c r="N69" s="127">
        <f xml:space="preserve"> LEN(韻母對照表[[#This Row],[台羅拼音]])</f>
        <v>2</v>
      </c>
      <c r="O69" s="129"/>
      <c r="U69" s="129"/>
      <c r="V69" s="116" t="str">
        <v>i</v>
      </c>
      <c r="W69" s="116" t="str">
        <v>居</v>
      </c>
      <c r="X69" s="116" t="str">
        <v>ㄧ</v>
      </c>
      <c r="Y69" s="116">
        <v>0</v>
      </c>
      <c r="Z69" s="116">
        <v>1</v>
      </c>
      <c r="AF69" s="135" t="str">
        <f t="shared" ref="AF69" si="5" xml:space="preserve"> _xlfn.CONCAT("    - xform/", "〉", $V69, "/", X69, "〉", "/")</f>
        <v xml:space="preserve">    - xform/〉i/ㄧ〉/</v>
      </c>
    </row>
    <row r="70" spans="1:32" ht="27.75" thickBot="1">
      <c r="A70" s="123">
        <v>67</v>
      </c>
      <c r="B70" s="124" t="s">
        <v>1004</v>
      </c>
      <c r="C70" s="125" t="s">
        <v>198</v>
      </c>
      <c r="D70" s="126" t="s">
        <v>198</v>
      </c>
      <c r="E70" s="126" t="s">
        <v>198</v>
      </c>
      <c r="F70" s="126" t="s">
        <v>198</v>
      </c>
      <c r="G70" s="126" t="s">
        <v>198</v>
      </c>
      <c r="H70" s="126" t="s">
        <v>159</v>
      </c>
      <c r="I70" s="126" t="s">
        <v>1005</v>
      </c>
      <c r="J70" s="127" t="s">
        <v>1006</v>
      </c>
      <c r="K70" s="127" t="s">
        <v>1007</v>
      </c>
      <c r="L70" s="127" t="s">
        <v>1008</v>
      </c>
      <c r="M70" s="126"/>
      <c r="N70" s="127">
        <f xml:space="preserve"> LEN(韻母對照表[[#This Row],[台羅拼音]])</f>
        <v>2</v>
      </c>
      <c r="O70" s="129"/>
      <c r="U70" s="129"/>
      <c r="V70" s="116" t="str">
        <v>m</v>
      </c>
      <c r="W70" s="116" t="str">
        <v>姆</v>
      </c>
      <c r="X70" s="116" t="str">
        <v>ㆬ</v>
      </c>
      <c r="Y70" s="116">
        <v>0</v>
      </c>
      <c r="Z70" s="116">
        <v>1</v>
      </c>
    </row>
    <row r="71" spans="1:32" ht="27.75" thickBot="1">
      <c r="A71" s="123">
        <v>68</v>
      </c>
      <c r="B71" s="124" t="s">
        <v>1009</v>
      </c>
      <c r="C71" s="125" t="s">
        <v>481</v>
      </c>
      <c r="D71" s="130" t="s">
        <v>482</v>
      </c>
      <c r="E71" s="130" t="s">
        <v>482</v>
      </c>
      <c r="F71" s="130" t="s">
        <v>482</v>
      </c>
      <c r="G71" s="130" t="s">
        <v>481</v>
      </c>
      <c r="H71" s="130" t="s">
        <v>483</v>
      </c>
      <c r="I71" s="130" t="s">
        <v>1010</v>
      </c>
      <c r="J71" s="127" t="s">
        <v>1006</v>
      </c>
      <c r="K71" s="127" t="s">
        <v>783</v>
      </c>
      <c r="L71" s="131" t="s">
        <v>1011</v>
      </c>
      <c r="M71" s="126"/>
      <c r="N71" s="127">
        <f xml:space="preserve"> LEN(韻母對照表[[#This Row],[台羅拼音]])</f>
        <v>3</v>
      </c>
      <c r="O71" s="129"/>
      <c r="U71" s="129"/>
      <c r="V71" s="116" t="str">
        <v>o</v>
      </c>
      <c r="W71" s="116" t="str">
        <v>高</v>
      </c>
      <c r="X71" s="116" t="str">
        <v>ㄜ</v>
      </c>
      <c r="Y71" s="116">
        <v>0</v>
      </c>
      <c r="Z71" s="116">
        <v>1</v>
      </c>
    </row>
    <row r="72" spans="1:32" ht="27.75" thickBot="1">
      <c r="A72" s="123">
        <v>69</v>
      </c>
      <c r="B72" s="124" t="s">
        <v>484</v>
      </c>
      <c r="C72" s="125" t="s">
        <v>125</v>
      </c>
      <c r="D72" s="126" t="s">
        <v>125</v>
      </c>
      <c r="E72" s="126" t="s">
        <v>485</v>
      </c>
      <c r="F72" s="126" t="s">
        <v>125</v>
      </c>
      <c r="G72" s="126" t="s">
        <v>125</v>
      </c>
      <c r="H72" s="126" t="s">
        <v>1012</v>
      </c>
      <c r="I72" s="126" t="s">
        <v>1012</v>
      </c>
      <c r="J72" s="127" t="s">
        <v>1013</v>
      </c>
      <c r="K72" s="127" t="s">
        <v>1014</v>
      </c>
      <c r="L72" s="127" t="s">
        <v>1015</v>
      </c>
      <c r="M72" s="126"/>
      <c r="N72" s="127">
        <f xml:space="preserve"> LEN(韻母對照表[[#This Row],[台羅拼音]])</f>
        <v>1</v>
      </c>
      <c r="O72" s="129"/>
      <c r="U72" s="129"/>
      <c r="V72" s="116" t="str">
        <v>u</v>
      </c>
      <c r="W72" s="116" t="str">
        <v>艍</v>
      </c>
      <c r="X72" s="116" t="str">
        <v>ㄨ</v>
      </c>
      <c r="Y72" s="116">
        <v>0</v>
      </c>
      <c r="Z72" s="116">
        <v>1</v>
      </c>
    </row>
    <row r="73" spans="1:32" ht="27.75" thickBot="1">
      <c r="A73" s="123">
        <v>70</v>
      </c>
      <c r="B73" s="124" t="s">
        <v>486</v>
      </c>
      <c r="C73" s="125" t="s">
        <v>487</v>
      </c>
      <c r="D73" s="126" t="s">
        <v>487</v>
      </c>
      <c r="E73" s="126" t="s">
        <v>488</v>
      </c>
      <c r="F73" s="126" t="s">
        <v>487</v>
      </c>
      <c r="G73" s="126" t="s">
        <v>487</v>
      </c>
      <c r="H73" s="126" t="s">
        <v>1016</v>
      </c>
      <c r="I73" s="126" t="s">
        <v>1017</v>
      </c>
      <c r="J73" s="127" t="s">
        <v>1013</v>
      </c>
      <c r="K73" s="127" t="s">
        <v>1018</v>
      </c>
      <c r="L73" s="127" t="s">
        <v>1019</v>
      </c>
      <c r="M73" s="126"/>
      <c r="N73" s="127">
        <f xml:space="preserve"> LEN(韻母對照表[[#This Row],[台羅拼音]])</f>
        <v>2</v>
      </c>
      <c r="O73" s="129"/>
      <c r="U73" s="129"/>
    </row>
    <row r="74" spans="1:32" ht="27.75" thickBot="1">
      <c r="A74" s="123">
        <v>71</v>
      </c>
      <c r="B74" s="124" t="s">
        <v>1020</v>
      </c>
      <c r="C74" s="125" t="s">
        <v>489</v>
      </c>
      <c r="D74" s="126" t="s">
        <v>489</v>
      </c>
      <c r="E74" s="126" t="s">
        <v>489</v>
      </c>
      <c r="F74" s="126" t="s">
        <v>489</v>
      </c>
      <c r="G74" s="126" t="s">
        <v>489</v>
      </c>
      <c r="H74" s="126" t="s">
        <v>490</v>
      </c>
      <c r="I74" s="126" t="s">
        <v>1021</v>
      </c>
      <c r="J74" s="127" t="s">
        <v>1022</v>
      </c>
      <c r="K74" s="127" t="s">
        <v>1023</v>
      </c>
      <c r="L74" s="127" t="s">
        <v>1024</v>
      </c>
      <c r="M74" s="126"/>
      <c r="N74" s="127">
        <f xml:space="preserve"> LEN(韻母對照表[[#This Row],[台羅拼音]])</f>
        <v>2</v>
      </c>
      <c r="O74" s="129"/>
      <c r="U74" s="129"/>
    </row>
    <row r="75" spans="1:32" ht="27.75" thickBot="1">
      <c r="A75" s="123">
        <v>72</v>
      </c>
      <c r="B75" s="124" t="s">
        <v>1025</v>
      </c>
      <c r="C75" s="125" t="s">
        <v>218</v>
      </c>
      <c r="D75" s="126" t="s">
        <v>218</v>
      </c>
      <c r="E75" s="126" t="s">
        <v>491</v>
      </c>
      <c r="F75" s="126" t="s">
        <v>218</v>
      </c>
      <c r="G75" s="126" t="s">
        <v>218</v>
      </c>
      <c r="H75" s="126" t="s">
        <v>169</v>
      </c>
      <c r="I75" s="126" t="s">
        <v>1026</v>
      </c>
      <c r="J75" s="127" t="s">
        <v>1027</v>
      </c>
      <c r="K75" s="127" t="s">
        <v>1028</v>
      </c>
      <c r="L75" s="127" t="s">
        <v>1029</v>
      </c>
      <c r="M75" s="126"/>
      <c r="N75" s="127">
        <f xml:space="preserve"> LEN(韻母對照表[[#This Row],[台羅拼音]])</f>
        <v>2</v>
      </c>
      <c r="O75" s="129"/>
      <c r="U75" s="129"/>
    </row>
    <row r="76" spans="1:32" ht="27.75" thickBot="1">
      <c r="A76" s="123">
        <v>73</v>
      </c>
      <c r="B76" s="124" t="s">
        <v>1030</v>
      </c>
      <c r="C76" s="125" t="s">
        <v>220</v>
      </c>
      <c r="D76" s="126" t="s">
        <v>220</v>
      </c>
      <c r="E76" s="126" t="s">
        <v>220</v>
      </c>
      <c r="F76" s="126" t="s">
        <v>220</v>
      </c>
      <c r="G76" s="126" t="s">
        <v>220</v>
      </c>
      <c r="H76" s="126" t="s">
        <v>170</v>
      </c>
      <c r="I76" s="126" t="s">
        <v>1031</v>
      </c>
      <c r="J76" s="127" t="s">
        <v>1022</v>
      </c>
      <c r="K76" s="127" t="s">
        <v>1032</v>
      </c>
      <c r="L76" s="127" t="s">
        <v>1033</v>
      </c>
      <c r="M76" s="126"/>
      <c r="N76" s="127">
        <f xml:space="preserve"> LEN(韻母對照表[[#This Row],[台羅拼音]])</f>
        <v>3</v>
      </c>
      <c r="O76" s="129"/>
      <c r="U76" s="129"/>
    </row>
    <row r="77" spans="1:32" ht="27.75" thickBot="1">
      <c r="A77" s="123">
        <v>74</v>
      </c>
      <c r="B77" s="124" t="s">
        <v>1034</v>
      </c>
      <c r="C77" s="125" t="s">
        <v>494</v>
      </c>
      <c r="D77" s="126" t="s">
        <v>494</v>
      </c>
      <c r="E77" s="126" t="s">
        <v>495</v>
      </c>
      <c r="F77" s="126" t="s">
        <v>496</v>
      </c>
      <c r="G77" s="126" t="s">
        <v>1035</v>
      </c>
      <c r="H77" s="126" t="s">
        <v>175</v>
      </c>
      <c r="I77" s="126" t="s">
        <v>1036</v>
      </c>
      <c r="J77" s="127" t="s">
        <v>1037</v>
      </c>
      <c r="K77" s="127" t="s">
        <v>1038</v>
      </c>
      <c r="L77" s="127" t="s">
        <v>1039</v>
      </c>
      <c r="M77" s="126" t="s">
        <v>1158</v>
      </c>
      <c r="N77" s="127">
        <f xml:space="preserve"> LEN(韻母對照表[[#This Row],[台羅拼音]])</f>
        <v>3</v>
      </c>
      <c r="O77" s="129"/>
      <c r="U77" s="129"/>
    </row>
    <row r="78" spans="1:32" ht="27.75" thickBot="1">
      <c r="A78" s="123">
        <v>75</v>
      </c>
      <c r="B78" s="124" t="s">
        <v>1040</v>
      </c>
      <c r="C78" s="125" t="s">
        <v>499</v>
      </c>
      <c r="D78" s="126" t="s">
        <v>499</v>
      </c>
      <c r="E78" s="126" t="s">
        <v>498</v>
      </c>
      <c r="F78" s="126" t="s">
        <v>500</v>
      </c>
      <c r="G78" s="126" t="s">
        <v>1041</v>
      </c>
      <c r="H78" s="126" t="s">
        <v>501</v>
      </c>
      <c r="I78" s="126" t="s">
        <v>1042</v>
      </c>
      <c r="J78" s="127" t="s">
        <v>1043</v>
      </c>
      <c r="K78" s="127" t="s">
        <v>783</v>
      </c>
      <c r="L78" s="127" t="s">
        <v>1044</v>
      </c>
      <c r="M78" s="126" t="s">
        <v>791</v>
      </c>
      <c r="N78" s="127">
        <f xml:space="preserve"> LEN(韻母對照表[[#This Row],[台羅拼音]])</f>
        <v>4</v>
      </c>
      <c r="O78" s="129"/>
      <c r="U78" s="129"/>
    </row>
    <row r="79" spans="1:32" ht="27.75" thickBot="1">
      <c r="A79" s="123">
        <v>76</v>
      </c>
      <c r="B79" s="124" t="s">
        <v>1045</v>
      </c>
      <c r="C79" s="125" t="s">
        <v>184</v>
      </c>
      <c r="D79" s="126" t="s">
        <v>184</v>
      </c>
      <c r="E79" s="126" t="s">
        <v>184</v>
      </c>
      <c r="F79" s="126" t="s">
        <v>184</v>
      </c>
      <c r="G79" s="126" t="s">
        <v>502</v>
      </c>
      <c r="H79" s="126" t="s">
        <v>155</v>
      </c>
      <c r="I79" s="126" t="s">
        <v>1046</v>
      </c>
      <c r="J79" s="127" t="s">
        <v>1047</v>
      </c>
      <c r="K79" s="127" t="s">
        <v>1048</v>
      </c>
      <c r="L79" s="127" t="s">
        <v>1049</v>
      </c>
      <c r="M79" s="126"/>
      <c r="N79" s="127">
        <f xml:space="preserve"> LEN(韻母對照表[[#This Row],[台羅拼音]])</f>
        <v>2</v>
      </c>
      <c r="O79" s="129"/>
      <c r="U79" s="129"/>
    </row>
    <row r="80" spans="1:32" ht="30.75" thickBot="1">
      <c r="A80" s="123">
        <v>77</v>
      </c>
      <c r="B80" s="124" t="s">
        <v>1050</v>
      </c>
      <c r="C80" s="125" t="s">
        <v>504</v>
      </c>
      <c r="D80" s="130" t="s">
        <v>505</v>
      </c>
      <c r="E80" s="130" t="s">
        <v>505</v>
      </c>
      <c r="F80" s="130" t="s">
        <v>505</v>
      </c>
      <c r="G80" s="130" t="s">
        <v>506</v>
      </c>
      <c r="H80" s="130" t="s">
        <v>507</v>
      </c>
      <c r="I80" s="130" t="s">
        <v>1051</v>
      </c>
      <c r="J80" s="127" t="s">
        <v>1047</v>
      </c>
      <c r="K80" s="127" t="s">
        <v>783</v>
      </c>
      <c r="L80" s="131" t="s">
        <v>1052</v>
      </c>
      <c r="M80" s="126"/>
      <c r="N80" s="127">
        <f xml:space="preserve"> LEN(韻母對照表[[#This Row],[台羅拼音]])</f>
        <v>3</v>
      </c>
      <c r="O80" s="129"/>
      <c r="U80" s="129"/>
    </row>
    <row r="81" spans="1:21" ht="27.75" thickBot="1">
      <c r="A81" s="123">
        <v>78</v>
      </c>
      <c r="B81" s="124" t="s">
        <v>1053</v>
      </c>
      <c r="C81" s="125" t="s">
        <v>508</v>
      </c>
      <c r="D81" s="126" t="s">
        <v>508</v>
      </c>
      <c r="E81" s="126" t="s">
        <v>509</v>
      </c>
      <c r="F81" s="126" t="s">
        <v>508</v>
      </c>
      <c r="G81" s="126" t="s">
        <v>508</v>
      </c>
      <c r="H81" s="126" t="s">
        <v>510</v>
      </c>
      <c r="I81" s="126" t="s">
        <v>1054</v>
      </c>
      <c r="J81" s="127" t="s">
        <v>1027</v>
      </c>
      <c r="K81" s="127" t="s">
        <v>1055</v>
      </c>
      <c r="L81" s="127" t="s">
        <v>1056</v>
      </c>
      <c r="M81" s="126"/>
      <c r="N81" s="127">
        <f xml:space="preserve"> LEN(韻母對照表[[#This Row],[台羅拼音]])</f>
        <v>2</v>
      </c>
      <c r="O81" s="129"/>
      <c r="U81" s="129"/>
    </row>
    <row r="82" spans="1:21" ht="27.75" thickBot="1">
      <c r="A82" s="123">
        <v>79</v>
      </c>
      <c r="B82" s="124" t="s">
        <v>379</v>
      </c>
      <c r="C82" s="125" t="s">
        <v>63</v>
      </c>
      <c r="D82" s="126" t="s">
        <v>63</v>
      </c>
      <c r="E82" s="126" t="s">
        <v>63</v>
      </c>
      <c r="F82" s="126" t="s">
        <v>63</v>
      </c>
      <c r="G82" s="126" t="s">
        <v>63</v>
      </c>
      <c r="H82" s="126" t="s">
        <v>1057</v>
      </c>
      <c r="I82" s="126" t="s">
        <v>1057</v>
      </c>
      <c r="J82" s="127" t="s">
        <v>1058</v>
      </c>
      <c r="K82" s="127" t="s">
        <v>1059</v>
      </c>
      <c r="L82" s="127" t="s">
        <v>1060</v>
      </c>
      <c r="M82" s="126"/>
      <c r="N82" s="127">
        <f xml:space="preserve"> LEN(韻母對照表[[#This Row],[台羅拼音]])</f>
        <v>1</v>
      </c>
      <c r="O82" s="129"/>
      <c r="U82" s="129"/>
    </row>
    <row r="83" spans="1:21" ht="27.75" thickBot="1">
      <c r="A83" s="123">
        <v>80</v>
      </c>
      <c r="B83" s="124" t="s">
        <v>511</v>
      </c>
      <c r="C83" s="125" t="s">
        <v>512</v>
      </c>
      <c r="D83" s="126" t="s">
        <v>512</v>
      </c>
      <c r="E83" s="126" t="s">
        <v>512</v>
      </c>
      <c r="F83" s="126" t="s">
        <v>512</v>
      </c>
      <c r="G83" s="126" t="s">
        <v>513</v>
      </c>
      <c r="H83" s="126" t="s">
        <v>1061</v>
      </c>
      <c r="I83" s="126" t="s">
        <v>1061</v>
      </c>
      <c r="J83" s="127" t="s">
        <v>1062</v>
      </c>
      <c r="K83" s="127" t="s">
        <v>1063</v>
      </c>
      <c r="L83" s="127" t="s">
        <v>1064</v>
      </c>
      <c r="M83" s="126"/>
      <c r="N83" s="127">
        <f xml:space="preserve"> LEN(韻母對照表[[#This Row],[台羅拼音]])</f>
        <v>2</v>
      </c>
      <c r="O83" s="129"/>
      <c r="U83" s="129"/>
    </row>
    <row r="84" spans="1:21" ht="27.75" thickBot="1">
      <c r="A84" s="123">
        <v>81</v>
      </c>
      <c r="B84" s="124" t="s">
        <v>514</v>
      </c>
      <c r="C84" s="125" t="s">
        <v>515</v>
      </c>
      <c r="D84" s="126" t="s">
        <v>515</v>
      </c>
      <c r="E84" s="126" t="s">
        <v>515</v>
      </c>
      <c r="F84" s="126" t="s">
        <v>515</v>
      </c>
      <c r="G84" s="126" t="s">
        <v>516</v>
      </c>
      <c r="H84" s="126" t="s">
        <v>1065</v>
      </c>
      <c r="I84" s="126" t="s">
        <v>1066</v>
      </c>
      <c r="J84" s="127" t="s">
        <v>1062</v>
      </c>
      <c r="K84" s="127" t="s">
        <v>1067</v>
      </c>
      <c r="L84" s="127" t="s">
        <v>1068</v>
      </c>
      <c r="M84" s="126"/>
      <c r="N84" s="127">
        <f xml:space="preserve"> LEN(韻母對照表[[#This Row],[台羅拼音]])</f>
        <v>3</v>
      </c>
      <c r="O84" s="129"/>
      <c r="U84" s="129"/>
    </row>
    <row r="85" spans="1:21" ht="27.75" thickBot="1">
      <c r="A85" s="123">
        <v>82</v>
      </c>
      <c r="B85" s="124" t="s">
        <v>517</v>
      </c>
      <c r="C85" s="125" t="s">
        <v>518</v>
      </c>
      <c r="D85" s="126" t="s">
        <v>518</v>
      </c>
      <c r="E85" s="126" t="s">
        <v>518</v>
      </c>
      <c r="F85" s="126" t="s">
        <v>518</v>
      </c>
      <c r="G85" s="126" t="s">
        <v>519</v>
      </c>
      <c r="H85" s="126" t="s">
        <v>1069</v>
      </c>
      <c r="I85" s="126" t="s">
        <v>1069</v>
      </c>
      <c r="J85" s="127" t="s">
        <v>1070</v>
      </c>
      <c r="K85" s="127" t="s">
        <v>1071</v>
      </c>
      <c r="L85" s="127" t="s">
        <v>1072</v>
      </c>
      <c r="M85" s="126"/>
      <c r="N85" s="127">
        <f xml:space="preserve"> LEN(韻母對照表[[#This Row],[台羅拼音]])</f>
        <v>3</v>
      </c>
      <c r="O85" s="129"/>
      <c r="U85" s="129"/>
    </row>
    <row r="86" spans="1:21" ht="27.75" thickBot="1">
      <c r="A86" s="123">
        <v>83</v>
      </c>
      <c r="B86" s="124" t="s">
        <v>520</v>
      </c>
      <c r="C86" s="125" t="s">
        <v>521</v>
      </c>
      <c r="D86" s="126" t="s">
        <v>521</v>
      </c>
      <c r="E86" s="126" t="s">
        <v>521</v>
      </c>
      <c r="F86" s="126" t="s">
        <v>522</v>
      </c>
      <c r="G86" s="126" t="s">
        <v>1073</v>
      </c>
      <c r="H86" s="126" t="s">
        <v>1074</v>
      </c>
      <c r="I86" s="126" t="s">
        <v>1075</v>
      </c>
      <c r="J86" s="127" t="s">
        <v>1076</v>
      </c>
      <c r="K86" s="127" t="s">
        <v>1077</v>
      </c>
      <c r="L86" s="127" t="s">
        <v>1078</v>
      </c>
      <c r="M86" s="126" t="s">
        <v>791</v>
      </c>
      <c r="N86" s="127">
        <f xml:space="preserve"> LEN(韻母對照表[[#This Row],[台羅拼音]])</f>
        <v>5</v>
      </c>
      <c r="O86" s="129"/>
      <c r="U86" s="129"/>
    </row>
    <row r="87" spans="1:21" ht="27.75" thickBot="1">
      <c r="A87" s="123">
        <v>84</v>
      </c>
      <c r="B87" s="124" t="s">
        <v>523</v>
      </c>
      <c r="C87" s="125" t="s">
        <v>524</v>
      </c>
      <c r="D87" s="126" t="s">
        <v>524</v>
      </c>
      <c r="E87" s="126" t="s">
        <v>524</v>
      </c>
      <c r="F87" s="126" t="s">
        <v>524</v>
      </c>
      <c r="G87" s="126" t="s">
        <v>525</v>
      </c>
      <c r="H87" s="126" t="s">
        <v>1079</v>
      </c>
      <c r="I87" s="126" t="s">
        <v>1080</v>
      </c>
      <c r="J87" s="127" t="s">
        <v>1070</v>
      </c>
      <c r="K87" s="127" t="s">
        <v>783</v>
      </c>
      <c r="L87" s="127" t="s">
        <v>1081</v>
      </c>
      <c r="M87" s="126"/>
      <c r="N87" s="127">
        <f xml:space="preserve"> LEN(韻母對照表[[#This Row],[台羅拼音]])</f>
        <v>4</v>
      </c>
      <c r="O87" s="129"/>
      <c r="U87" s="129"/>
    </row>
    <row r="88" spans="1:21" ht="27.75" thickBot="1">
      <c r="A88" s="123">
        <v>85</v>
      </c>
      <c r="B88" s="124" t="s">
        <v>526</v>
      </c>
      <c r="C88" s="125" t="s">
        <v>528</v>
      </c>
      <c r="D88" s="126" t="s">
        <v>528</v>
      </c>
      <c r="E88" s="126" t="s">
        <v>527</v>
      </c>
      <c r="F88" s="130" t="s">
        <v>529</v>
      </c>
      <c r="G88" s="126" t="s">
        <v>1082</v>
      </c>
      <c r="H88" s="126" t="s">
        <v>1083</v>
      </c>
      <c r="I88" s="126" t="s">
        <v>1084</v>
      </c>
      <c r="J88" s="127" t="s">
        <v>1076</v>
      </c>
      <c r="K88" s="127" t="s">
        <v>1085</v>
      </c>
      <c r="L88" s="127" t="s">
        <v>1086</v>
      </c>
      <c r="M88" s="126" t="s">
        <v>791</v>
      </c>
      <c r="N88" s="127">
        <f xml:space="preserve"> LEN(韻母對照表[[#This Row],[台羅拼音]])</f>
        <v>6</v>
      </c>
      <c r="O88" s="129"/>
      <c r="U88" s="129"/>
    </row>
    <row r="89" spans="1:21" ht="27.75" thickBot="1">
      <c r="A89" s="123">
        <v>86</v>
      </c>
      <c r="B89" s="124" t="s">
        <v>530</v>
      </c>
      <c r="C89" s="125" t="s">
        <v>531</v>
      </c>
      <c r="D89" s="126" t="s">
        <v>531</v>
      </c>
      <c r="E89" s="126" t="s">
        <v>531</v>
      </c>
      <c r="F89" s="126" t="s">
        <v>531</v>
      </c>
      <c r="G89" s="126" t="s">
        <v>532</v>
      </c>
      <c r="H89" s="126" t="s">
        <v>1087</v>
      </c>
      <c r="I89" s="126" t="s">
        <v>1087</v>
      </c>
      <c r="J89" s="127" t="s">
        <v>1088</v>
      </c>
      <c r="K89" s="127" t="s">
        <v>1089</v>
      </c>
      <c r="L89" s="127" t="s">
        <v>1090</v>
      </c>
      <c r="M89" s="126"/>
      <c r="N89" s="127">
        <f xml:space="preserve"> LEN(韻母對照表[[#This Row],[台羅拼音]])</f>
        <v>3</v>
      </c>
      <c r="O89" s="129"/>
      <c r="U89" s="129"/>
    </row>
    <row r="90" spans="1:21" ht="27.75" thickBot="1">
      <c r="A90" s="123">
        <v>87</v>
      </c>
      <c r="B90" s="124" t="s">
        <v>1091</v>
      </c>
      <c r="C90" s="125" t="s">
        <v>533</v>
      </c>
      <c r="D90" s="126" t="s">
        <v>533</v>
      </c>
      <c r="E90" s="126" t="s">
        <v>533</v>
      </c>
      <c r="F90" s="126" t="s">
        <v>533</v>
      </c>
      <c r="G90" s="126" t="s">
        <v>534</v>
      </c>
      <c r="H90" s="126" t="s">
        <v>1092</v>
      </c>
      <c r="I90" s="126" t="s">
        <v>1092</v>
      </c>
      <c r="J90" s="127" t="s">
        <v>1093</v>
      </c>
      <c r="K90" s="127" t="s">
        <v>1094</v>
      </c>
      <c r="L90" s="127" t="s">
        <v>1095</v>
      </c>
      <c r="M90" s="126"/>
      <c r="N90" s="127">
        <f xml:space="preserve"> LEN(韻母對照表[[#This Row],[台羅拼音]])</f>
        <v>4</v>
      </c>
    </row>
    <row r="91" spans="1:21" ht="27.75" thickBot="1">
      <c r="A91" s="123">
        <v>88</v>
      </c>
      <c r="B91" s="124" t="s">
        <v>535</v>
      </c>
      <c r="C91" s="125" t="s">
        <v>536</v>
      </c>
      <c r="D91" s="126" t="s">
        <v>536</v>
      </c>
      <c r="E91" s="126" t="s">
        <v>536</v>
      </c>
      <c r="F91" s="126" t="s">
        <v>537</v>
      </c>
      <c r="G91" s="126" t="s">
        <v>1096</v>
      </c>
      <c r="H91" s="126" t="s">
        <v>1097</v>
      </c>
      <c r="I91" s="126" t="s">
        <v>1098</v>
      </c>
      <c r="J91" s="127" t="s">
        <v>1099</v>
      </c>
      <c r="K91" s="127" t="s">
        <v>1100</v>
      </c>
      <c r="L91" s="127" t="s">
        <v>1101</v>
      </c>
      <c r="M91" s="126"/>
      <c r="N91" s="127">
        <f xml:space="preserve"> LEN(韻母對照表[[#This Row],[台羅拼音]])</f>
        <v>4</v>
      </c>
    </row>
    <row r="92" spans="1:21" ht="27.75" thickBot="1">
      <c r="A92" s="123">
        <v>89</v>
      </c>
      <c r="B92" s="124" t="s">
        <v>538</v>
      </c>
      <c r="C92" s="125" t="s">
        <v>539</v>
      </c>
      <c r="D92" s="126" t="s">
        <v>539</v>
      </c>
      <c r="E92" s="126" t="s">
        <v>539</v>
      </c>
      <c r="F92" s="126" t="s">
        <v>539</v>
      </c>
      <c r="G92" s="126" t="s">
        <v>540</v>
      </c>
      <c r="H92" s="126" t="s">
        <v>1102</v>
      </c>
      <c r="I92" s="126" t="s">
        <v>1103</v>
      </c>
      <c r="J92" s="127" t="s">
        <v>1088</v>
      </c>
      <c r="K92" s="127" t="s">
        <v>1104</v>
      </c>
      <c r="L92" s="127" t="s">
        <v>1105</v>
      </c>
      <c r="M92" s="126"/>
      <c r="N92" s="127">
        <f xml:space="preserve"> LEN(韻母對照表[[#This Row],[台羅拼音]])</f>
        <v>3</v>
      </c>
    </row>
    <row r="93" spans="1:21" ht="27.75" thickBot="1">
      <c r="A93" s="123">
        <v>90</v>
      </c>
      <c r="B93" s="124" t="s">
        <v>541</v>
      </c>
      <c r="C93" s="125" t="s">
        <v>542</v>
      </c>
      <c r="D93" s="126" t="s">
        <v>542</v>
      </c>
      <c r="E93" s="126" t="s">
        <v>542</v>
      </c>
      <c r="F93" s="126" t="s">
        <v>542</v>
      </c>
      <c r="G93" s="126" t="s">
        <v>543</v>
      </c>
      <c r="H93" s="126" t="s">
        <v>1106</v>
      </c>
      <c r="I93" s="126" t="s">
        <v>1107</v>
      </c>
      <c r="J93" s="127" t="s">
        <v>1108</v>
      </c>
      <c r="K93" s="127" t="s">
        <v>1109</v>
      </c>
      <c r="L93" s="127" t="s">
        <v>1110</v>
      </c>
      <c r="M93" s="126"/>
      <c r="N93" s="127">
        <f xml:space="preserve"> LEN(韻母對照表[[#This Row],[台羅拼音]])</f>
        <v>2</v>
      </c>
    </row>
    <row r="94" spans="1:21" ht="27.75" thickBot="1">
      <c r="A94" s="123">
        <v>91</v>
      </c>
      <c r="B94" s="124" t="s">
        <v>544</v>
      </c>
      <c r="C94" s="125" t="s">
        <v>545</v>
      </c>
      <c r="D94" s="126" t="s">
        <v>545</v>
      </c>
      <c r="E94" s="126" t="s">
        <v>545</v>
      </c>
      <c r="F94" s="126" t="s">
        <v>545</v>
      </c>
      <c r="G94" s="126" t="s">
        <v>546</v>
      </c>
      <c r="H94" s="126" t="s">
        <v>1111</v>
      </c>
      <c r="I94" s="126" t="s">
        <v>1112</v>
      </c>
      <c r="J94" s="127" t="s">
        <v>1108</v>
      </c>
      <c r="K94" s="127" t="s">
        <v>1113</v>
      </c>
      <c r="L94" s="127" t="s">
        <v>1114</v>
      </c>
      <c r="M94" s="126"/>
      <c r="N94" s="127">
        <f xml:space="preserve"> LEN(韻母對照表[[#This Row],[台羅拼音]])</f>
        <v>3</v>
      </c>
    </row>
    <row r="95" spans="1:21" ht="27.75" thickBot="1">
      <c r="A95" s="123">
        <v>92</v>
      </c>
      <c r="B95" s="124" t="s">
        <v>547</v>
      </c>
      <c r="C95" s="125" t="s">
        <v>548</v>
      </c>
      <c r="D95" s="126" t="s">
        <v>548</v>
      </c>
      <c r="E95" s="126" t="s">
        <v>548</v>
      </c>
      <c r="F95" s="126" t="s">
        <v>548</v>
      </c>
      <c r="G95" s="126" t="s">
        <v>548</v>
      </c>
      <c r="H95" s="126" t="s">
        <v>1115</v>
      </c>
      <c r="I95" s="126" t="s">
        <v>1116</v>
      </c>
      <c r="J95" s="127" t="s">
        <v>1058</v>
      </c>
      <c r="K95" s="127" t="s">
        <v>1117</v>
      </c>
      <c r="L95" s="127" t="s">
        <v>1118</v>
      </c>
      <c r="M95" s="126"/>
      <c r="N95" s="127">
        <f xml:space="preserve"> LEN(韻母對照表[[#This Row],[台羅拼音]])</f>
        <v>2</v>
      </c>
    </row>
    <row r="96" spans="1:21" ht="27.75" thickBot="1">
      <c r="A96" s="123">
        <v>93</v>
      </c>
      <c r="B96" s="124" t="s">
        <v>549</v>
      </c>
      <c r="C96" s="125" t="s">
        <v>550</v>
      </c>
      <c r="D96" s="126" t="s">
        <v>550</v>
      </c>
      <c r="E96" s="126" t="s">
        <v>550</v>
      </c>
      <c r="F96" s="126" t="s">
        <v>550</v>
      </c>
      <c r="G96" s="126" t="s">
        <v>550</v>
      </c>
      <c r="H96" s="126" t="s">
        <v>1119</v>
      </c>
      <c r="I96" s="126" t="s">
        <v>1119</v>
      </c>
      <c r="J96" s="127" t="s">
        <v>1120</v>
      </c>
      <c r="K96" s="127" t="s">
        <v>1121</v>
      </c>
      <c r="L96" s="127" t="s">
        <v>1122</v>
      </c>
      <c r="M96" s="126"/>
      <c r="N96" s="127">
        <f xml:space="preserve"> LEN(韻母對照表[[#This Row],[台羅拼音]])</f>
        <v>2</v>
      </c>
    </row>
    <row r="97" spans="1:14" ht="27.75" thickBot="1">
      <c r="A97" s="123">
        <v>94</v>
      </c>
      <c r="B97" s="124" t="s">
        <v>551</v>
      </c>
      <c r="C97" s="125" t="s">
        <v>552</v>
      </c>
      <c r="D97" s="130" t="s">
        <v>553</v>
      </c>
      <c r="E97" s="130" t="s">
        <v>553</v>
      </c>
      <c r="F97" s="130" t="s">
        <v>553</v>
      </c>
      <c r="G97" s="130" t="s">
        <v>552</v>
      </c>
      <c r="H97" s="130" t="s">
        <v>1123</v>
      </c>
      <c r="I97" s="130" t="s">
        <v>1124</v>
      </c>
      <c r="J97" s="127" t="s">
        <v>1125</v>
      </c>
      <c r="K97" s="127" t="s">
        <v>783</v>
      </c>
      <c r="L97" s="131" t="s">
        <v>1126</v>
      </c>
      <c r="M97" s="126"/>
      <c r="N97" s="127">
        <f xml:space="preserve"> LEN(韻母對照表[[#This Row],[台羅拼音]])</f>
        <v>3</v>
      </c>
    </row>
    <row r="98" spans="1:14" ht="27.75" thickBot="1">
      <c r="A98" s="123">
        <v>95</v>
      </c>
      <c r="B98" s="124" t="s">
        <v>554</v>
      </c>
      <c r="C98" s="125" t="s">
        <v>555</v>
      </c>
      <c r="D98" s="126" t="s">
        <v>555</v>
      </c>
      <c r="E98" s="126" t="s">
        <v>555</v>
      </c>
      <c r="F98" s="126" t="s">
        <v>556</v>
      </c>
      <c r="G98" s="126" t="s">
        <v>1127</v>
      </c>
      <c r="H98" s="126" t="s">
        <v>1128</v>
      </c>
      <c r="I98" s="126" t="s">
        <v>1129</v>
      </c>
      <c r="J98" s="127" t="s">
        <v>1125</v>
      </c>
      <c r="K98" s="127" t="s">
        <v>1130</v>
      </c>
      <c r="L98" s="127" t="s">
        <v>1131</v>
      </c>
      <c r="M98" s="126" t="s">
        <v>1158</v>
      </c>
      <c r="N98" s="127">
        <f xml:space="preserve"> LEN(韻母對照表[[#This Row],[台羅拼音]])</f>
        <v>4</v>
      </c>
    </row>
    <row r="99" spans="1:14" ht="27.75" thickBot="1">
      <c r="A99" s="123">
        <v>96</v>
      </c>
      <c r="B99" s="124" t="s">
        <v>557</v>
      </c>
      <c r="C99" s="125" t="s">
        <v>558</v>
      </c>
      <c r="D99" s="126" t="s">
        <v>558</v>
      </c>
      <c r="E99" s="126" t="s">
        <v>558</v>
      </c>
      <c r="F99" s="126" t="s">
        <v>558</v>
      </c>
      <c r="G99" s="126" t="s">
        <v>558</v>
      </c>
      <c r="H99" s="126" t="s">
        <v>1132</v>
      </c>
      <c r="I99" s="126" t="s">
        <v>1132</v>
      </c>
      <c r="J99" s="127" t="s">
        <v>1133</v>
      </c>
      <c r="K99" s="127" t="s">
        <v>1134</v>
      </c>
      <c r="L99" s="127" t="s">
        <v>1135</v>
      </c>
      <c r="M99" s="126"/>
      <c r="N99" s="127">
        <f xml:space="preserve"> LEN(韻母對照表[[#This Row],[台羅拼音]])</f>
        <v>2</v>
      </c>
    </row>
    <row r="100" spans="1:14" ht="27" thickBot="1">
      <c r="A100" s="123">
        <v>97</v>
      </c>
      <c r="B100" s="124" t="str">
        <f xml:space="preserve"> _xlfn.CONCAT("u", _xlfn.UNICHAR(771))</f>
        <v>ũ</v>
      </c>
      <c r="C100" s="125" t="s">
        <v>572</v>
      </c>
      <c r="D100" s="130" t="s">
        <v>572</v>
      </c>
      <c r="E100" s="130" t="s">
        <v>572</v>
      </c>
      <c r="F100" s="130" t="s">
        <v>1173</v>
      </c>
      <c r="G100" s="130" t="s">
        <v>1174</v>
      </c>
      <c r="H100" s="126" t="s">
        <v>173</v>
      </c>
      <c r="I100" s="126" t="s">
        <v>736</v>
      </c>
      <c r="J100" s="131"/>
      <c r="K100" s="127"/>
      <c r="L100" s="131"/>
      <c r="M100" s="126"/>
      <c r="N100" s="127">
        <f xml:space="preserve"> LEN(韻母對照表[[#This Row],[台羅拼音]])</f>
        <v>3</v>
      </c>
    </row>
    <row r="101" spans="1:14" ht="27.75" thickBot="1">
      <c r="A101" s="123">
        <v>98</v>
      </c>
      <c r="B101" s="124" t="s">
        <v>559</v>
      </c>
      <c r="C101" s="125" t="s">
        <v>560</v>
      </c>
      <c r="D101" s="126" t="s">
        <v>560</v>
      </c>
      <c r="E101" s="126" t="s">
        <v>560</v>
      </c>
      <c r="F101" s="126" t="s">
        <v>560</v>
      </c>
      <c r="G101" s="126" t="s">
        <v>560</v>
      </c>
      <c r="H101" s="126" t="s">
        <v>1136</v>
      </c>
      <c r="I101" s="126" t="s">
        <v>1137</v>
      </c>
      <c r="J101" s="127" t="s">
        <v>1133</v>
      </c>
      <c r="K101" s="127" t="s">
        <v>1138</v>
      </c>
      <c r="L101" s="127" t="s">
        <v>1139</v>
      </c>
      <c r="M101" s="126"/>
      <c r="N101" s="127">
        <f xml:space="preserve"> LEN(韻母對照表[[#This Row],[台羅拼音]])</f>
        <v>2</v>
      </c>
    </row>
    <row r="102" spans="1:14" ht="27" thickBot="1"/>
    <row r="103" spans="1:14" ht="51" thickBot="1">
      <c r="B103" s="121" t="s">
        <v>1140</v>
      </c>
      <c r="C103" s="121" t="s">
        <v>1141</v>
      </c>
      <c r="D103" s="121" t="s">
        <v>1141</v>
      </c>
      <c r="F103" s="162" t="s">
        <v>1180</v>
      </c>
      <c r="G103" s="163" t="s">
        <v>1181</v>
      </c>
    </row>
    <row r="104" spans="1:14" ht="27" thickBot="1">
      <c r="B104" s="126" t="s">
        <v>561</v>
      </c>
      <c r="C104" s="126">
        <f xml:space="preserve"> HEX2DEC(VALUE(RIGHT(B104,4)))</f>
        <v>771</v>
      </c>
      <c r="D104" s="181" t="str">
        <f xml:space="preserve"> _xlfn.CONCAT("a", _xlfn.UNICHAR(HEX2DEC(RIGHT(B104,4))))</f>
        <v>ã</v>
      </c>
      <c r="F104" s="116" t="s">
        <v>17</v>
      </c>
      <c r="G104" s="116" t="s">
        <v>1175</v>
      </c>
    </row>
    <row r="105" spans="1:14" ht="27" thickBot="1">
      <c r="B105" s="126" t="s">
        <v>562</v>
      </c>
      <c r="C105" s="126">
        <f xml:space="preserve"> HEX2DEC(VALUE(RIGHT(B105,4)))</f>
        <v>660</v>
      </c>
      <c r="D105" s="181" t="str">
        <f xml:space="preserve"> _xlfn.CONCAT("a", _xlfn.UNICHAR(HEX2DEC(RIGHT(B105,4))))</f>
        <v>aʔ</v>
      </c>
      <c r="F105" s="116" t="s">
        <v>21</v>
      </c>
      <c r="G105" s="116" t="s">
        <v>1176</v>
      </c>
    </row>
    <row r="106" spans="1:14" ht="27" thickBot="1">
      <c r="B106" s="126" t="s">
        <v>1230</v>
      </c>
      <c r="C106" s="126">
        <v>794</v>
      </c>
      <c r="D106" s="181" t="str">
        <f xml:space="preserve"> _xlfn.CONCAT("p", _xlfn.UNICHAR(HEX2DEC(RIGHT(B106,4))))</f>
        <v>p̚</v>
      </c>
      <c r="F106" s="116" t="s">
        <v>25</v>
      </c>
      <c r="G106" s="116" t="s">
        <v>1177</v>
      </c>
    </row>
    <row r="107" spans="1:14" ht="27" thickBot="1">
      <c r="F107" s="116" t="s">
        <v>32</v>
      </c>
      <c r="G107" s="116" t="s">
        <v>1179</v>
      </c>
    </row>
    <row r="108" spans="1:14" ht="27" thickBot="1">
      <c r="B108" s="121" t="s">
        <v>563</v>
      </c>
      <c r="C108" s="121">
        <f xml:space="preserve"> HEX2DEC(VALUE(RIGHT(B108,4)))</f>
        <v>2134</v>
      </c>
      <c r="D108" s="181" t="str">
        <f xml:space="preserve"> _xlfn.CONCAT("o", _xlfn.UNICHAR( RIGHT(B108,4)))</f>
        <v>o͘</v>
      </c>
    </row>
    <row r="109" spans="1:14" ht="27" thickBot="1">
      <c r="B109" s="121" t="s">
        <v>564</v>
      </c>
      <c r="C109" s="121">
        <f xml:space="preserve"> _xlfn.UNICODE( RIGHT(B109,1) )</f>
        <v>856</v>
      </c>
      <c r="D109" s="181" t="str">
        <f xml:space="preserve"> _xlfn.CONCAT("o", _xlfn.UNICHAR(C109))</f>
        <v>o͘</v>
      </c>
    </row>
    <row r="110" spans="1:14" ht="27" thickBot="1"/>
    <row r="111" spans="1:14" ht="27" thickBot="1">
      <c r="B111" s="121" t="s">
        <v>1142</v>
      </c>
      <c r="C111" s="121" t="s">
        <v>1143</v>
      </c>
    </row>
    <row r="112" spans="1:14" ht="27" thickBot="1">
      <c r="B112" s="121" t="s">
        <v>1144</v>
      </c>
      <c r="C112" s="121" t="s">
        <v>565</v>
      </c>
    </row>
    <row r="113" spans="1:1">
      <c r="A113" s="115" t="str">
        <f xml:space="preserve"> "(""" &amp; _xlfn.TEXTJOIN(""",""",TRUE,F4:F101) &amp; """)"</f>
        <v>("a","ah","ai","aih","nai","ak","am","an","ang","na","nah","ap","at","ao","aoh","nau","e","eh","ne","ennh","i","ia","iah","iak","iam","ian","iang","nia","iannh","iap","iat","iao","iaoh","niao","ih","ik","im","in","ing","ni","io","ioh","ioo","nioo","iok","iong","ip","it","iu","niu","niuh","m","mh","ng","ngh","o","oh","ok","om","ong","noo","niuh","oo","ooh","op","u","ua","uah","uai","nuai","uaih","uainnh","uan","uang","nua","uat","ue","ueh","uh","ui","uih","nui","un","nu","ut")</v>
      </c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54F8-EADE-4CC9-A37E-73ED4749591F}">
  <dimension ref="B2:V17"/>
  <sheetViews>
    <sheetView showGridLines="0" workbookViewId="0">
      <selection activeCell="V5" sqref="B2:V5"/>
    </sheetView>
  </sheetViews>
  <sheetFormatPr defaultRowHeight="31.5" customHeight="1"/>
  <cols>
    <col min="1" max="1" width="2.5" customWidth="1"/>
    <col min="2" max="2" width="11.296875" customWidth="1"/>
    <col min="3" max="22" width="6.69921875" customWidth="1"/>
  </cols>
  <sheetData>
    <row r="2" spans="2:22" ht="31.5" customHeight="1">
      <c r="B2" s="322" t="s">
        <v>754</v>
      </c>
      <c r="C2" s="323">
        <f xml:space="preserve"> COLUMN() - 2</f>
        <v>1</v>
      </c>
      <c r="D2" s="323">
        <f t="shared" ref="D2:V2" si="0" xml:space="preserve"> COLUMN() - 2</f>
        <v>2</v>
      </c>
      <c r="E2" s="323">
        <f t="shared" si="0"/>
        <v>3</v>
      </c>
      <c r="F2" s="323">
        <f t="shared" si="0"/>
        <v>4</v>
      </c>
      <c r="G2" s="323">
        <f t="shared" si="0"/>
        <v>5</v>
      </c>
      <c r="H2" s="323">
        <f t="shared" si="0"/>
        <v>6</v>
      </c>
      <c r="I2" s="323">
        <f t="shared" si="0"/>
        <v>7</v>
      </c>
      <c r="J2" s="323">
        <f t="shared" si="0"/>
        <v>8</v>
      </c>
      <c r="K2" s="323">
        <f t="shared" si="0"/>
        <v>9</v>
      </c>
      <c r="L2" s="323">
        <f t="shared" si="0"/>
        <v>10</v>
      </c>
      <c r="M2" s="323">
        <f t="shared" si="0"/>
        <v>11</v>
      </c>
      <c r="N2" s="323">
        <f t="shared" si="0"/>
        <v>12</v>
      </c>
      <c r="O2" s="323">
        <f t="shared" si="0"/>
        <v>13</v>
      </c>
      <c r="P2" s="323">
        <f t="shared" si="0"/>
        <v>14</v>
      </c>
      <c r="Q2" s="323">
        <f t="shared" si="0"/>
        <v>15</v>
      </c>
      <c r="R2" s="323">
        <f t="shared" si="0"/>
        <v>16</v>
      </c>
      <c r="S2" s="323">
        <f t="shared" si="0"/>
        <v>17</v>
      </c>
      <c r="T2" s="323">
        <f t="shared" si="0"/>
        <v>18</v>
      </c>
      <c r="U2" s="323">
        <f t="shared" si="0"/>
        <v>19</v>
      </c>
      <c r="V2" s="323">
        <f t="shared" si="0"/>
        <v>20</v>
      </c>
    </row>
    <row r="3" spans="2:22" ht="48" customHeight="1">
      <c r="B3" s="322" t="s">
        <v>755</v>
      </c>
      <c r="C3" s="327" t="s">
        <v>375</v>
      </c>
      <c r="D3" s="327" t="s">
        <v>396</v>
      </c>
      <c r="E3" s="327" t="s">
        <v>379</v>
      </c>
      <c r="F3" s="327" t="s">
        <v>388</v>
      </c>
      <c r="G3" s="327" t="s">
        <v>484</v>
      </c>
      <c r="H3" s="327" t="s">
        <v>1296</v>
      </c>
      <c r="I3" s="328" t="s">
        <v>1297</v>
      </c>
      <c r="J3" s="328" t="s">
        <v>1298</v>
      </c>
      <c r="K3" s="328" t="s">
        <v>391</v>
      </c>
      <c r="L3" s="328" t="s">
        <v>389</v>
      </c>
      <c r="M3" s="328" t="s">
        <v>1299</v>
      </c>
      <c r="N3" s="327" t="s">
        <v>476</v>
      </c>
      <c r="O3" s="327" t="s">
        <v>1300</v>
      </c>
      <c r="P3" s="328" t="s">
        <v>511</v>
      </c>
      <c r="Q3" s="328" t="s">
        <v>541</v>
      </c>
      <c r="R3" s="328" t="s">
        <v>517</v>
      </c>
      <c r="S3" s="328" t="s">
        <v>530</v>
      </c>
      <c r="T3" s="332" t="s">
        <v>1301</v>
      </c>
      <c r="U3" s="332" t="s">
        <v>443</v>
      </c>
      <c r="V3" s="329" t="s">
        <v>392</v>
      </c>
    </row>
    <row r="4" spans="2:22" ht="48" customHeight="1">
      <c r="B4" s="322" t="s">
        <v>761</v>
      </c>
      <c r="C4" s="324" t="s">
        <v>1311</v>
      </c>
      <c r="D4" s="324" t="s">
        <v>1312</v>
      </c>
      <c r="E4" s="324" t="s">
        <v>1313</v>
      </c>
      <c r="F4" s="324" t="s">
        <v>154</v>
      </c>
      <c r="G4" s="324" t="s">
        <v>1314</v>
      </c>
      <c r="H4" s="324" t="s">
        <v>155</v>
      </c>
      <c r="I4" s="325" t="s">
        <v>1315</v>
      </c>
      <c r="J4" s="325" t="s">
        <v>1316</v>
      </c>
      <c r="K4" s="325" t="s">
        <v>1317</v>
      </c>
      <c r="L4" s="325" t="s">
        <v>166</v>
      </c>
      <c r="M4" s="325" t="s">
        <v>1318</v>
      </c>
      <c r="N4" s="324" t="s">
        <v>157</v>
      </c>
      <c r="O4" s="324" t="s">
        <v>159</v>
      </c>
      <c r="P4" s="325" t="s">
        <v>1302</v>
      </c>
      <c r="Q4" s="325" t="s">
        <v>1303</v>
      </c>
      <c r="R4" s="325" t="s">
        <v>1304</v>
      </c>
      <c r="S4" s="325" t="s">
        <v>1305</v>
      </c>
      <c r="T4" s="333" t="s">
        <v>1306</v>
      </c>
      <c r="U4" s="333" t="s">
        <v>1307</v>
      </c>
      <c r="V4" s="330" t="s">
        <v>171</v>
      </c>
    </row>
    <row r="5" spans="2:22" ht="48" customHeight="1">
      <c r="B5" s="322" t="s">
        <v>762</v>
      </c>
      <c r="C5" s="324" t="s">
        <v>1311</v>
      </c>
      <c r="D5" s="324" t="s">
        <v>1312</v>
      </c>
      <c r="E5" s="324" t="s">
        <v>1313</v>
      </c>
      <c r="F5" s="324" t="s">
        <v>1319</v>
      </c>
      <c r="G5" s="324" t="s">
        <v>1314</v>
      </c>
      <c r="H5" s="324" t="s">
        <v>1320</v>
      </c>
      <c r="I5" s="325" t="s">
        <v>1315</v>
      </c>
      <c r="J5" s="325" t="s">
        <v>1316</v>
      </c>
      <c r="K5" s="325" t="s">
        <v>1317</v>
      </c>
      <c r="L5" s="331" t="s">
        <v>1308</v>
      </c>
      <c r="M5" s="325" t="s">
        <v>1318</v>
      </c>
      <c r="N5" s="324" t="s">
        <v>1321</v>
      </c>
      <c r="O5" s="324" t="s">
        <v>1322</v>
      </c>
      <c r="P5" s="331" t="s">
        <v>1302</v>
      </c>
      <c r="Q5" s="331" t="s">
        <v>1309</v>
      </c>
      <c r="R5" s="331" t="s">
        <v>1304</v>
      </c>
      <c r="S5" s="331" t="s">
        <v>1305</v>
      </c>
      <c r="T5" s="333" t="s">
        <v>1306</v>
      </c>
      <c r="U5" s="333" t="s">
        <v>1310</v>
      </c>
      <c r="V5" s="330" t="s">
        <v>1323</v>
      </c>
    </row>
    <row r="8" spans="2:22" ht="31.5" customHeight="1" thickBot="1"/>
    <row r="9" spans="2:22" ht="31.5" customHeight="1" thickBot="1">
      <c r="B9" s="314" t="s">
        <v>754</v>
      </c>
      <c r="C9" s="315">
        <f xml:space="preserve"> COLUMN() - 2</f>
        <v>1</v>
      </c>
      <c r="D9" s="315">
        <f t="shared" ref="D9:V9" si="1" xml:space="preserve"> COLUMN() - 2</f>
        <v>2</v>
      </c>
      <c r="E9" s="315">
        <f t="shared" si="1"/>
        <v>3</v>
      </c>
      <c r="F9" s="315">
        <f t="shared" si="1"/>
        <v>4</v>
      </c>
      <c r="G9" s="315">
        <f t="shared" si="1"/>
        <v>5</v>
      </c>
      <c r="H9" s="315">
        <f t="shared" si="1"/>
        <v>6</v>
      </c>
      <c r="I9" s="315">
        <f t="shared" si="1"/>
        <v>7</v>
      </c>
      <c r="J9" s="315">
        <f t="shared" si="1"/>
        <v>8</v>
      </c>
      <c r="K9" s="315">
        <f t="shared" si="1"/>
        <v>9</v>
      </c>
      <c r="L9" s="315">
        <f t="shared" si="1"/>
        <v>10</v>
      </c>
      <c r="M9" s="315">
        <f t="shared" si="1"/>
        <v>11</v>
      </c>
      <c r="N9" s="315">
        <f t="shared" si="1"/>
        <v>12</v>
      </c>
      <c r="O9" s="315">
        <f t="shared" si="1"/>
        <v>13</v>
      </c>
      <c r="P9" s="315">
        <f t="shared" si="1"/>
        <v>14</v>
      </c>
      <c r="Q9" s="315">
        <f t="shared" si="1"/>
        <v>15</v>
      </c>
      <c r="R9" s="315">
        <f t="shared" si="1"/>
        <v>16</v>
      </c>
      <c r="S9" s="315">
        <f t="shared" si="1"/>
        <v>17</v>
      </c>
      <c r="T9" s="315">
        <f t="shared" si="1"/>
        <v>18</v>
      </c>
      <c r="U9" s="315">
        <f t="shared" si="1"/>
        <v>19</v>
      </c>
      <c r="V9" s="315">
        <f t="shared" si="1"/>
        <v>20</v>
      </c>
    </row>
    <row r="10" spans="2:22" ht="31.5" customHeight="1" thickBot="1">
      <c r="B10" s="314" t="s">
        <v>755</v>
      </c>
      <c r="C10" s="316" t="s">
        <v>375</v>
      </c>
      <c r="D10" s="316" t="s">
        <v>396</v>
      </c>
      <c r="E10" s="316" t="s">
        <v>379</v>
      </c>
      <c r="F10" s="316" t="s">
        <v>388</v>
      </c>
      <c r="G10" s="316" t="s">
        <v>484</v>
      </c>
      <c r="H10" s="316" t="s">
        <v>1045</v>
      </c>
      <c r="I10" s="317" t="s">
        <v>776</v>
      </c>
      <c r="J10" s="317" t="s">
        <v>826</v>
      </c>
      <c r="K10" s="317" t="s">
        <v>391</v>
      </c>
      <c r="L10" s="317" t="s">
        <v>389</v>
      </c>
      <c r="M10" s="317" t="s">
        <v>805</v>
      </c>
      <c r="N10" s="316" t="s">
        <v>476</v>
      </c>
      <c r="O10" s="316" t="s">
        <v>1004</v>
      </c>
      <c r="P10" s="316" t="s">
        <v>511</v>
      </c>
      <c r="Q10" s="316" t="s">
        <v>541</v>
      </c>
      <c r="R10" s="316" t="s">
        <v>517</v>
      </c>
      <c r="S10" s="316" t="s">
        <v>530</v>
      </c>
      <c r="T10" s="316" t="s">
        <v>948</v>
      </c>
      <c r="U10" s="316" t="s">
        <v>443</v>
      </c>
      <c r="V10" s="316" t="s">
        <v>392</v>
      </c>
    </row>
    <row r="11" spans="2:22" ht="31.5" customHeight="1" thickBot="1">
      <c r="B11" s="314" t="s">
        <v>756</v>
      </c>
      <c r="C11" s="318" t="s">
        <v>10</v>
      </c>
      <c r="D11" s="318" t="s">
        <v>62</v>
      </c>
      <c r="E11" s="318" t="s">
        <v>63</v>
      </c>
      <c r="F11" s="318" t="s">
        <v>85</v>
      </c>
      <c r="G11" s="318" t="s">
        <v>125</v>
      </c>
      <c r="H11" s="318" t="s">
        <v>184</v>
      </c>
      <c r="I11" s="319" t="s">
        <v>206</v>
      </c>
      <c r="J11" s="319" t="s">
        <v>208</v>
      </c>
      <c r="K11" s="319" t="s">
        <v>212</v>
      </c>
      <c r="L11" s="319" t="s">
        <v>210</v>
      </c>
      <c r="M11" s="319" t="s">
        <v>215</v>
      </c>
      <c r="N11" s="318" t="s">
        <v>68</v>
      </c>
      <c r="O11" s="318" t="s">
        <v>198</v>
      </c>
      <c r="P11" s="318" t="s">
        <v>512</v>
      </c>
      <c r="Q11" s="318" t="s">
        <v>542</v>
      </c>
      <c r="R11" s="318" t="s">
        <v>518</v>
      </c>
      <c r="S11" s="318" t="s">
        <v>531</v>
      </c>
      <c r="T11" s="318" t="s">
        <v>451</v>
      </c>
      <c r="U11" s="318" t="s">
        <v>444</v>
      </c>
      <c r="V11" s="318" t="s">
        <v>393</v>
      </c>
    </row>
    <row r="12" spans="2:22" ht="31.5" customHeight="1" thickBot="1">
      <c r="B12" s="314" t="s">
        <v>757</v>
      </c>
      <c r="C12" s="320" t="s">
        <v>10</v>
      </c>
      <c r="D12" s="320" t="s">
        <v>62</v>
      </c>
      <c r="E12" s="320" t="s">
        <v>63</v>
      </c>
      <c r="F12" s="320" t="s">
        <v>41</v>
      </c>
      <c r="G12" s="320" t="s">
        <v>125</v>
      </c>
      <c r="H12" s="320" t="s">
        <v>184</v>
      </c>
      <c r="I12" s="321" t="s">
        <v>206</v>
      </c>
      <c r="J12" s="321" t="s">
        <v>208</v>
      </c>
      <c r="K12" s="321" t="s">
        <v>212</v>
      </c>
      <c r="L12" s="321" t="s">
        <v>210</v>
      </c>
      <c r="M12" s="321" t="s">
        <v>215</v>
      </c>
      <c r="N12" s="320" t="s">
        <v>68</v>
      </c>
      <c r="O12" s="320" t="s">
        <v>198</v>
      </c>
      <c r="P12" s="320" t="s">
        <v>512</v>
      </c>
      <c r="Q12" s="320" t="s">
        <v>542</v>
      </c>
      <c r="R12" s="320" t="s">
        <v>518</v>
      </c>
      <c r="S12" s="320" t="s">
        <v>531</v>
      </c>
      <c r="T12" s="320" t="s">
        <v>451</v>
      </c>
      <c r="U12" s="320" t="s">
        <v>444</v>
      </c>
      <c r="V12" s="320" t="s">
        <v>393</v>
      </c>
    </row>
    <row r="13" spans="2:22" ht="31.5" customHeight="1" thickBot="1">
      <c r="B13" s="314" t="s">
        <v>758</v>
      </c>
      <c r="C13" s="320" t="s">
        <v>10</v>
      </c>
      <c r="D13" s="320" t="s">
        <v>62</v>
      </c>
      <c r="E13" s="320" t="s">
        <v>63</v>
      </c>
      <c r="F13" s="320" t="s">
        <v>85</v>
      </c>
      <c r="G13" s="320" t="s">
        <v>485</v>
      </c>
      <c r="H13" s="320" t="s">
        <v>184</v>
      </c>
      <c r="I13" s="321" t="s">
        <v>206</v>
      </c>
      <c r="J13" s="321" t="s">
        <v>208</v>
      </c>
      <c r="K13" s="321" t="s">
        <v>212</v>
      </c>
      <c r="L13" s="321" t="s">
        <v>210</v>
      </c>
      <c r="M13" s="321" t="s">
        <v>215</v>
      </c>
      <c r="N13" s="320" t="s">
        <v>68</v>
      </c>
      <c r="O13" s="320" t="s">
        <v>198</v>
      </c>
      <c r="P13" s="320" t="s">
        <v>512</v>
      </c>
      <c r="Q13" s="320" t="s">
        <v>542</v>
      </c>
      <c r="R13" s="320" t="s">
        <v>518</v>
      </c>
      <c r="S13" s="320" t="s">
        <v>531</v>
      </c>
      <c r="T13" s="320" t="s">
        <v>451</v>
      </c>
      <c r="U13" s="320" t="s">
        <v>445</v>
      </c>
      <c r="V13" s="320" t="s">
        <v>393</v>
      </c>
    </row>
    <row r="14" spans="2:22" ht="31.5" customHeight="1" thickBot="1">
      <c r="B14" s="314" t="s">
        <v>759</v>
      </c>
      <c r="C14" s="320" t="s">
        <v>10</v>
      </c>
      <c r="D14" s="320" t="s">
        <v>62</v>
      </c>
      <c r="E14" s="320" t="s">
        <v>63</v>
      </c>
      <c r="F14" s="320" t="s">
        <v>85</v>
      </c>
      <c r="G14" s="320" t="s">
        <v>125</v>
      </c>
      <c r="H14" s="320" t="s">
        <v>184</v>
      </c>
      <c r="I14" s="321" t="s">
        <v>206</v>
      </c>
      <c r="J14" s="321" t="s">
        <v>404</v>
      </c>
      <c r="K14" s="321" t="s">
        <v>212</v>
      </c>
      <c r="L14" s="321" t="s">
        <v>210</v>
      </c>
      <c r="M14" s="321" t="s">
        <v>215</v>
      </c>
      <c r="N14" s="320" t="s">
        <v>68</v>
      </c>
      <c r="O14" s="320" t="s">
        <v>198</v>
      </c>
      <c r="P14" s="320" t="s">
        <v>512</v>
      </c>
      <c r="Q14" s="320" t="s">
        <v>542</v>
      </c>
      <c r="R14" s="320" t="s">
        <v>518</v>
      </c>
      <c r="S14" s="320" t="s">
        <v>531</v>
      </c>
      <c r="T14" s="320" t="s">
        <v>451</v>
      </c>
      <c r="U14" s="320" t="s">
        <v>444</v>
      </c>
      <c r="V14" s="320" t="s">
        <v>394</v>
      </c>
    </row>
    <row r="15" spans="2:22" ht="31.5" customHeight="1" thickBot="1">
      <c r="B15" s="314" t="s">
        <v>760</v>
      </c>
      <c r="C15" s="320" t="s">
        <v>10</v>
      </c>
      <c r="D15" s="320" t="s">
        <v>62</v>
      </c>
      <c r="E15" s="320" t="s">
        <v>63</v>
      </c>
      <c r="F15" s="320" t="s">
        <v>408</v>
      </c>
      <c r="G15" s="320" t="s">
        <v>125</v>
      </c>
      <c r="H15" s="320" t="s">
        <v>502</v>
      </c>
      <c r="I15" s="321" t="s">
        <v>206</v>
      </c>
      <c r="J15" s="321" t="s">
        <v>208</v>
      </c>
      <c r="K15" s="321" t="s">
        <v>212</v>
      </c>
      <c r="L15" s="321" t="s">
        <v>210</v>
      </c>
      <c r="M15" s="321" t="s">
        <v>215</v>
      </c>
      <c r="N15" s="320" t="s">
        <v>68</v>
      </c>
      <c r="O15" s="320" t="s">
        <v>198</v>
      </c>
      <c r="P15" s="320" t="s">
        <v>513</v>
      </c>
      <c r="Q15" s="320" t="s">
        <v>543</v>
      </c>
      <c r="R15" s="320" t="s">
        <v>519</v>
      </c>
      <c r="S15" s="320" t="s">
        <v>532</v>
      </c>
      <c r="T15" s="320" t="s">
        <v>452</v>
      </c>
      <c r="U15" s="320" t="s">
        <v>446</v>
      </c>
      <c r="V15" s="320" t="s">
        <v>809</v>
      </c>
    </row>
    <row r="16" spans="2:22" ht="31.5" customHeight="1" thickBot="1">
      <c r="B16" s="314" t="s">
        <v>761</v>
      </c>
      <c r="C16" s="320" t="s">
        <v>768</v>
      </c>
      <c r="D16" s="320" t="s">
        <v>870</v>
      </c>
      <c r="E16" s="320" t="s">
        <v>1057</v>
      </c>
      <c r="F16" s="320" t="s">
        <v>154</v>
      </c>
      <c r="G16" s="320" t="s">
        <v>1012</v>
      </c>
      <c r="H16" s="320" t="s">
        <v>155</v>
      </c>
      <c r="I16" s="321" t="s">
        <v>777</v>
      </c>
      <c r="J16" s="321" t="s">
        <v>827</v>
      </c>
      <c r="K16" s="321" t="s">
        <v>801</v>
      </c>
      <c r="L16" s="321" t="s">
        <v>166</v>
      </c>
      <c r="M16" s="321" t="s">
        <v>806</v>
      </c>
      <c r="N16" s="320" t="s">
        <v>157</v>
      </c>
      <c r="O16" s="320" t="s">
        <v>159</v>
      </c>
      <c r="P16" s="320" t="s">
        <v>1061</v>
      </c>
      <c r="Q16" s="320" t="s">
        <v>1106</v>
      </c>
      <c r="R16" s="320" t="s">
        <v>1069</v>
      </c>
      <c r="S16" s="320" t="s">
        <v>1087</v>
      </c>
      <c r="T16" s="320" t="s">
        <v>949</v>
      </c>
      <c r="U16" s="320" t="s">
        <v>935</v>
      </c>
      <c r="V16" s="320" t="s">
        <v>171</v>
      </c>
    </row>
    <row r="17" spans="2:22" ht="31.5" customHeight="1" thickBot="1">
      <c r="B17" s="314" t="s">
        <v>762</v>
      </c>
      <c r="C17" s="320" t="s">
        <v>768</v>
      </c>
      <c r="D17" s="320" t="s">
        <v>870</v>
      </c>
      <c r="E17" s="320" t="s">
        <v>1057</v>
      </c>
      <c r="F17" s="320" t="s">
        <v>835</v>
      </c>
      <c r="G17" s="320" t="s">
        <v>1012</v>
      </c>
      <c r="H17" s="320" t="s">
        <v>1046</v>
      </c>
      <c r="I17" s="321" t="s">
        <v>777</v>
      </c>
      <c r="J17" s="321" t="s">
        <v>827</v>
      </c>
      <c r="K17" s="321" t="s">
        <v>801</v>
      </c>
      <c r="L17" s="321" t="s">
        <v>797</v>
      </c>
      <c r="M17" s="321" t="s">
        <v>806</v>
      </c>
      <c r="N17" s="320" t="s">
        <v>999</v>
      </c>
      <c r="O17" s="320" t="s">
        <v>1005</v>
      </c>
      <c r="P17" s="320" t="s">
        <v>1061</v>
      </c>
      <c r="Q17" s="320" t="s">
        <v>1107</v>
      </c>
      <c r="R17" s="320" t="s">
        <v>1069</v>
      </c>
      <c r="S17" s="320" t="s">
        <v>1087</v>
      </c>
      <c r="T17" s="320" t="s">
        <v>949</v>
      </c>
      <c r="U17" s="320" t="s">
        <v>936</v>
      </c>
      <c r="V17" s="320" t="s">
        <v>810</v>
      </c>
    </row>
  </sheetData>
  <phoneticPr fontId="3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D253-5A0D-4A8A-9159-20BEFB4C8965}">
  <dimension ref="A1:AN92"/>
  <sheetViews>
    <sheetView workbookViewId="0"/>
  </sheetViews>
  <sheetFormatPr defaultRowHeight="26.25"/>
  <cols>
    <col min="1" max="1" width="5.8984375" style="57" customWidth="1"/>
    <col min="2" max="13" width="6" style="58" customWidth="1"/>
    <col min="14" max="19" width="15.5" style="59" bestFit="1" customWidth="1"/>
    <col min="20" max="22" width="15.8984375" style="59" customWidth="1"/>
    <col min="23" max="23" width="15.8984375" style="57" customWidth="1"/>
    <col min="24" max="16384" width="8.796875" style="57"/>
  </cols>
  <sheetData>
    <row r="1" spans="1:40" ht="30" customHeight="1">
      <c r="C1" s="58">
        <v>1</v>
      </c>
      <c r="D1" s="58">
        <v>2</v>
      </c>
      <c r="E1" s="58">
        <v>3</v>
      </c>
      <c r="F1" s="58">
        <v>4</v>
      </c>
      <c r="G1" s="58">
        <v>5</v>
      </c>
      <c r="H1" s="58">
        <v>6</v>
      </c>
      <c r="I1" s="58">
        <v>7</v>
      </c>
      <c r="J1" s="58">
        <v>8</v>
      </c>
      <c r="K1" s="58">
        <v>9</v>
      </c>
      <c r="L1" s="58">
        <v>9</v>
      </c>
    </row>
    <row r="3" spans="1:40" ht="27">
      <c r="A3" s="60"/>
      <c r="D3" s="61" t="s">
        <v>367</v>
      </c>
      <c r="E3" s="61" t="s">
        <v>368</v>
      </c>
      <c r="F3" s="61"/>
      <c r="G3" s="61" t="s">
        <v>369</v>
      </c>
      <c r="H3" s="61" t="s">
        <v>370</v>
      </c>
      <c r="I3" s="61" t="s">
        <v>371</v>
      </c>
      <c r="J3" s="61" t="s">
        <v>372</v>
      </c>
      <c r="K3" s="61" t="s">
        <v>373</v>
      </c>
      <c r="L3" s="61" t="s">
        <v>374</v>
      </c>
      <c r="M3" s="62"/>
    </row>
    <row r="4" spans="1:40" ht="27">
      <c r="A4" s="63"/>
      <c r="B4" s="58" t="s">
        <v>375</v>
      </c>
      <c r="C4" s="64" t="str">
        <f xml:space="preserve"> _xlfn.CONCAT($B4, IF(C$3="", "", _xlfn.UNICHAR( HEX2DEC( RIGHT(C$3,4)))))</f>
        <v>a</v>
      </c>
      <c r="D4" s="64" t="str">
        <f t="shared" ref="D4:L6" si="0" xml:space="preserve"> _xlfn.CONCAT($B4, IF(D$3="", "", _xlfn.UNICHAR( HEX2DEC( RIGHT(D$3,4)))))</f>
        <v>á</v>
      </c>
      <c r="E4" s="64" t="str">
        <f t="shared" si="0"/>
        <v>à</v>
      </c>
      <c r="F4" s="64" t="str">
        <f t="shared" si="0"/>
        <v>a</v>
      </c>
      <c r="G4" s="64" t="str">
        <f t="shared" si="0"/>
        <v>ǎ</v>
      </c>
      <c r="H4" s="64" t="str">
        <f t="shared" si="0"/>
        <v>á</v>
      </c>
      <c r="I4" s="64" t="str">
        <f t="shared" si="0"/>
        <v>ā</v>
      </c>
      <c r="J4" s="64" t="str">
        <f t="shared" si="0"/>
        <v>a̍</v>
      </c>
      <c r="K4" s="64" t="str">
        <f t="shared" si="0"/>
        <v>a̋</v>
      </c>
      <c r="L4" s="64" t="str">
        <f t="shared" si="0"/>
        <v>å</v>
      </c>
      <c r="N4" s="65" t="str">
        <f t="shared" ref="N4:W6" si="1" xml:space="preserve"> _xlfn.CONCAT("    - xform/》", $B4, C$1, "/", C4, "/")</f>
        <v xml:space="preserve">    - xform/》a1/a/</v>
      </c>
      <c r="O4" s="65" t="str">
        <f t="shared" si="1"/>
        <v xml:space="preserve">    - xform/》a2/á/</v>
      </c>
      <c r="P4" s="65" t="str">
        <f t="shared" si="1"/>
        <v xml:space="preserve">    - xform/》a3/à/</v>
      </c>
      <c r="Q4" s="65" t="str">
        <f t="shared" si="1"/>
        <v xml:space="preserve">    - xform/》a4/a/</v>
      </c>
      <c r="R4" s="65" t="str">
        <f t="shared" si="1"/>
        <v xml:space="preserve">    - xform/》a5/ǎ/</v>
      </c>
      <c r="S4" s="65" t="str">
        <f t="shared" si="1"/>
        <v xml:space="preserve">    - xform/》a6/á/</v>
      </c>
      <c r="T4" s="65" t="str">
        <f t="shared" si="1"/>
        <v xml:space="preserve">    - xform/》a7/ā/</v>
      </c>
      <c r="U4" s="65" t="str">
        <f t="shared" si="1"/>
        <v xml:space="preserve">    - xform/》a8/a̍/</v>
      </c>
      <c r="V4" s="65" t="str">
        <f t="shared" si="1"/>
        <v xml:space="preserve">    - xform/》a9/a̋/</v>
      </c>
      <c r="W4" s="65" t="str">
        <f t="shared" si="1"/>
        <v xml:space="preserve">    - xform/》a9/å/</v>
      </c>
      <c r="X4" s="64"/>
      <c r="Y4" s="64"/>
      <c r="Z4" s="58"/>
    </row>
    <row r="5" spans="1:40" ht="27">
      <c r="A5" s="63"/>
      <c r="B5" s="58" t="s">
        <v>396</v>
      </c>
      <c r="C5" s="64" t="str">
        <f xml:space="preserve"> _xlfn.CONCAT($B5, IF(C$3="", "", _xlfn.UNICHAR( HEX2DEC( RIGHT(C$3,4)))))</f>
        <v>i</v>
      </c>
      <c r="D5" s="64" t="str">
        <f t="shared" ref="D5:L5" si="2" xml:space="preserve"> _xlfn.CONCAT($B5, IF(D$3="", "", _xlfn.UNICHAR( HEX2DEC( RIGHT(D$3,4)))))</f>
        <v>í</v>
      </c>
      <c r="E5" s="64" t="str">
        <f t="shared" si="2"/>
        <v>ì</v>
      </c>
      <c r="F5" s="64" t="str">
        <f t="shared" si="2"/>
        <v>i</v>
      </c>
      <c r="G5" s="64" t="str">
        <f t="shared" si="2"/>
        <v>ǐ</v>
      </c>
      <c r="H5" s="64" t="str">
        <f t="shared" si="2"/>
        <v>í</v>
      </c>
      <c r="I5" s="64" t="str">
        <f t="shared" si="2"/>
        <v>ī</v>
      </c>
      <c r="J5" s="64" t="str">
        <f t="shared" si="2"/>
        <v>i̍</v>
      </c>
      <c r="K5" s="64" t="str">
        <f t="shared" si="2"/>
        <v>i̋</v>
      </c>
      <c r="L5" s="64" t="str">
        <f t="shared" si="2"/>
        <v>i̊</v>
      </c>
      <c r="N5" s="65" t="str">
        <f t="shared" ref="N5:W5" si="3" xml:space="preserve"> _xlfn.CONCAT("    - xform/》", $B5, C$1, "/", C5, "/")</f>
        <v xml:space="preserve">    - xform/》i1/i/</v>
      </c>
      <c r="O5" s="65" t="str">
        <f t="shared" si="3"/>
        <v xml:space="preserve">    - xform/》i2/í/</v>
      </c>
      <c r="P5" s="65" t="str">
        <f t="shared" si="3"/>
        <v xml:space="preserve">    - xform/》i3/ì/</v>
      </c>
      <c r="Q5" s="65" t="str">
        <f t="shared" si="3"/>
        <v xml:space="preserve">    - xform/》i4/i/</v>
      </c>
      <c r="R5" s="65" t="str">
        <f t="shared" si="3"/>
        <v xml:space="preserve">    - xform/》i5/ǐ/</v>
      </c>
      <c r="S5" s="65" t="str">
        <f t="shared" si="3"/>
        <v xml:space="preserve">    - xform/》i6/í/</v>
      </c>
      <c r="T5" s="65" t="str">
        <f t="shared" si="3"/>
        <v xml:space="preserve">    - xform/》i7/ī/</v>
      </c>
      <c r="U5" s="65" t="str">
        <f t="shared" si="3"/>
        <v xml:space="preserve">    - xform/》i8/i̍/</v>
      </c>
      <c r="V5" s="65" t="str">
        <f t="shared" si="3"/>
        <v xml:space="preserve">    - xform/》i9/i̋/</v>
      </c>
      <c r="W5" s="65" t="str">
        <f t="shared" si="3"/>
        <v xml:space="preserve">    - xform/》i9/i̊/</v>
      </c>
      <c r="X5" s="64"/>
      <c r="Y5" s="64"/>
      <c r="Z5" s="58"/>
    </row>
    <row r="6" spans="1:40" ht="27">
      <c r="A6" s="63"/>
      <c r="B6" s="58" t="s">
        <v>379</v>
      </c>
      <c r="C6" s="64" t="str">
        <f xml:space="preserve"> _xlfn.CONCAT($B6, IF(C$3="", "", _xlfn.UNICHAR( HEX2DEC( RIGHT(C$3,4)))))</f>
        <v>u</v>
      </c>
      <c r="D6" s="64" t="str">
        <f t="shared" si="0"/>
        <v>ú</v>
      </c>
      <c r="E6" s="64" t="str">
        <f t="shared" si="0"/>
        <v>ù</v>
      </c>
      <c r="F6" s="64" t="str">
        <f t="shared" si="0"/>
        <v>u</v>
      </c>
      <c r="G6" s="64" t="str">
        <f t="shared" si="0"/>
        <v>ǔ</v>
      </c>
      <c r="H6" s="64" t="str">
        <f t="shared" si="0"/>
        <v>ú</v>
      </c>
      <c r="I6" s="64" t="str">
        <f t="shared" si="0"/>
        <v>ū</v>
      </c>
      <c r="J6" s="64" t="str">
        <f t="shared" si="0"/>
        <v>u̍</v>
      </c>
      <c r="K6" s="64" t="str">
        <f t="shared" si="0"/>
        <v>ű</v>
      </c>
      <c r="L6" s="64" t="str">
        <f t="shared" si="0"/>
        <v>ů</v>
      </c>
      <c r="N6" s="65" t="str">
        <f t="shared" si="1"/>
        <v xml:space="preserve">    - xform/》u1/u/</v>
      </c>
      <c r="O6" s="65" t="str">
        <f t="shared" si="1"/>
        <v xml:space="preserve">    - xform/》u2/ú/</v>
      </c>
      <c r="P6" s="65" t="str">
        <f t="shared" si="1"/>
        <v xml:space="preserve">    - xform/》u3/ù/</v>
      </c>
      <c r="Q6" s="65" t="str">
        <f t="shared" si="1"/>
        <v xml:space="preserve">    - xform/》u4/u/</v>
      </c>
      <c r="R6" s="65" t="str">
        <f t="shared" si="1"/>
        <v xml:space="preserve">    - xform/》u5/ǔ/</v>
      </c>
      <c r="S6" s="65" t="str">
        <f t="shared" si="1"/>
        <v xml:space="preserve">    - xform/》u6/ú/</v>
      </c>
      <c r="T6" s="65" t="str">
        <f t="shared" si="1"/>
        <v xml:space="preserve">    - xform/》u7/ū/</v>
      </c>
      <c r="U6" s="65" t="str">
        <f t="shared" si="1"/>
        <v xml:space="preserve">    - xform/》u8/u̍/</v>
      </c>
      <c r="V6" s="65" t="str">
        <f t="shared" si="1"/>
        <v xml:space="preserve">    - xform/》u9/ű/</v>
      </c>
      <c r="W6" s="65" t="str">
        <f t="shared" si="1"/>
        <v xml:space="preserve">    - xform/》u9/ů/</v>
      </c>
      <c r="X6" s="64"/>
      <c r="Y6" s="64"/>
      <c r="Z6" s="58"/>
    </row>
    <row r="7" spans="1:40" ht="27">
      <c r="A7" s="63"/>
      <c r="B7" s="58" t="s">
        <v>388</v>
      </c>
      <c r="C7" s="64" t="str">
        <f xml:space="preserve"> _xlfn.CONCAT($B7, IF(C$3="", "", _xlfn.UNICHAR( HEX2DEC( RIGHT(C$3,4)))))</f>
        <v>e</v>
      </c>
      <c r="D7" s="64" t="str">
        <f t="shared" ref="D7:L7" si="4" xml:space="preserve"> _xlfn.CONCAT($B7, IF(D$3="", "", _xlfn.UNICHAR( HEX2DEC( RIGHT(D$3,4)))))</f>
        <v>é</v>
      </c>
      <c r="E7" s="64" t="str">
        <f t="shared" si="4"/>
        <v>è</v>
      </c>
      <c r="F7" s="64" t="str">
        <f t="shared" si="4"/>
        <v>e</v>
      </c>
      <c r="G7" s="64" t="str">
        <f t="shared" si="4"/>
        <v>ě</v>
      </c>
      <c r="H7" s="64" t="str">
        <f t="shared" si="4"/>
        <v>é</v>
      </c>
      <c r="I7" s="64" t="str">
        <f t="shared" si="4"/>
        <v>ē</v>
      </c>
      <c r="J7" s="64" t="str">
        <f t="shared" si="4"/>
        <v>e̍</v>
      </c>
      <c r="K7" s="64" t="str">
        <f t="shared" si="4"/>
        <v>e̋</v>
      </c>
      <c r="L7" s="64" t="str">
        <f t="shared" si="4"/>
        <v>e̊</v>
      </c>
      <c r="N7" s="65" t="str">
        <f t="shared" ref="N7:W7" si="5" xml:space="preserve"> _xlfn.CONCAT("    - xform/》", $B7, C$1, "/", C7, "/")</f>
        <v xml:space="preserve">    - xform/》e1/e/</v>
      </c>
      <c r="O7" s="65" t="str">
        <f t="shared" si="5"/>
        <v xml:space="preserve">    - xform/》e2/é/</v>
      </c>
      <c r="P7" s="65" t="str">
        <f t="shared" si="5"/>
        <v xml:space="preserve">    - xform/》e3/è/</v>
      </c>
      <c r="Q7" s="65" t="str">
        <f t="shared" si="5"/>
        <v xml:space="preserve">    - xform/》e4/e/</v>
      </c>
      <c r="R7" s="65" t="str">
        <f t="shared" si="5"/>
        <v xml:space="preserve">    - xform/》e5/ě/</v>
      </c>
      <c r="S7" s="65" t="str">
        <f t="shared" si="5"/>
        <v xml:space="preserve">    - xform/》e6/é/</v>
      </c>
      <c r="T7" s="65" t="str">
        <f t="shared" si="5"/>
        <v xml:space="preserve">    - xform/》e7/ē/</v>
      </c>
      <c r="U7" s="65" t="str">
        <f t="shared" si="5"/>
        <v xml:space="preserve">    - xform/》e8/e̍/</v>
      </c>
      <c r="V7" s="65" t="str">
        <f t="shared" si="5"/>
        <v xml:space="preserve">    - xform/》e9/e̋/</v>
      </c>
      <c r="W7" s="65" t="str">
        <f t="shared" si="5"/>
        <v xml:space="preserve">    - xform/》e9/e̊/</v>
      </c>
      <c r="X7" s="64"/>
      <c r="Y7" s="64"/>
      <c r="Z7" s="58"/>
    </row>
    <row r="8" spans="1:40" ht="27">
      <c r="A8" s="63"/>
      <c r="B8" s="58" t="s">
        <v>380</v>
      </c>
      <c r="C8" s="64" t="str">
        <f t="shared" ref="C8:L10" si="6" xml:space="preserve"> _xlfn.CONCAT($B8, IF(C$3="", "", _xlfn.UNICHAR( HEX2DEC( RIGHT(C$3,4)))))</f>
        <v>o</v>
      </c>
      <c r="D8" s="64" t="str">
        <f t="shared" si="6"/>
        <v>ó</v>
      </c>
      <c r="E8" s="64" t="str">
        <f t="shared" si="6"/>
        <v>ò</v>
      </c>
      <c r="F8" s="64" t="str">
        <f t="shared" si="6"/>
        <v>o</v>
      </c>
      <c r="G8" s="64" t="str">
        <f t="shared" si="6"/>
        <v>ǒ</v>
      </c>
      <c r="H8" s="64" t="str">
        <f t="shared" si="6"/>
        <v>ó</v>
      </c>
      <c r="I8" s="64" t="str">
        <f t="shared" si="6"/>
        <v>ō</v>
      </c>
      <c r="J8" s="64" t="str">
        <f t="shared" si="6"/>
        <v>o̍</v>
      </c>
      <c r="K8" s="64" t="str">
        <f t="shared" si="6"/>
        <v>ő</v>
      </c>
      <c r="L8" s="64" t="str">
        <f t="shared" si="6"/>
        <v>o̊</v>
      </c>
      <c r="N8" s="65" t="str">
        <f t="shared" ref="N8:W10" si="7" xml:space="preserve"> _xlfn.CONCAT("    - xform/》", $B8, C$1, "/", C8, "/")</f>
        <v xml:space="preserve">    - xform/》o1/o/</v>
      </c>
      <c r="O8" s="65" t="str">
        <f t="shared" si="7"/>
        <v xml:space="preserve">    - xform/》o2/ó/</v>
      </c>
      <c r="P8" s="65" t="str">
        <f t="shared" si="7"/>
        <v xml:space="preserve">    - xform/》o3/ò/</v>
      </c>
      <c r="Q8" s="65" t="str">
        <f t="shared" si="7"/>
        <v xml:space="preserve">    - xform/》o4/o/</v>
      </c>
      <c r="R8" s="65" t="str">
        <f t="shared" si="7"/>
        <v xml:space="preserve">    - xform/》o5/ǒ/</v>
      </c>
      <c r="S8" s="65" t="str">
        <f t="shared" si="7"/>
        <v xml:space="preserve">    - xform/》o6/ó/</v>
      </c>
      <c r="T8" s="65" t="str">
        <f t="shared" si="7"/>
        <v xml:space="preserve">    - xform/》o7/ō/</v>
      </c>
      <c r="U8" s="65" t="str">
        <f t="shared" si="7"/>
        <v xml:space="preserve">    - xform/》o8/o̍/</v>
      </c>
      <c r="V8" s="65" t="str">
        <f t="shared" si="7"/>
        <v xml:space="preserve">    - xform/》o9/ő/</v>
      </c>
      <c r="W8" s="65" t="str">
        <f t="shared" si="7"/>
        <v xml:space="preserve">    - xform/》o9/o̊/</v>
      </c>
      <c r="X8" s="64"/>
      <c r="Y8" s="64"/>
      <c r="Z8" s="58"/>
    </row>
    <row r="9" spans="1:40" ht="27">
      <c r="A9" s="63"/>
      <c r="B9" s="58" t="s">
        <v>257</v>
      </c>
      <c r="C9" s="64" t="str">
        <f t="shared" si="6"/>
        <v>m</v>
      </c>
      <c r="D9" s="64" t="str">
        <f t="shared" si="6"/>
        <v>ḿ</v>
      </c>
      <c r="E9" s="64" t="str">
        <f t="shared" si="6"/>
        <v>m̀</v>
      </c>
      <c r="F9" s="64" t="str">
        <f t="shared" si="6"/>
        <v>m</v>
      </c>
      <c r="G9" s="64" t="str">
        <f t="shared" si="6"/>
        <v>m̌</v>
      </c>
      <c r="H9" s="64" t="str">
        <f t="shared" si="6"/>
        <v>ḿ</v>
      </c>
      <c r="I9" s="64" t="str">
        <f t="shared" si="6"/>
        <v>m̄</v>
      </c>
      <c r="J9" s="64" t="str">
        <f t="shared" si="6"/>
        <v>m̍</v>
      </c>
      <c r="K9" s="64" t="str">
        <f t="shared" si="6"/>
        <v>m̋</v>
      </c>
      <c r="L9" s="64" t="str">
        <f t="shared" si="6"/>
        <v>m̊</v>
      </c>
      <c r="N9" s="65" t="str">
        <f t="shared" si="7"/>
        <v xml:space="preserve">    - xform/》m1/m/</v>
      </c>
      <c r="O9" s="65" t="str">
        <f t="shared" si="7"/>
        <v xml:space="preserve">    - xform/》m2/ḿ/</v>
      </c>
      <c r="P9" s="65" t="str">
        <f t="shared" si="7"/>
        <v xml:space="preserve">    - xform/》m3/m̀/</v>
      </c>
      <c r="Q9" s="65" t="str">
        <f t="shared" si="7"/>
        <v xml:space="preserve">    - xform/》m4/m/</v>
      </c>
      <c r="R9" s="65" t="str">
        <f t="shared" si="7"/>
        <v xml:space="preserve">    - xform/》m5/m̌/</v>
      </c>
      <c r="S9" s="65" t="str">
        <f t="shared" si="7"/>
        <v xml:space="preserve">    - xform/》m6/ḿ/</v>
      </c>
      <c r="T9" s="65" t="str">
        <f t="shared" si="7"/>
        <v xml:space="preserve">    - xform/》m7/m̄/</v>
      </c>
      <c r="U9" s="65" t="str">
        <f t="shared" si="7"/>
        <v xml:space="preserve">    - xform/》m8/m̍/</v>
      </c>
      <c r="V9" s="65" t="str">
        <f t="shared" si="7"/>
        <v xml:space="preserve">    - xform/》m9/m̋/</v>
      </c>
      <c r="W9" s="65" t="str">
        <f t="shared" si="7"/>
        <v xml:space="preserve">    - xform/》m9/m̊/</v>
      </c>
      <c r="X9" s="64"/>
      <c r="Y9" s="64"/>
      <c r="Z9" s="58"/>
    </row>
    <row r="10" spans="1:40" ht="27">
      <c r="A10" s="63"/>
      <c r="B10" s="58" t="s">
        <v>274</v>
      </c>
      <c r="C10" s="64" t="str">
        <f t="shared" si="6"/>
        <v>n</v>
      </c>
      <c r="D10" s="64" t="str">
        <f t="shared" si="6"/>
        <v>ń</v>
      </c>
      <c r="E10" s="64" t="str">
        <f t="shared" si="6"/>
        <v>ǹ</v>
      </c>
      <c r="F10" s="64" t="str">
        <f t="shared" si="6"/>
        <v>n</v>
      </c>
      <c r="G10" s="64" t="str">
        <f t="shared" si="6"/>
        <v>ň</v>
      </c>
      <c r="H10" s="64" t="str">
        <f t="shared" si="6"/>
        <v>ń</v>
      </c>
      <c r="I10" s="64" t="str">
        <f t="shared" si="6"/>
        <v>n̄</v>
      </c>
      <c r="J10" s="64" t="str">
        <f t="shared" si="6"/>
        <v>n̍</v>
      </c>
      <c r="K10" s="64" t="str">
        <f t="shared" si="6"/>
        <v>n̋</v>
      </c>
      <c r="L10" s="64" t="str">
        <f t="shared" si="6"/>
        <v>n̊</v>
      </c>
      <c r="N10" s="65" t="str">
        <f t="shared" si="7"/>
        <v xml:space="preserve">    - xform/》n1/n/</v>
      </c>
      <c r="O10" s="65" t="str">
        <f t="shared" si="7"/>
        <v xml:space="preserve">    - xform/》n2/ń/</v>
      </c>
      <c r="P10" s="65" t="str">
        <f t="shared" si="7"/>
        <v xml:space="preserve">    - xform/》n3/ǹ/</v>
      </c>
      <c r="Q10" s="65" t="str">
        <f t="shared" si="7"/>
        <v xml:space="preserve">    - xform/》n4/n/</v>
      </c>
      <c r="R10" s="65" t="str">
        <f t="shared" si="7"/>
        <v xml:space="preserve">    - xform/》n5/ň/</v>
      </c>
      <c r="S10" s="65" t="str">
        <f t="shared" si="7"/>
        <v xml:space="preserve">    - xform/》n6/ń/</v>
      </c>
      <c r="T10" s="65" t="str">
        <f t="shared" si="7"/>
        <v xml:space="preserve">    - xform/》n7/n̄/</v>
      </c>
      <c r="U10" s="65" t="str">
        <f t="shared" si="7"/>
        <v xml:space="preserve">    - xform/》n8/n̍/</v>
      </c>
      <c r="V10" s="65" t="str">
        <f t="shared" si="7"/>
        <v xml:space="preserve">    - xform/》n9/n̋/</v>
      </c>
      <c r="W10" s="65" t="str">
        <f t="shared" si="7"/>
        <v xml:space="preserve">    - xform/》n9/n̊/</v>
      </c>
      <c r="X10" s="64"/>
      <c r="Y10" s="64"/>
      <c r="Z10" s="58"/>
    </row>
    <row r="11" spans="1:40" ht="27">
      <c r="A11" s="63"/>
    </row>
    <row r="12" spans="1:40" ht="27">
      <c r="A12" s="63"/>
    </row>
    <row r="13" spans="1:40" s="58" customFormat="1" ht="27">
      <c r="A13" s="63"/>
      <c r="N13" s="59"/>
      <c r="O13" s="59"/>
      <c r="P13" s="59"/>
      <c r="Q13" s="59"/>
      <c r="R13" s="59"/>
      <c r="S13" s="59"/>
      <c r="T13" s="59"/>
      <c r="U13" s="59"/>
      <c r="V13" s="59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</row>
    <row r="14" spans="1:40" s="58" customFormat="1" ht="27">
      <c r="A14" s="63"/>
      <c r="N14" s="59"/>
      <c r="O14" s="59"/>
      <c r="P14" s="59"/>
      <c r="Q14" s="59"/>
      <c r="R14" s="59"/>
      <c r="S14" s="59"/>
      <c r="T14" s="59"/>
      <c r="U14" s="59"/>
      <c r="V14" s="59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</row>
    <row r="15" spans="1:40" s="58" customFormat="1" ht="27">
      <c r="A15" s="63"/>
      <c r="N15" s="59"/>
      <c r="O15" s="59"/>
      <c r="P15" s="59"/>
      <c r="Q15" s="59"/>
      <c r="R15" s="59"/>
      <c r="S15" s="59"/>
      <c r="T15" s="59"/>
      <c r="U15" s="59"/>
      <c r="V15" s="59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</row>
    <row r="16" spans="1:40" s="58" customFormat="1" ht="27">
      <c r="A16" s="63"/>
      <c r="N16" s="59"/>
      <c r="O16" s="59"/>
      <c r="P16" s="59"/>
      <c r="Q16" s="59"/>
      <c r="R16" s="59"/>
      <c r="S16" s="59"/>
      <c r="T16" s="59"/>
      <c r="U16" s="59"/>
      <c r="V16" s="59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</row>
    <row r="17" spans="1:40" s="58" customFormat="1" ht="27">
      <c r="A17" s="63"/>
      <c r="N17" s="59"/>
      <c r="O17" s="59"/>
      <c r="P17" s="59"/>
      <c r="Q17" s="59"/>
      <c r="R17" s="59"/>
      <c r="S17" s="59"/>
      <c r="T17" s="59"/>
      <c r="U17" s="59"/>
      <c r="V17" s="59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</row>
    <row r="18" spans="1:40" s="58" customFormat="1" ht="27">
      <c r="A18" s="63"/>
      <c r="N18" s="59"/>
      <c r="O18" s="59"/>
      <c r="P18" s="59"/>
      <c r="Q18" s="59"/>
      <c r="R18" s="59"/>
      <c r="S18" s="59"/>
      <c r="T18" s="59"/>
      <c r="U18" s="59"/>
      <c r="V18" s="59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</row>
    <row r="19" spans="1:40" s="58" customFormat="1" ht="27">
      <c r="A19" s="63"/>
      <c r="N19" s="59"/>
      <c r="O19" s="59"/>
      <c r="P19" s="59"/>
      <c r="Q19" s="59"/>
      <c r="R19" s="59"/>
      <c r="S19" s="59"/>
      <c r="T19" s="59"/>
      <c r="U19" s="59"/>
      <c r="V19" s="59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</row>
    <row r="20" spans="1:40" s="58" customFormat="1" ht="27">
      <c r="A20" s="63"/>
      <c r="N20" s="59"/>
      <c r="O20" s="59"/>
      <c r="P20" s="59"/>
      <c r="Q20" s="59"/>
      <c r="R20" s="59"/>
      <c r="S20" s="59"/>
      <c r="T20" s="59"/>
      <c r="U20" s="59"/>
      <c r="V20" s="59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</row>
    <row r="21" spans="1:40" s="58" customFormat="1" ht="27">
      <c r="A21" s="63"/>
      <c r="N21" s="59"/>
      <c r="O21" s="59"/>
      <c r="P21" s="59"/>
      <c r="Q21" s="59"/>
      <c r="R21" s="59"/>
      <c r="S21" s="59"/>
      <c r="T21" s="59"/>
      <c r="U21" s="59"/>
      <c r="V21" s="59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</row>
    <row r="22" spans="1:40" s="58" customFormat="1" ht="27">
      <c r="A22" s="63"/>
      <c r="N22" s="59"/>
      <c r="O22" s="59"/>
      <c r="P22" s="59"/>
      <c r="Q22" s="59"/>
      <c r="R22" s="59"/>
      <c r="S22" s="59"/>
      <c r="T22" s="59"/>
      <c r="U22" s="59"/>
      <c r="V22" s="59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</row>
    <row r="23" spans="1:40" s="58" customFormat="1" ht="27">
      <c r="A23" s="63"/>
      <c r="N23" s="59"/>
      <c r="O23" s="59"/>
      <c r="P23" s="59"/>
      <c r="Q23" s="59"/>
      <c r="R23" s="59"/>
      <c r="S23" s="59"/>
      <c r="T23" s="59"/>
      <c r="U23" s="59"/>
      <c r="V23" s="59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</row>
    <row r="24" spans="1:40" s="58" customFormat="1" ht="27">
      <c r="A24" s="63"/>
      <c r="N24" s="59"/>
      <c r="O24" s="59"/>
      <c r="P24" s="59"/>
      <c r="Q24" s="59"/>
      <c r="R24" s="59"/>
      <c r="S24" s="59"/>
      <c r="T24" s="59"/>
      <c r="U24" s="59"/>
      <c r="V24" s="59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</row>
    <row r="25" spans="1:40" s="58" customFormat="1" ht="27">
      <c r="A25" s="63"/>
      <c r="N25" s="59"/>
      <c r="O25" s="59"/>
      <c r="P25" s="59"/>
      <c r="Q25" s="59"/>
      <c r="R25" s="59"/>
      <c r="S25" s="59"/>
      <c r="T25" s="59"/>
      <c r="U25" s="59"/>
      <c r="V25" s="59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</row>
    <row r="26" spans="1:40" s="58" customFormat="1" ht="27">
      <c r="A26" s="63"/>
      <c r="N26" s="59"/>
      <c r="O26" s="59"/>
      <c r="P26" s="59"/>
      <c r="Q26" s="59"/>
      <c r="R26" s="59"/>
      <c r="S26" s="59"/>
      <c r="T26" s="59"/>
      <c r="U26" s="59"/>
      <c r="V26" s="59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</row>
    <row r="27" spans="1:40" s="58" customFormat="1" ht="27">
      <c r="A27" s="63"/>
      <c r="N27" s="59"/>
      <c r="O27" s="59"/>
      <c r="P27" s="59"/>
      <c r="Q27" s="59"/>
      <c r="R27" s="59"/>
      <c r="S27" s="59"/>
      <c r="T27" s="59"/>
      <c r="U27" s="59"/>
      <c r="V27" s="59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</row>
    <row r="28" spans="1:40" s="58" customFormat="1" ht="27">
      <c r="A28" s="63"/>
      <c r="N28" s="59"/>
      <c r="O28" s="59"/>
      <c r="P28" s="59"/>
      <c r="Q28" s="59"/>
      <c r="R28" s="59"/>
      <c r="S28" s="59"/>
      <c r="T28" s="59"/>
      <c r="U28" s="59"/>
      <c r="V28" s="59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</row>
    <row r="29" spans="1:40" s="58" customFormat="1" ht="27">
      <c r="A29" s="63"/>
      <c r="N29" s="59"/>
      <c r="O29" s="59"/>
      <c r="P29" s="59"/>
      <c r="Q29" s="59"/>
      <c r="R29" s="59"/>
      <c r="S29" s="59"/>
      <c r="T29" s="59"/>
      <c r="U29" s="59"/>
      <c r="V29" s="59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</row>
    <row r="30" spans="1:40" s="58" customFormat="1" ht="27">
      <c r="A30" s="63"/>
      <c r="N30" s="59"/>
      <c r="O30" s="59"/>
      <c r="P30" s="59"/>
      <c r="Q30" s="59"/>
      <c r="R30" s="59"/>
      <c r="S30" s="59"/>
      <c r="T30" s="59"/>
      <c r="U30" s="59"/>
      <c r="V30" s="59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</row>
    <row r="31" spans="1:40" s="58" customFormat="1" ht="27">
      <c r="A31" s="63"/>
      <c r="N31" s="59"/>
      <c r="O31" s="59"/>
      <c r="P31" s="59"/>
      <c r="Q31" s="59"/>
      <c r="R31" s="59"/>
      <c r="S31" s="59"/>
      <c r="T31" s="59"/>
      <c r="U31" s="59"/>
      <c r="V31" s="59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</row>
    <row r="32" spans="1:40" s="58" customFormat="1" ht="27">
      <c r="A32" s="63"/>
      <c r="N32" s="59"/>
      <c r="O32" s="59"/>
      <c r="P32" s="59"/>
      <c r="Q32" s="59"/>
      <c r="R32" s="59"/>
      <c r="S32" s="59"/>
      <c r="T32" s="59"/>
      <c r="U32" s="59"/>
      <c r="V32" s="59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</row>
    <row r="33" spans="1:40" s="58" customFormat="1" ht="27">
      <c r="A33" s="63"/>
      <c r="N33" s="59"/>
      <c r="O33" s="59"/>
      <c r="P33" s="59"/>
      <c r="Q33" s="59"/>
      <c r="R33" s="59"/>
      <c r="S33" s="59"/>
      <c r="T33" s="59"/>
      <c r="U33" s="59"/>
      <c r="V33" s="59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</row>
    <row r="34" spans="1:40" s="58" customFormat="1" ht="27">
      <c r="A34" s="63"/>
      <c r="N34" s="59"/>
      <c r="O34" s="59"/>
      <c r="P34" s="59"/>
      <c r="Q34" s="59"/>
      <c r="R34" s="59"/>
      <c r="S34" s="59"/>
      <c r="T34" s="59"/>
      <c r="U34" s="59"/>
      <c r="V34" s="59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</row>
    <row r="35" spans="1:40" s="58" customFormat="1" ht="27">
      <c r="A35" s="63"/>
      <c r="N35" s="59"/>
      <c r="O35" s="59"/>
      <c r="P35" s="59"/>
      <c r="Q35" s="59"/>
      <c r="R35" s="59"/>
      <c r="S35" s="59"/>
      <c r="T35" s="59"/>
      <c r="U35" s="59"/>
      <c r="V35" s="59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</row>
    <row r="36" spans="1:40" s="58" customFormat="1" ht="27">
      <c r="A36" s="63"/>
      <c r="N36" s="59"/>
      <c r="O36" s="59"/>
      <c r="P36" s="59"/>
      <c r="Q36" s="59"/>
      <c r="R36" s="59"/>
      <c r="S36" s="59"/>
      <c r="T36" s="59"/>
      <c r="U36" s="59"/>
      <c r="V36" s="59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</row>
    <row r="37" spans="1:40" s="58" customFormat="1" ht="27">
      <c r="A37" s="63"/>
      <c r="N37" s="59"/>
      <c r="O37" s="59"/>
      <c r="P37" s="59"/>
      <c r="Q37" s="59"/>
      <c r="R37" s="59"/>
      <c r="S37" s="59"/>
      <c r="T37" s="59"/>
      <c r="U37" s="59"/>
      <c r="V37" s="59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</row>
    <row r="38" spans="1:40" s="58" customFormat="1" ht="27">
      <c r="A38" s="63"/>
      <c r="N38" s="59"/>
      <c r="O38" s="59"/>
      <c r="P38" s="59"/>
      <c r="Q38" s="59"/>
      <c r="R38" s="59"/>
      <c r="S38" s="59"/>
      <c r="T38" s="59"/>
      <c r="U38" s="59"/>
      <c r="V38" s="59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</row>
    <row r="39" spans="1:40" s="58" customFormat="1" ht="27">
      <c r="A39" s="63"/>
      <c r="N39" s="59"/>
      <c r="O39" s="59"/>
      <c r="P39" s="59"/>
      <c r="Q39" s="59"/>
      <c r="R39" s="59"/>
      <c r="S39" s="59"/>
      <c r="T39" s="59"/>
      <c r="U39" s="59"/>
      <c r="V39" s="59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</row>
    <row r="40" spans="1:40" s="58" customFormat="1" ht="27">
      <c r="A40" s="63"/>
      <c r="N40" s="59"/>
      <c r="O40" s="59"/>
      <c r="P40" s="59"/>
      <c r="Q40" s="59"/>
      <c r="R40" s="59"/>
      <c r="S40" s="59"/>
      <c r="T40" s="59"/>
      <c r="U40" s="59"/>
      <c r="V40" s="59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</row>
    <row r="41" spans="1:40" s="58" customFormat="1" ht="27">
      <c r="A41" s="63"/>
      <c r="N41" s="59"/>
      <c r="O41" s="59"/>
      <c r="P41" s="59"/>
      <c r="Q41" s="59"/>
      <c r="R41" s="59"/>
      <c r="S41" s="59"/>
      <c r="T41" s="59"/>
      <c r="U41" s="59"/>
      <c r="V41" s="59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</row>
    <row r="42" spans="1:40" s="58" customFormat="1" ht="27">
      <c r="A42" s="63"/>
      <c r="N42" s="59"/>
      <c r="O42" s="59"/>
      <c r="P42" s="59"/>
      <c r="Q42" s="59"/>
      <c r="R42" s="59"/>
      <c r="S42" s="59"/>
      <c r="T42" s="59"/>
      <c r="U42" s="59"/>
      <c r="V42" s="59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</row>
    <row r="43" spans="1:40" s="58" customFormat="1" ht="27">
      <c r="A43" s="63"/>
      <c r="N43" s="59"/>
      <c r="O43" s="59"/>
      <c r="P43" s="59"/>
      <c r="Q43" s="59"/>
      <c r="R43" s="59"/>
      <c r="S43" s="59"/>
      <c r="T43" s="59"/>
      <c r="U43" s="59"/>
      <c r="V43" s="59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</row>
    <row r="44" spans="1:40" s="58" customFormat="1" ht="27">
      <c r="A44" s="63"/>
      <c r="N44" s="59"/>
      <c r="O44" s="59"/>
      <c r="P44" s="59"/>
      <c r="Q44" s="59"/>
      <c r="R44" s="59"/>
      <c r="S44" s="59"/>
      <c r="T44" s="59"/>
      <c r="U44" s="59"/>
      <c r="V44" s="59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</row>
    <row r="45" spans="1:40" s="58" customFormat="1" ht="27">
      <c r="A45" s="63"/>
      <c r="N45" s="59"/>
      <c r="O45" s="59"/>
      <c r="P45" s="59"/>
      <c r="Q45" s="59"/>
      <c r="R45" s="59"/>
      <c r="S45" s="59"/>
      <c r="T45" s="59"/>
      <c r="U45" s="59"/>
      <c r="V45" s="59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</row>
    <row r="46" spans="1:40" s="58" customFormat="1" ht="27">
      <c r="A46" s="63"/>
      <c r="N46" s="59"/>
      <c r="O46" s="59"/>
      <c r="P46" s="59"/>
      <c r="Q46" s="59"/>
      <c r="R46" s="59"/>
      <c r="S46" s="59"/>
      <c r="T46" s="59"/>
      <c r="U46" s="59"/>
      <c r="V46" s="59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</row>
    <row r="47" spans="1:40" s="58" customFormat="1" ht="27">
      <c r="A47" s="63"/>
      <c r="N47" s="59"/>
      <c r="O47" s="59"/>
      <c r="P47" s="59"/>
      <c r="Q47" s="59"/>
      <c r="R47" s="59"/>
      <c r="S47" s="59"/>
      <c r="T47" s="59"/>
      <c r="U47" s="59"/>
      <c r="V47" s="59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</row>
    <row r="48" spans="1:40" s="58" customFormat="1" ht="27">
      <c r="A48" s="63"/>
      <c r="N48" s="59"/>
      <c r="O48" s="59"/>
      <c r="P48" s="59"/>
      <c r="Q48" s="59"/>
      <c r="R48" s="59"/>
      <c r="S48" s="59"/>
      <c r="T48" s="59"/>
      <c r="U48" s="59"/>
      <c r="V48" s="59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</row>
    <row r="49" spans="1:40" s="58" customFormat="1" ht="27">
      <c r="A49" s="63"/>
      <c r="N49" s="59"/>
      <c r="O49" s="59"/>
      <c r="P49" s="59"/>
      <c r="Q49" s="59"/>
      <c r="R49" s="59"/>
      <c r="S49" s="59"/>
      <c r="T49" s="59"/>
      <c r="U49" s="59"/>
      <c r="V49" s="59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</row>
    <row r="50" spans="1:40" s="58" customFormat="1" ht="27">
      <c r="A50" s="63"/>
      <c r="N50" s="59"/>
      <c r="O50" s="59"/>
      <c r="P50" s="59"/>
      <c r="Q50" s="59"/>
      <c r="R50" s="59"/>
      <c r="S50" s="59"/>
      <c r="T50" s="59"/>
      <c r="U50" s="59"/>
      <c r="V50" s="59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</row>
    <row r="51" spans="1:40" s="58" customFormat="1" ht="27">
      <c r="A51" s="63"/>
      <c r="N51" s="59"/>
      <c r="O51" s="59"/>
      <c r="P51" s="59"/>
      <c r="Q51" s="59"/>
      <c r="R51" s="59"/>
      <c r="S51" s="59"/>
      <c r="T51" s="59"/>
      <c r="U51" s="59"/>
      <c r="V51" s="59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</row>
    <row r="52" spans="1:40" s="58" customFormat="1" ht="27">
      <c r="A52" s="63"/>
      <c r="N52" s="59"/>
      <c r="O52" s="59"/>
      <c r="P52" s="59"/>
      <c r="Q52" s="59"/>
      <c r="R52" s="59"/>
      <c r="S52" s="59"/>
      <c r="T52" s="59"/>
      <c r="U52" s="59"/>
      <c r="V52" s="59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</row>
    <row r="53" spans="1:40" s="58" customFormat="1">
      <c r="A53" s="57"/>
      <c r="N53" s="59"/>
      <c r="O53" s="59"/>
      <c r="P53" s="59"/>
      <c r="Q53" s="59"/>
      <c r="R53" s="59"/>
      <c r="S53" s="59"/>
      <c r="T53" s="59"/>
      <c r="U53" s="59"/>
      <c r="V53" s="59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</row>
    <row r="54" spans="1:40" s="58" customFormat="1">
      <c r="A54" s="57"/>
      <c r="N54" s="59"/>
      <c r="O54" s="59"/>
      <c r="P54" s="59"/>
      <c r="Q54" s="59"/>
      <c r="R54" s="59"/>
      <c r="S54" s="59"/>
      <c r="T54" s="59"/>
      <c r="U54" s="59"/>
      <c r="V54" s="59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</row>
    <row r="55" spans="1:40" s="58" customFormat="1">
      <c r="A55" s="57"/>
      <c r="N55" s="59"/>
      <c r="O55" s="59"/>
      <c r="P55" s="59"/>
      <c r="Q55" s="59"/>
      <c r="R55" s="59"/>
      <c r="S55" s="59"/>
      <c r="T55" s="59"/>
      <c r="U55" s="59"/>
      <c r="V55" s="59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</row>
    <row r="56" spans="1:40" s="58" customFormat="1">
      <c r="A56" s="57"/>
      <c r="N56" s="59"/>
      <c r="O56" s="59"/>
      <c r="P56" s="59"/>
      <c r="Q56" s="59"/>
      <c r="R56" s="59"/>
      <c r="S56" s="59"/>
      <c r="T56" s="59"/>
      <c r="U56" s="59"/>
      <c r="V56" s="59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</row>
    <row r="57" spans="1:40" s="58" customFormat="1" ht="27">
      <c r="A57" s="63"/>
      <c r="N57" s="59"/>
      <c r="O57" s="59"/>
      <c r="P57" s="59"/>
      <c r="Q57" s="59"/>
      <c r="R57" s="59"/>
      <c r="S57" s="59"/>
      <c r="T57" s="59"/>
      <c r="U57" s="59"/>
      <c r="V57" s="59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</row>
    <row r="58" spans="1:40" s="58" customFormat="1" ht="27">
      <c r="A58" s="63"/>
      <c r="N58" s="59"/>
      <c r="O58" s="59"/>
      <c r="P58" s="59"/>
      <c r="Q58" s="59"/>
      <c r="R58" s="59"/>
      <c r="S58" s="59"/>
      <c r="T58" s="59"/>
      <c r="U58" s="59"/>
      <c r="V58" s="59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</row>
    <row r="59" spans="1:40" s="58" customFormat="1" ht="27">
      <c r="A59" s="63"/>
      <c r="N59" s="59"/>
      <c r="O59" s="59"/>
      <c r="P59" s="59"/>
      <c r="Q59" s="59"/>
      <c r="R59" s="59"/>
      <c r="S59" s="59"/>
      <c r="T59" s="59"/>
      <c r="U59" s="59"/>
      <c r="V59" s="59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</row>
    <row r="60" spans="1:40" s="58" customFormat="1" ht="27">
      <c r="A60" s="63"/>
      <c r="N60" s="59"/>
      <c r="O60" s="59"/>
      <c r="P60" s="59"/>
      <c r="Q60" s="59"/>
      <c r="R60" s="59"/>
      <c r="S60" s="59"/>
      <c r="T60" s="59"/>
      <c r="U60" s="59"/>
      <c r="V60" s="59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</row>
    <row r="61" spans="1:40" s="58" customFormat="1" ht="27">
      <c r="A61" s="63"/>
      <c r="N61" s="59"/>
      <c r="O61" s="59"/>
      <c r="P61" s="59"/>
      <c r="Q61" s="59"/>
      <c r="R61" s="59"/>
      <c r="S61" s="59"/>
      <c r="T61" s="59"/>
      <c r="U61" s="59"/>
      <c r="V61" s="59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</row>
    <row r="62" spans="1:40" s="58" customFormat="1" ht="27">
      <c r="A62" s="63"/>
      <c r="N62" s="59"/>
      <c r="O62" s="59"/>
      <c r="P62" s="59"/>
      <c r="Q62" s="59"/>
      <c r="R62" s="59"/>
      <c r="S62" s="59"/>
      <c r="T62" s="59"/>
      <c r="U62" s="59"/>
      <c r="V62" s="59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</row>
    <row r="63" spans="1:40" s="58" customFormat="1" ht="27">
      <c r="A63" s="63"/>
      <c r="N63" s="59"/>
      <c r="O63" s="59"/>
      <c r="P63" s="59"/>
      <c r="Q63" s="59"/>
      <c r="R63" s="59"/>
      <c r="S63" s="59"/>
      <c r="T63" s="59"/>
      <c r="U63" s="59"/>
      <c r="V63" s="59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</row>
    <row r="64" spans="1:40" s="58" customFormat="1" ht="27">
      <c r="A64" s="63"/>
      <c r="N64" s="59"/>
      <c r="O64" s="59"/>
      <c r="P64" s="59"/>
      <c r="Q64" s="59"/>
      <c r="R64" s="59"/>
      <c r="S64" s="59"/>
      <c r="T64" s="59"/>
      <c r="U64" s="59"/>
      <c r="V64" s="59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</row>
    <row r="65" spans="1:40" s="58" customFormat="1" ht="27">
      <c r="A65" s="63"/>
      <c r="N65" s="59"/>
      <c r="O65" s="59"/>
      <c r="P65" s="59"/>
      <c r="Q65" s="59"/>
      <c r="R65" s="59"/>
      <c r="S65" s="59"/>
      <c r="T65" s="59"/>
      <c r="U65" s="59"/>
      <c r="V65" s="59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</row>
    <row r="66" spans="1:40" s="58" customFormat="1" ht="27">
      <c r="A66" s="63"/>
      <c r="N66" s="59"/>
      <c r="O66" s="59"/>
      <c r="P66" s="59"/>
      <c r="Q66" s="59"/>
      <c r="R66" s="59"/>
      <c r="S66" s="59"/>
      <c r="T66" s="59"/>
      <c r="U66" s="59"/>
      <c r="V66" s="59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</row>
    <row r="67" spans="1:40" s="58" customFormat="1" ht="27">
      <c r="A67" s="63"/>
      <c r="N67" s="59"/>
      <c r="O67" s="59"/>
      <c r="P67" s="59"/>
      <c r="Q67" s="59"/>
      <c r="R67" s="59"/>
      <c r="S67" s="59"/>
      <c r="T67" s="59"/>
      <c r="U67" s="59"/>
      <c r="V67" s="59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</row>
    <row r="68" spans="1:40" s="58" customFormat="1" ht="27">
      <c r="A68" s="63"/>
      <c r="N68" s="59"/>
      <c r="O68" s="59"/>
      <c r="P68" s="59"/>
      <c r="Q68" s="59"/>
      <c r="R68" s="59"/>
      <c r="S68" s="59"/>
      <c r="T68" s="59"/>
      <c r="U68" s="59"/>
      <c r="V68" s="59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</row>
    <row r="69" spans="1:40" s="58" customFormat="1" ht="27">
      <c r="A69" s="63"/>
      <c r="N69" s="59"/>
      <c r="O69" s="59"/>
      <c r="P69" s="59"/>
      <c r="Q69" s="59"/>
      <c r="R69" s="59"/>
      <c r="S69" s="59"/>
      <c r="T69" s="59"/>
      <c r="U69" s="59"/>
      <c r="V69" s="59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</row>
    <row r="70" spans="1:40" s="58" customFormat="1" ht="27">
      <c r="A70" s="63"/>
      <c r="N70" s="59"/>
      <c r="O70" s="59"/>
      <c r="P70" s="59"/>
      <c r="Q70" s="59"/>
      <c r="R70" s="59"/>
      <c r="S70" s="59"/>
      <c r="T70" s="59"/>
      <c r="U70" s="59"/>
      <c r="V70" s="59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</row>
    <row r="71" spans="1:40" s="58" customFormat="1" ht="27">
      <c r="A71" s="63"/>
      <c r="N71" s="59"/>
      <c r="O71" s="59"/>
      <c r="P71" s="59"/>
      <c r="Q71" s="59"/>
      <c r="R71" s="59"/>
      <c r="S71" s="59"/>
      <c r="T71" s="59"/>
      <c r="U71" s="59"/>
      <c r="V71" s="59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</row>
    <row r="72" spans="1:40" s="58" customFormat="1" ht="27">
      <c r="A72" s="63"/>
      <c r="N72" s="59"/>
      <c r="O72" s="59"/>
      <c r="P72" s="59"/>
      <c r="Q72" s="59"/>
      <c r="R72" s="59"/>
      <c r="S72" s="59"/>
      <c r="T72" s="59"/>
      <c r="U72" s="59"/>
      <c r="V72" s="59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</row>
    <row r="73" spans="1:40" s="58" customFormat="1" ht="27">
      <c r="A73" s="63"/>
      <c r="N73" s="59"/>
      <c r="O73" s="59"/>
      <c r="P73" s="59"/>
      <c r="Q73" s="59"/>
      <c r="R73" s="59"/>
      <c r="S73" s="59"/>
      <c r="T73" s="59"/>
      <c r="U73" s="59"/>
      <c r="V73" s="59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</row>
    <row r="74" spans="1:40" s="58" customFormat="1" ht="27">
      <c r="A74" s="63"/>
      <c r="N74" s="59"/>
      <c r="O74" s="59"/>
      <c r="P74" s="59"/>
      <c r="Q74" s="59"/>
      <c r="R74" s="59"/>
      <c r="S74" s="59"/>
      <c r="T74" s="59"/>
      <c r="U74" s="59"/>
      <c r="V74" s="59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</row>
    <row r="75" spans="1:40" s="58" customFormat="1" ht="27">
      <c r="A75" s="63"/>
      <c r="N75" s="59"/>
      <c r="O75" s="59"/>
      <c r="P75" s="59"/>
      <c r="Q75" s="59"/>
      <c r="R75" s="59"/>
      <c r="S75" s="59"/>
      <c r="T75" s="59"/>
      <c r="U75" s="59"/>
      <c r="V75" s="59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</row>
    <row r="76" spans="1:40" s="58" customFormat="1" ht="27">
      <c r="A76" s="63"/>
      <c r="N76" s="59"/>
      <c r="O76" s="59"/>
      <c r="P76" s="59"/>
      <c r="Q76" s="59"/>
      <c r="R76" s="59"/>
      <c r="S76" s="59"/>
      <c r="T76" s="59"/>
      <c r="U76" s="59"/>
      <c r="V76" s="59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</row>
    <row r="77" spans="1:40" s="58" customFormat="1" ht="27">
      <c r="A77" s="63"/>
      <c r="N77" s="59"/>
      <c r="O77" s="59"/>
      <c r="P77" s="59"/>
      <c r="Q77" s="59"/>
      <c r="R77" s="59"/>
      <c r="S77" s="59"/>
      <c r="T77" s="59"/>
      <c r="U77" s="59"/>
      <c r="V77" s="59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</row>
    <row r="78" spans="1:40" s="58" customFormat="1" ht="27">
      <c r="A78" s="63"/>
      <c r="N78" s="59"/>
      <c r="O78" s="59"/>
      <c r="P78" s="59"/>
      <c r="Q78" s="59"/>
      <c r="R78" s="59"/>
      <c r="S78" s="59"/>
      <c r="T78" s="59"/>
      <c r="U78" s="59"/>
      <c r="V78" s="59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</row>
    <row r="79" spans="1:40" s="58" customFormat="1" ht="27">
      <c r="A79" s="63"/>
      <c r="N79" s="59"/>
      <c r="O79" s="59"/>
      <c r="P79" s="59"/>
      <c r="Q79" s="59"/>
      <c r="R79" s="59"/>
      <c r="S79" s="59"/>
      <c r="T79" s="59"/>
      <c r="U79" s="59"/>
      <c r="V79" s="59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</row>
    <row r="80" spans="1:40" s="58" customFormat="1" ht="27">
      <c r="A80" s="63"/>
      <c r="N80" s="59"/>
      <c r="O80" s="59"/>
      <c r="P80" s="59"/>
      <c r="Q80" s="59"/>
      <c r="R80" s="59"/>
      <c r="S80" s="59"/>
      <c r="T80" s="59"/>
      <c r="U80" s="59"/>
      <c r="V80" s="59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</row>
    <row r="81" spans="1:40" s="58" customFormat="1" ht="27">
      <c r="A81" s="63"/>
      <c r="N81" s="59"/>
      <c r="O81" s="59"/>
      <c r="P81" s="59"/>
      <c r="Q81" s="59"/>
      <c r="R81" s="59"/>
      <c r="S81" s="59"/>
      <c r="T81" s="59"/>
      <c r="U81" s="59"/>
      <c r="V81" s="59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</row>
    <row r="82" spans="1:40" s="58" customFormat="1" ht="27">
      <c r="A82" s="63"/>
      <c r="N82" s="59"/>
      <c r="O82" s="59"/>
      <c r="P82" s="59"/>
      <c r="Q82" s="59"/>
      <c r="R82" s="59"/>
      <c r="S82" s="59"/>
      <c r="T82" s="59"/>
      <c r="U82" s="59"/>
      <c r="V82" s="59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</row>
    <row r="83" spans="1:40" s="58" customFormat="1" ht="27">
      <c r="A83" s="63"/>
      <c r="N83" s="59"/>
      <c r="O83" s="59"/>
      <c r="P83" s="59"/>
      <c r="Q83" s="59"/>
      <c r="R83" s="59"/>
      <c r="S83" s="59"/>
      <c r="T83" s="59"/>
      <c r="U83" s="59"/>
      <c r="V83" s="59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</row>
    <row r="84" spans="1:40" s="58" customFormat="1" ht="27">
      <c r="A84" s="63"/>
      <c r="N84" s="59"/>
      <c r="O84" s="59"/>
      <c r="P84" s="59"/>
      <c r="Q84" s="59"/>
      <c r="R84" s="59"/>
      <c r="S84" s="59"/>
      <c r="T84" s="59"/>
      <c r="U84" s="59"/>
      <c r="V84" s="59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</row>
    <row r="85" spans="1:40" s="58" customFormat="1" ht="27">
      <c r="A85" s="63"/>
      <c r="N85" s="59"/>
      <c r="O85" s="59"/>
      <c r="P85" s="59"/>
      <c r="Q85" s="59"/>
      <c r="R85" s="59"/>
      <c r="S85" s="59"/>
      <c r="T85" s="59"/>
      <c r="U85" s="59"/>
      <c r="V85" s="59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</row>
    <row r="86" spans="1:40" s="58" customFormat="1">
      <c r="A86" s="57"/>
      <c r="N86" s="59"/>
      <c r="O86" s="59"/>
      <c r="P86" s="59"/>
      <c r="Q86" s="59"/>
      <c r="R86" s="59"/>
      <c r="S86" s="59"/>
      <c r="T86" s="59"/>
      <c r="U86" s="59"/>
      <c r="V86" s="59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</row>
    <row r="87" spans="1:40" s="58" customFormat="1">
      <c r="A87" s="57"/>
      <c r="N87" s="59"/>
      <c r="O87" s="59"/>
      <c r="P87" s="59"/>
      <c r="Q87" s="59"/>
      <c r="R87" s="59"/>
      <c r="S87" s="59"/>
      <c r="T87" s="59"/>
      <c r="U87" s="59"/>
      <c r="V87" s="59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</row>
    <row r="88" spans="1:40" s="58" customFormat="1">
      <c r="A88" s="57"/>
      <c r="N88" s="59"/>
      <c r="O88" s="59"/>
      <c r="P88" s="59"/>
      <c r="Q88" s="59"/>
      <c r="R88" s="59"/>
      <c r="S88" s="59"/>
      <c r="T88" s="59"/>
      <c r="U88" s="59"/>
      <c r="V88" s="59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</row>
    <row r="89" spans="1:40" s="58" customFormat="1">
      <c r="A89" s="57"/>
      <c r="N89" s="59"/>
      <c r="O89" s="59"/>
      <c r="P89" s="59"/>
      <c r="Q89" s="59"/>
      <c r="R89" s="59"/>
      <c r="S89" s="59"/>
      <c r="T89" s="59"/>
      <c r="U89" s="59"/>
      <c r="V89" s="59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</row>
    <row r="90" spans="1:40" s="58" customFormat="1">
      <c r="A90" s="57"/>
      <c r="N90" s="59"/>
      <c r="O90" s="59"/>
      <c r="P90" s="59"/>
      <c r="Q90" s="59"/>
      <c r="R90" s="59"/>
      <c r="S90" s="59"/>
      <c r="T90" s="59"/>
      <c r="U90" s="59"/>
      <c r="V90" s="59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</row>
    <row r="91" spans="1:40" s="58" customFormat="1">
      <c r="A91" s="57"/>
      <c r="N91" s="59"/>
      <c r="O91" s="59"/>
      <c r="P91" s="59"/>
      <c r="Q91" s="59"/>
      <c r="R91" s="59"/>
      <c r="S91" s="59"/>
      <c r="T91" s="59"/>
      <c r="U91" s="59"/>
      <c r="V91" s="59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</row>
    <row r="92" spans="1:40" s="58" customFormat="1">
      <c r="A92" s="57"/>
      <c r="N92" s="59"/>
      <c r="O92" s="59"/>
      <c r="P92" s="59"/>
      <c r="Q92" s="59"/>
      <c r="R92" s="59"/>
      <c r="S92" s="59"/>
      <c r="T92" s="59"/>
      <c r="U92" s="59"/>
      <c r="V92" s="59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FABD-72F8-4E94-BA58-A9C5DE42797E}">
  <dimension ref="A1:AA73"/>
  <sheetViews>
    <sheetView workbookViewId="0"/>
  </sheetViews>
  <sheetFormatPr defaultRowHeight="25.5"/>
  <cols>
    <col min="1" max="2" width="8.796875" style="31" customWidth="1"/>
    <col min="3" max="3" width="10.8984375" style="31" customWidth="1"/>
    <col min="4" max="4" width="8.796875" style="31" customWidth="1"/>
    <col min="5" max="5" width="10.8984375" style="31" customWidth="1"/>
    <col min="6" max="6" width="15.296875" style="31" customWidth="1"/>
    <col min="7" max="7" width="15.296875" style="88" customWidth="1"/>
    <col min="8" max="8" width="14.8984375" style="88" customWidth="1"/>
    <col min="9" max="9" width="14.8984375" style="31" customWidth="1"/>
    <col min="10" max="10" width="15.296875" style="31" customWidth="1"/>
    <col min="11" max="14" width="14.8984375" style="31" customWidth="1"/>
    <col min="15" max="15" width="15.296875" style="31" customWidth="1"/>
    <col min="16" max="16" width="14.5" style="31" customWidth="1"/>
    <col min="17" max="17" width="13.09765625" style="31" bestFit="1" customWidth="1"/>
    <col min="18" max="22" width="8.796875" style="31"/>
    <col min="23" max="23" width="38.296875" style="31" customWidth="1"/>
    <col min="24" max="16384" width="8.796875" style="31"/>
  </cols>
  <sheetData>
    <row r="1" spans="1:18" s="70" customFormat="1">
      <c r="A1" s="67" t="s">
        <v>237</v>
      </c>
      <c r="B1" s="68" t="s">
        <v>586</v>
      </c>
      <c r="C1" s="68" t="s">
        <v>587</v>
      </c>
      <c r="D1" s="68" t="s">
        <v>588</v>
      </c>
      <c r="E1" s="68" t="s">
        <v>589</v>
      </c>
      <c r="F1" s="68" t="s">
        <v>590</v>
      </c>
      <c r="G1" s="68" t="s">
        <v>591</v>
      </c>
      <c r="H1" s="68" t="s">
        <v>592</v>
      </c>
      <c r="I1" s="68" t="s">
        <v>363</v>
      </c>
      <c r="J1" s="68" t="s">
        <v>593</v>
      </c>
      <c r="K1" s="68" t="s">
        <v>594</v>
      </c>
      <c r="L1" s="68" t="s">
        <v>366</v>
      </c>
      <c r="M1" s="68" t="s">
        <v>230</v>
      </c>
      <c r="N1" s="68" t="s">
        <v>595</v>
      </c>
      <c r="O1" s="68" t="s">
        <v>596</v>
      </c>
      <c r="P1" s="69" t="s">
        <v>597</v>
      </c>
    </row>
    <row r="2" spans="1:18" ht="39">
      <c r="A2" s="32">
        <v>1</v>
      </c>
      <c r="B2" s="71" t="s">
        <v>598</v>
      </c>
      <c r="C2" s="71" t="s">
        <v>599</v>
      </c>
      <c r="D2" s="72">
        <v>44</v>
      </c>
      <c r="E2" s="71">
        <v>1</v>
      </c>
      <c r="F2" s="72"/>
      <c r="G2" s="73" t="s">
        <v>10</v>
      </c>
      <c r="H2" s="74" t="s">
        <v>600</v>
      </c>
      <c r="I2" s="75" t="s">
        <v>709</v>
      </c>
      <c r="J2" s="71" t="s">
        <v>601</v>
      </c>
      <c r="K2" s="76" t="str">
        <f xml:space="preserve"> _xlfn.CONCAT("ㄚ", IF($J2="", "", _xlfn.UNICHAR(HEX2DEC(RIGHT($J2,4)))))</f>
        <v>ㄚ</v>
      </c>
      <c r="L2" s="75" t="s">
        <v>638</v>
      </c>
      <c r="M2" s="77" t="s">
        <v>602</v>
      </c>
      <c r="N2" s="71">
        <v>1</v>
      </c>
      <c r="O2" s="78" t="s">
        <v>603</v>
      </c>
      <c r="P2" s="79" t="s">
        <v>603</v>
      </c>
    </row>
    <row r="3" spans="1:18" ht="39">
      <c r="A3" s="32">
        <v>2</v>
      </c>
      <c r="B3" s="71" t="s">
        <v>604</v>
      </c>
      <c r="C3" s="71" t="s">
        <v>605</v>
      </c>
      <c r="D3" s="72">
        <v>22</v>
      </c>
      <c r="E3" s="71">
        <v>7</v>
      </c>
      <c r="F3" s="72" t="s">
        <v>371</v>
      </c>
      <c r="G3" s="73" t="s">
        <v>710</v>
      </c>
      <c r="H3" s="74" t="s">
        <v>606</v>
      </c>
      <c r="I3" s="75" t="s">
        <v>711</v>
      </c>
      <c r="J3" s="71" t="s">
        <v>607</v>
      </c>
      <c r="K3" s="76" t="str">
        <f t="shared" ref="K3:K6" si="0" xml:space="preserve"> _xlfn.CONCAT("ㄚ", IF($J3="", "", _xlfn.UNICHAR(HEX2DEC(RIGHT($J3,4)))))</f>
        <v>ㄚ˫</v>
      </c>
      <c r="L3" s="75" t="s">
        <v>641</v>
      </c>
      <c r="M3" s="76" t="s">
        <v>231</v>
      </c>
      <c r="N3" s="71">
        <v>6</v>
      </c>
      <c r="O3" s="78" t="s">
        <v>608</v>
      </c>
      <c r="P3" s="79" t="s">
        <v>609</v>
      </c>
      <c r="R3" s="31" t="str">
        <f xml:space="preserve"> RIGHT(聲調對照表[[#This Row],[注音調符]],1)</f>
        <v>˫</v>
      </c>
    </row>
    <row r="4" spans="1:18" ht="39">
      <c r="A4" s="32">
        <v>3</v>
      </c>
      <c r="B4" s="71" t="s">
        <v>610</v>
      </c>
      <c r="C4" s="71" t="s">
        <v>611</v>
      </c>
      <c r="D4" s="72">
        <v>21</v>
      </c>
      <c r="E4" s="71">
        <v>3</v>
      </c>
      <c r="F4" s="72" t="s">
        <v>612</v>
      </c>
      <c r="G4" s="73" t="s">
        <v>712</v>
      </c>
      <c r="H4" s="74" t="s">
        <v>613</v>
      </c>
      <c r="I4" s="75" t="s">
        <v>713</v>
      </c>
      <c r="J4" s="71" t="s">
        <v>614</v>
      </c>
      <c r="K4" s="76" t="str">
        <f t="shared" si="0"/>
        <v>ㄚ˪</v>
      </c>
      <c r="L4" s="75" t="s">
        <v>643</v>
      </c>
      <c r="M4" s="76" t="s">
        <v>615</v>
      </c>
      <c r="N4" s="71">
        <v>5</v>
      </c>
      <c r="O4" s="78" t="s">
        <v>616</v>
      </c>
      <c r="P4" s="79" t="s">
        <v>617</v>
      </c>
      <c r="R4" s="31" t="str">
        <f xml:space="preserve"> RIGHT(聲調對照表[[#This Row],[注音調符]],1)</f>
        <v>˪</v>
      </c>
    </row>
    <row r="5" spans="1:18" ht="39">
      <c r="A5" s="32">
        <v>4</v>
      </c>
      <c r="B5" s="71" t="s">
        <v>618</v>
      </c>
      <c r="C5" s="71" t="s">
        <v>619</v>
      </c>
      <c r="D5" s="72">
        <v>53</v>
      </c>
      <c r="E5" s="71">
        <v>2</v>
      </c>
      <c r="F5" s="72" t="s">
        <v>370</v>
      </c>
      <c r="G5" s="73" t="s">
        <v>714</v>
      </c>
      <c r="H5" s="74" t="s">
        <v>620</v>
      </c>
      <c r="I5" s="75" t="s">
        <v>715</v>
      </c>
      <c r="J5" s="71" t="s">
        <v>368</v>
      </c>
      <c r="K5" s="76" t="str">
        <f t="shared" si="0"/>
        <v>ㄚ̀</v>
      </c>
      <c r="L5" s="75" t="s">
        <v>646</v>
      </c>
      <c r="M5" s="76" t="s">
        <v>621</v>
      </c>
      <c r="N5" s="71">
        <v>3</v>
      </c>
      <c r="O5" s="78" t="s">
        <v>617</v>
      </c>
      <c r="P5" s="79" t="s">
        <v>622</v>
      </c>
      <c r="R5" s="31" t="s">
        <v>723</v>
      </c>
    </row>
    <row r="6" spans="1:18" ht="39">
      <c r="A6" s="32">
        <v>5</v>
      </c>
      <c r="B6" s="71" t="s">
        <v>623</v>
      </c>
      <c r="C6" s="71" t="s">
        <v>624</v>
      </c>
      <c r="D6" s="72">
        <v>13</v>
      </c>
      <c r="E6" s="71">
        <v>5</v>
      </c>
      <c r="F6" s="72" t="s">
        <v>369</v>
      </c>
      <c r="G6" s="73" t="s">
        <v>716</v>
      </c>
      <c r="H6" s="74" t="s">
        <v>625</v>
      </c>
      <c r="I6" s="75" t="s">
        <v>717</v>
      </c>
      <c r="J6" s="71" t="s">
        <v>367</v>
      </c>
      <c r="K6" s="76" t="str">
        <f t="shared" si="0"/>
        <v>ㄚ́</v>
      </c>
      <c r="L6" s="75" t="s">
        <v>648</v>
      </c>
      <c r="M6" s="76" t="s">
        <v>120</v>
      </c>
      <c r="N6" s="71">
        <v>2</v>
      </c>
      <c r="O6" s="78" t="s">
        <v>622</v>
      </c>
      <c r="P6" s="79" t="s">
        <v>616</v>
      </c>
      <c r="R6" s="31" t="s">
        <v>722</v>
      </c>
    </row>
    <row r="7" spans="1:18" ht="39">
      <c r="A7" s="32">
        <v>6</v>
      </c>
      <c r="B7" s="71" t="s">
        <v>626</v>
      </c>
      <c r="C7" s="71" t="s">
        <v>627</v>
      </c>
      <c r="D7" s="72">
        <v>32</v>
      </c>
      <c r="E7" s="71">
        <v>4</v>
      </c>
      <c r="F7" s="72"/>
      <c r="G7" s="73" t="s">
        <v>377</v>
      </c>
      <c r="H7" s="74" t="s">
        <v>628</v>
      </c>
      <c r="I7" s="75" t="s">
        <v>718</v>
      </c>
      <c r="J7" s="71" t="s">
        <v>601</v>
      </c>
      <c r="K7" s="76" t="str">
        <f xml:space="preserve"> _xlfn.CONCAT("ㄚ", "ㆷ", IF($J7="", "", _xlfn.UNICHAR(HEX2DEC(RIGHT($J7,4)))))</f>
        <v>ㄚㆷ</v>
      </c>
      <c r="L7" s="75" t="s">
        <v>649</v>
      </c>
      <c r="M7" s="76" t="s">
        <v>132</v>
      </c>
      <c r="N7" s="71">
        <v>7</v>
      </c>
      <c r="O7" s="78" t="s">
        <v>609</v>
      </c>
      <c r="P7" s="79" t="s">
        <v>629</v>
      </c>
      <c r="R7" s="31" t="str">
        <f xml:space="preserve"> RIGHT(聲調對照表[[#This Row],[注音調符]],1)</f>
        <v>ㆷ</v>
      </c>
    </row>
    <row r="8" spans="1:18" ht="39">
      <c r="A8" s="53">
        <v>7</v>
      </c>
      <c r="B8" s="80" t="s">
        <v>630</v>
      </c>
      <c r="C8" s="80" t="s">
        <v>631</v>
      </c>
      <c r="D8" s="81">
        <v>121</v>
      </c>
      <c r="E8" s="80">
        <v>8</v>
      </c>
      <c r="F8" s="81" t="s">
        <v>632</v>
      </c>
      <c r="G8" s="82" t="s">
        <v>719</v>
      </c>
      <c r="H8" s="83" t="s">
        <v>633</v>
      </c>
      <c r="I8" s="84" t="s">
        <v>720</v>
      </c>
      <c r="J8" s="80" t="s">
        <v>634</v>
      </c>
      <c r="K8" s="85" t="str">
        <f xml:space="preserve"> _xlfn.CONCAT("ㄚ", "ㆷ", IF($J8="", "", _xlfn.UNICHAR(HEX2DEC(RIGHT($J8,4)))))</f>
        <v>ㄚㆷ˙</v>
      </c>
      <c r="L8" s="84" t="s">
        <v>651</v>
      </c>
      <c r="M8" s="85" t="s">
        <v>131</v>
      </c>
      <c r="N8" s="80">
        <v>8</v>
      </c>
      <c r="O8" s="86" t="s">
        <v>635</v>
      </c>
      <c r="P8" s="87" t="s">
        <v>635</v>
      </c>
      <c r="R8" s="31" t="str">
        <f xml:space="preserve"> RIGHT(聲調對照表[[#This Row],[注音調符]],1)</f>
        <v>˙</v>
      </c>
    </row>
    <row r="11" spans="1:18">
      <c r="A11" s="71" t="s">
        <v>237</v>
      </c>
      <c r="B11" s="71" t="s">
        <v>586</v>
      </c>
      <c r="C11" s="71" t="s">
        <v>587</v>
      </c>
      <c r="D11" s="71" t="s">
        <v>588</v>
      </c>
      <c r="E11" s="71" t="s">
        <v>589</v>
      </c>
      <c r="F11" s="71" t="s">
        <v>636</v>
      </c>
      <c r="G11" s="71" t="s">
        <v>594</v>
      </c>
      <c r="H11" s="71" t="s">
        <v>243</v>
      </c>
      <c r="I11" s="71" t="s">
        <v>637</v>
      </c>
      <c r="J11" s="71" t="s">
        <v>230</v>
      </c>
    </row>
    <row r="12" spans="1:18">
      <c r="A12" s="33">
        <v>1</v>
      </c>
      <c r="B12" s="33" t="s">
        <v>598</v>
      </c>
      <c r="C12" s="33" t="s">
        <v>599</v>
      </c>
      <c r="D12" s="33">
        <v>44</v>
      </c>
      <c r="E12" s="33">
        <v>1</v>
      </c>
      <c r="F12" s="33" t="s">
        <v>601</v>
      </c>
      <c r="G12" s="33" t="s">
        <v>12</v>
      </c>
      <c r="H12" s="33" t="s">
        <v>638</v>
      </c>
      <c r="I12" s="71" t="s">
        <v>600</v>
      </c>
      <c r="J12" s="71" t="s">
        <v>639</v>
      </c>
      <c r="L12" s="31" t="s">
        <v>645</v>
      </c>
    </row>
    <row r="13" spans="1:18">
      <c r="A13" s="33">
        <v>2</v>
      </c>
      <c r="B13" s="33" t="s">
        <v>604</v>
      </c>
      <c r="C13" s="33" t="s">
        <v>605</v>
      </c>
      <c r="D13" s="33">
        <v>22</v>
      </c>
      <c r="E13" s="33">
        <v>7</v>
      </c>
      <c r="F13" s="33" t="s">
        <v>607</v>
      </c>
      <c r="G13" s="33" t="s">
        <v>640</v>
      </c>
      <c r="H13" s="33" t="s">
        <v>641</v>
      </c>
      <c r="I13" s="71" t="s">
        <v>606</v>
      </c>
      <c r="J13" s="71">
        <v>5</v>
      </c>
      <c r="L13" s="31" t="s">
        <v>721</v>
      </c>
    </row>
    <row r="14" spans="1:18">
      <c r="A14" s="33">
        <v>3</v>
      </c>
      <c r="B14" s="33" t="s">
        <v>610</v>
      </c>
      <c r="C14" s="33" t="s">
        <v>611</v>
      </c>
      <c r="D14" s="33">
        <v>21</v>
      </c>
      <c r="E14" s="33">
        <v>3</v>
      </c>
      <c r="F14" s="33" t="s">
        <v>614</v>
      </c>
      <c r="G14" s="33" t="s">
        <v>642</v>
      </c>
      <c r="H14" s="33" t="s">
        <v>643</v>
      </c>
      <c r="I14" s="71" t="s">
        <v>613</v>
      </c>
      <c r="J14" s="71">
        <v>3</v>
      </c>
    </row>
    <row r="15" spans="1:18">
      <c r="A15" s="33">
        <v>4</v>
      </c>
      <c r="B15" s="33" t="s">
        <v>618</v>
      </c>
      <c r="C15" s="33" t="s">
        <v>644</v>
      </c>
      <c r="D15" s="33">
        <v>53</v>
      </c>
      <c r="E15" s="33">
        <v>2</v>
      </c>
      <c r="F15" s="33" t="s">
        <v>368</v>
      </c>
      <c r="G15" s="33" t="s">
        <v>645</v>
      </c>
      <c r="H15" s="33" t="s">
        <v>646</v>
      </c>
      <c r="I15" s="71" t="s">
        <v>620</v>
      </c>
      <c r="J15" s="71">
        <v>4</v>
      </c>
    </row>
    <row r="16" spans="1:18">
      <c r="A16" s="33">
        <v>5</v>
      </c>
      <c r="B16" s="33" t="s">
        <v>623</v>
      </c>
      <c r="C16" s="33" t="s">
        <v>624</v>
      </c>
      <c r="D16" s="33">
        <v>13</v>
      </c>
      <c r="E16" s="33">
        <v>5</v>
      </c>
      <c r="F16" s="33" t="s">
        <v>367</v>
      </c>
      <c r="G16" s="33" t="s">
        <v>647</v>
      </c>
      <c r="H16" s="33" t="s">
        <v>648</v>
      </c>
      <c r="I16" s="71" t="s">
        <v>625</v>
      </c>
      <c r="J16" s="71">
        <v>6</v>
      </c>
    </row>
    <row r="17" spans="1:23">
      <c r="A17" s="33">
        <v>6</v>
      </c>
      <c r="B17" s="33" t="s">
        <v>626</v>
      </c>
      <c r="C17" s="33" t="s">
        <v>627</v>
      </c>
      <c r="D17" s="33">
        <v>32</v>
      </c>
      <c r="E17" s="33">
        <v>4</v>
      </c>
      <c r="F17" s="33" t="s">
        <v>601</v>
      </c>
      <c r="G17" s="33" t="s">
        <v>378</v>
      </c>
      <c r="H17" s="33" t="s">
        <v>649</v>
      </c>
      <c r="I17" s="71" t="s">
        <v>628</v>
      </c>
      <c r="J17" s="71" t="s">
        <v>132</v>
      </c>
    </row>
    <row r="18" spans="1:23">
      <c r="A18" s="33">
        <v>7</v>
      </c>
      <c r="B18" s="33" t="s">
        <v>630</v>
      </c>
      <c r="C18" s="33" t="s">
        <v>631</v>
      </c>
      <c r="D18" s="33">
        <v>121</v>
      </c>
      <c r="E18" s="33">
        <v>8</v>
      </c>
      <c r="F18" s="33" t="s">
        <v>634</v>
      </c>
      <c r="G18" s="33" t="s">
        <v>650</v>
      </c>
      <c r="H18" s="33" t="s">
        <v>651</v>
      </c>
      <c r="I18" s="71" t="s">
        <v>633</v>
      </c>
      <c r="J18" s="71" t="s">
        <v>131</v>
      </c>
    </row>
    <row r="22" spans="1:23">
      <c r="Q22" s="31" t="s">
        <v>652</v>
      </c>
    </row>
    <row r="23" spans="1:23" ht="30">
      <c r="A23" s="89" t="s">
        <v>237</v>
      </c>
      <c r="B23" s="89" t="s">
        <v>653</v>
      </c>
      <c r="C23" s="89"/>
      <c r="D23" s="89"/>
      <c r="E23" s="89"/>
      <c r="F23" s="89"/>
      <c r="G23" s="89" t="s">
        <v>654</v>
      </c>
      <c r="H23" s="89" t="s">
        <v>230</v>
      </c>
      <c r="I23" s="89" t="s">
        <v>655</v>
      </c>
      <c r="J23" s="89" t="s">
        <v>362</v>
      </c>
      <c r="K23" s="89" t="s">
        <v>656</v>
      </c>
      <c r="L23" s="89" t="s">
        <v>364</v>
      </c>
      <c r="M23" s="89" t="s">
        <v>230</v>
      </c>
      <c r="N23" s="89" t="s">
        <v>657</v>
      </c>
      <c r="O23" s="89" t="s">
        <v>366</v>
      </c>
      <c r="Q23" s="89" t="s">
        <v>362</v>
      </c>
      <c r="U23" s="90" t="str">
        <f xml:space="preserve"> _xlfn.CONCAT("o", _xlfn.UNICHAR(HEX2DEC(RIGHT("U+0358",4))))</f>
        <v>o͘</v>
      </c>
      <c r="V23" s="89" t="s">
        <v>365</v>
      </c>
    </row>
    <row r="24" spans="1:23" ht="36.75">
      <c r="A24" s="33">
        <v>1</v>
      </c>
      <c r="B24" s="71" t="s">
        <v>658</v>
      </c>
      <c r="C24" s="71"/>
      <c r="D24" s="71"/>
      <c r="E24" s="71"/>
      <c r="F24" s="71"/>
      <c r="G24" s="71">
        <v>1</v>
      </c>
      <c r="H24" s="91" t="s">
        <v>602</v>
      </c>
      <c r="I24" s="92"/>
      <c r="J24" s="93" t="str">
        <f xml:space="preserve"> IFERROR( _xlfn.CONCAT("a"), "")</f>
        <v>a</v>
      </c>
      <c r="K24" s="94" t="s">
        <v>371</v>
      </c>
      <c r="L24" s="95" t="str">
        <f t="shared" ref="L24:L26" si="1" xml:space="preserve"> IFERROR( _xlfn.CONCAT("a", _xlfn.UNICHAR(HEX2DEC(RIGHT(K24,4)))), "")</f>
        <v>ā</v>
      </c>
      <c r="M24" s="96" t="s">
        <v>659</v>
      </c>
      <c r="N24" s="97"/>
      <c r="O24" s="98" t="str">
        <f xml:space="preserve"> IFERROR( _xlfn.CONCAT("ㄚ"), "")</f>
        <v>ㄚ</v>
      </c>
      <c r="Q24" s="99" t="str">
        <f xml:space="preserve"> IFERROR( _xlfn.CONCAT("a"), "")</f>
        <v>a</v>
      </c>
      <c r="S24" s="31" t="str">
        <f t="shared" ref="S24:S31" si="2" xml:space="preserve"> IFERROR( _xlfn.CONCAT("l", "u", _xlfn.UNICHAR(HEX2DEC(RIGHT($K24,4))), "n"), "")</f>
        <v>lūn</v>
      </c>
      <c r="T24" s="31" t="str">
        <f t="shared" ref="T24:T31" si="3" xml:space="preserve"> IFERROR( _xlfn.CONCAT("n", "g", "o", _xlfn.UNICHAR(HEX2DEC(RIGHT($K24,4))), "o"), "")</f>
        <v>ngōo</v>
      </c>
      <c r="U24" s="31">
        <v>1</v>
      </c>
      <c r="V24" s="90" t="str">
        <f>IFERROR( _xlfn.CONCAT("o", _xlfn.UNICHAR(HEX2DEC(RIGHT("U+0358",4))), _xlfn.UNICHAR(HEX2DEC(RIGHT(I24,4)))), $U$23)</f>
        <v>o͘</v>
      </c>
      <c r="W24" s="100" t="str">
        <f xml:space="preserve"> _xlfn.CONCAT("    - xform/", $U$23, U24, "/", V24, "/")</f>
        <v xml:space="preserve">    - xform/o͘1/o͘/</v>
      </c>
    </row>
    <row r="25" spans="1:23" ht="36.75">
      <c r="A25" s="33">
        <v>2</v>
      </c>
      <c r="B25" s="71" t="s">
        <v>660</v>
      </c>
      <c r="C25" s="71"/>
      <c r="D25" s="71"/>
      <c r="E25" s="71"/>
      <c r="F25" s="71"/>
      <c r="G25" s="71">
        <v>2</v>
      </c>
      <c r="H25" s="101" t="s">
        <v>661</v>
      </c>
      <c r="I25" s="92" t="s">
        <v>367</v>
      </c>
      <c r="J25" s="93" t="str">
        <f xml:space="preserve"> IFERROR( _xlfn.CONCAT("a", _xlfn.UNICHAR(HEX2DEC(RIGHT($I25,4)))), "")</f>
        <v>á</v>
      </c>
      <c r="K25" s="94" t="s">
        <v>369</v>
      </c>
      <c r="L25" s="95" t="str">
        <f t="shared" si="1"/>
        <v>ǎ</v>
      </c>
      <c r="M25" s="102">
        <v>4</v>
      </c>
      <c r="N25" s="97" t="s">
        <v>612</v>
      </c>
      <c r="O25" s="98" t="str">
        <f xml:space="preserve"> IFERROR( _xlfn.CONCAT("ㄚ", _xlfn.UNICHAR(HEX2DEC(RIGHT(N25,4)))), "")</f>
        <v>ㄚ̀</v>
      </c>
      <c r="Q25" s="99" t="str">
        <f xml:space="preserve"> IFERROR( _xlfn.CONCAT("a", _xlfn.UNICHAR(HEX2DEC(RIGHT($I25,4)))), "")</f>
        <v>á</v>
      </c>
      <c r="S25" s="31" t="str">
        <f t="shared" si="2"/>
        <v>lǔn</v>
      </c>
      <c r="T25" s="31" t="str">
        <f t="shared" si="3"/>
        <v>ngǒo</v>
      </c>
      <c r="U25" s="31">
        <v>2</v>
      </c>
      <c r="V25" s="90" t="str">
        <f>IFERROR( _xlfn.CONCAT("o", _xlfn.UNICHAR(HEX2DEC(RIGHT("U+0358",4))), _xlfn.UNICHAR(HEX2DEC(RIGHT(I25,4)))), $U$23)</f>
        <v>ó͘</v>
      </c>
      <c r="W25" s="100" t="str">
        <f t="shared" ref="W25:W33" si="4" xml:space="preserve"> _xlfn.CONCAT("    - xform/", $U$23, U25, "/", V25, "/")</f>
        <v xml:space="preserve">    - xform/o͘2/ó͘/</v>
      </c>
    </row>
    <row r="26" spans="1:23" ht="36.75">
      <c r="A26" s="33">
        <v>3</v>
      </c>
      <c r="B26" s="71" t="s">
        <v>662</v>
      </c>
      <c r="C26" s="71"/>
      <c r="D26" s="71"/>
      <c r="E26" s="71"/>
      <c r="F26" s="71"/>
      <c r="G26" s="71">
        <v>3</v>
      </c>
      <c r="H26" s="101" t="s">
        <v>615</v>
      </c>
      <c r="I26" s="92" t="s">
        <v>612</v>
      </c>
      <c r="J26" s="93" t="str">
        <f t="shared" ref="J26:J33" si="5" xml:space="preserve"> IFERROR( _xlfn.CONCAT("a", _xlfn.UNICHAR(HEX2DEC(RIGHT($I26,4)))), "")</f>
        <v>à</v>
      </c>
      <c r="K26" s="94" t="s">
        <v>612</v>
      </c>
      <c r="L26" s="95" t="str">
        <f t="shared" si="1"/>
        <v>à</v>
      </c>
      <c r="M26" s="102">
        <v>3</v>
      </c>
      <c r="N26" s="97" t="s">
        <v>663</v>
      </c>
      <c r="O26" s="98" t="str">
        <f xml:space="preserve"> IFERROR( _xlfn.CONCAT("ㄚ", _xlfn.UNICHAR(HEX2DEC(RIGHT(N26,4)))), "")</f>
        <v>ㄚ˪</v>
      </c>
      <c r="Q26" s="99" t="str">
        <f t="shared" ref="Q26:Q33" si="6" xml:space="preserve"> IFERROR( _xlfn.CONCAT("a", _xlfn.UNICHAR(HEX2DEC(RIGHT($I26,4)))), "")</f>
        <v>à</v>
      </c>
      <c r="S26" s="31" t="str">
        <f t="shared" si="2"/>
        <v>lùn</v>
      </c>
      <c r="T26" s="31" t="str">
        <f t="shared" si="3"/>
        <v>ngòo</v>
      </c>
      <c r="U26" s="31">
        <v>3</v>
      </c>
      <c r="V26" s="90" t="str">
        <f>IFERROR( _xlfn.CONCAT("o", _xlfn.UNICHAR(HEX2DEC(RIGHT("U+0358",4))), _xlfn.UNICHAR(HEX2DEC(RIGHT(I26,4)))), $U$23)</f>
        <v>ò͘</v>
      </c>
      <c r="W26" s="100" t="str">
        <f t="shared" si="4"/>
        <v xml:space="preserve">    - xform/o͘3/ò͘/</v>
      </c>
    </row>
    <row r="27" spans="1:23" ht="36.75">
      <c r="A27" s="33">
        <v>4</v>
      </c>
      <c r="B27" s="71" t="s">
        <v>664</v>
      </c>
      <c r="C27" s="71"/>
      <c r="D27" s="71"/>
      <c r="E27" s="71"/>
      <c r="F27" s="71"/>
      <c r="G27" s="71">
        <v>4</v>
      </c>
      <c r="H27" s="101" t="s">
        <v>665</v>
      </c>
      <c r="I27" s="92"/>
      <c r="J27" s="93" t="str">
        <f t="shared" si="5"/>
        <v/>
      </c>
      <c r="K27" s="94" t="s">
        <v>666</v>
      </c>
      <c r="L27" s="95" t="str">
        <f xml:space="preserve"> IFERROR( _xlfn.CONCAT("a", _xlfn.UNICHAR(HEX2DEC(RIGHT(K27,4))), "h"), "")</f>
        <v>āh</v>
      </c>
      <c r="M27" s="102" t="s">
        <v>665</v>
      </c>
      <c r="N27" s="97"/>
      <c r="O27" s="98" t="str">
        <f xml:space="preserve"> IFERROR( _xlfn.CONCAT("ㄚ", "ㆷ"), "")</f>
        <v>ㄚㆷ</v>
      </c>
      <c r="Q27" s="99" t="str">
        <f t="shared" si="6"/>
        <v/>
      </c>
      <c r="S27" s="31" t="str">
        <f t="shared" si="2"/>
        <v>lūn</v>
      </c>
      <c r="T27" s="31" t="str">
        <f t="shared" si="3"/>
        <v>ngōo</v>
      </c>
      <c r="U27" s="31">
        <v>4</v>
      </c>
      <c r="V27" s="90" t="str">
        <f>IFERROR( _xlfn.CONCAT("o", _xlfn.UNICHAR(HEX2DEC(RIGHT("U+0358",4))), _xlfn.UNICHAR(HEX2DEC(RIGHT(I27,4)))), $U$23)</f>
        <v>o͘</v>
      </c>
      <c r="W27" s="100" t="str">
        <f t="shared" si="4"/>
        <v xml:space="preserve">    - xform/o͘4/o͘/</v>
      </c>
    </row>
    <row r="28" spans="1:23" ht="36.75">
      <c r="A28" s="33">
        <v>5</v>
      </c>
      <c r="B28" s="71" t="s">
        <v>667</v>
      </c>
      <c r="C28" s="71"/>
      <c r="D28" s="71"/>
      <c r="E28" s="71"/>
      <c r="F28" s="71"/>
      <c r="G28" s="71">
        <v>5</v>
      </c>
      <c r="H28" s="101" t="s">
        <v>120</v>
      </c>
      <c r="I28" s="92" t="s">
        <v>369</v>
      </c>
      <c r="J28" s="93" t="str">
        <f t="shared" si="5"/>
        <v>ǎ</v>
      </c>
      <c r="K28" s="94" t="s">
        <v>370</v>
      </c>
      <c r="L28" s="95" t="str">
        <f t="shared" ref="L28:L30" si="7" xml:space="preserve"> IFERROR( _xlfn.CONCAT("a", _xlfn.UNICHAR(HEX2DEC(RIGHT(K28,4)))), "")</f>
        <v>á</v>
      </c>
      <c r="M28" s="102">
        <v>6</v>
      </c>
      <c r="N28" s="97" t="s">
        <v>370</v>
      </c>
      <c r="O28" s="98" t="str">
        <f xml:space="preserve"> IFERROR( _xlfn.CONCAT("ㄚ", _xlfn.UNICHAR(HEX2DEC(RIGHT(N28,4)))), "")</f>
        <v>ㄚ́</v>
      </c>
      <c r="Q28" s="99" t="str">
        <f t="shared" si="6"/>
        <v>ǎ</v>
      </c>
      <c r="S28" s="31" t="str">
        <f t="shared" si="2"/>
        <v>lún</v>
      </c>
      <c r="T28" s="31" t="str">
        <f t="shared" si="3"/>
        <v>ngóo</v>
      </c>
      <c r="U28" s="31">
        <v>5</v>
      </c>
      <c r="V28" s="90" t="str">
        <f t="shared" ref="V28:V33" si="8">IFERROR( _xlfn.CONCAT("o", _xlfn.UNICHAR(HEX2DEC(RIGHT("U+0358",4))), _xlfn.UNICHAR(HEX2DEC(RIGHT(I28,4)))), "")</f>
        <v>ǒ͘</v>
      </c>
      <c r="W28" s="100" t="str">
        <f t="shared" si="4"/>
        <v xml:space="preserve">    - xform/o͘5/ǒ͘/</v>
      </c>
    </row>
    <row r="29" spans="1:23" ht="36.75">
      <c r="A29" s="33">
        <v>6</v>
      </c>
      <c r="B29" s="71" t="s">
        <v>660</v>
      </c>
      <c r="C29" s="71"/>
      <c r="D29" s="71"/>
      <c r="E29" s="71"/>
      <c r="F29" s="71"/>
      <c r="G29" s="103">
        <v>6</v>
      </c>
      <c r="H29" s="101"/>
      <c r="I29" s="104" t="s">
        <v>370</v>
      </c>
      <c r="J29" s="93" t="str">
        <f t="shared" si="5"/>
        <v>á</v>
      </c>
      <c r="K29" s="105" t="s">
        <v>369</v>
      </c>
      <c r="L29" s="106" t="str">
        <f t="shared" si="7"/>
        <v>ǎ</v>
      </c>
      <c r="M29" s="102"/>
      <c r="N29" s="107" t="s">
        <v>612</v>
      </c>
      <c r="O29" s="108" t="str">
        <f xml:space="preserve"> IFERROR( _xlfn.CONCAT("ㄚ", _xlfn.UNICHAR(HEX2DEC(RIGHT(N29,4)))), "")</f>
        <v>ㄚ̀</v>
      </c>
      <c r="Q29" s="99" t="str">
        <f t="shared" si="6"/>
        <v>á</v>
      </c>
      <c r="S29" s="31" t="str">
        <f t="shared" si="2"/>
        <v>lǔn</v>
      </c>
      <c r="T29" s="31" t="str">
        <f t="shared" si="3"/>
        <v>ngǒo</v>
      </c>
      <c r="U29" s="31">
        <v>6</v>
      </c>
      <c r="V29" s="90" t="str">
        <f t="shared" si="8"/>
        <v>ó͘</v>
      </c>
      <c r="W29" s="100" t="str">
        <f t="shared" si="4"/>
        <v xml:space="preserve">    - xform/o͘6/ó͘/</v>
      </c>
    </row>
    <row r="30" spans="1:23" ht="36.75">
      <c r="A30" s="33">
        <v>7</v>
      </c>
      <c r="B30" s="71" t="s">
        <v>668</v>
      </c>
      <c r="C30" s="71"/>
      <c r="D30" s="71"/>
      <c r="E30" s="71"/>
      <c r="F30" s="71"/>
      <c r="G30" s="71">
        <v>7</v>
      </c>
      <c r="H30" s="91" t="s">
        <v>669</v>
      </c>
      <c r="I30" s="92" t="s">
        <v>371</v>
      </c>
      <c r="J30" s="93" t="str">
        <f t="shared" si="5"/>
        <v>ā</v>
      </c>
      <c r="K30" s="94" t="s">
        <v>670</v>
      </c>
      <c r="L30" s="95" t="str">
        <f t="shared" si="7"/>
        <v>â</v>
      </c>
      <c r="M30" s="96">
        <v>5</v>
      </c>
      <c r="N30" s="97" t="s">
        <v>671</v>
      </c>
      <c r="O30" s="98" t="str">
        <f xml:space="preserve"> IFERROR( _xlfn.CONCAT("ㄚ", _xlfn.UNICHAR(HEX2DEC(RIGHT(N30,4)))), "")</f>
        <v>ㄚ˫</v>
      </c>
      <c r="Q30" s="99" t="str">
        <f t="shared" si="6"/>
        <v>ā</v>
      </c>
      <c r="S30" s="31" t="str">
        <f t="shared" si="2"/>
        <v>lûn</v>
      </c>
      <c r="T30" s="31" t="str">
        <f t="shared" si="3"/>
        <v>ngôo</v>
      </c>
      <c r="U30" s="31">
        <v>7</v>
      </c>
      <c r="V30" s="90" t="str">
        <f t="shared" si="8"/>
        <v>ō͘</v>
      </c>
      <c r="W30" s="100" t="str">
        <f t="shared" si="4"/>
        <v xml:space="preserve">    - xform/o͘7/ō͘/</v>
      </c>
    </row>
    <row r="31" spans="1:23" ht="36.75">
      <c r="A31" s="33">
        <v>8</v>
      </c>
      <c r="B31" s="71" t="s">
        <v>672</v>
      </c>
      <c r="C31" s="71"/>
      <c r="D31" s="71"/>
      <c r="E31" s="71"/>
      <c r="F31" s="71"/>
      <c r="G31" s="71">
        <v>8</v>
      </c>
      <c r="H31" s="101" t="s">
        <v>131</v>
      </c>
      <c r="I31" s="92" t="s">
        <v>632</v>
      </c>
      <c r="J31" s="93" t="str">
        <f t="shared" si="5"/>
        <v>a̍</v>
      </c>
      <c r="K31" s="94" t="s">
        <v>370</v>
      </c>
      <c r="L31" s="95" t="str">
        <f xml:space="preserve"> IFERROR( _xlfn.CONCAT("a", _xlfn.UNICHAR(HEX2DEC(RIGHT(K31,4))), "h"), "")</f>
        <v>áh</v>
      </c>
      <c r="M31" s="102" t="s">
        <v>673</v>
      </c>
      <c r="N31" s="97" t="s">
        <v>674</v>
      </c>
      <c r="O31" s="98" t="str">
        <f xml:space="preserve"> IFERROR( _xlfn.CONCAT("ㄚ", "ㆷ", _xlfn.UNICHAR(HEX2DEC(RIGHT(N31,4)))), "")</f>
        <v>ㄚㆷ˙</v>
      </c>
      <c r="Q31" s="99" t="str">
        <f t="shared" si="6"/>
        <v>a̍</v>
      </c>
      <c r="S31" s="31" t="str">
        <f t="shared" si="2"/>
        <v>lún</v>
      </c>
      <c r="T31" s="31" t="str">
        <f t="shared" si="3"/>
        <v>ngóo</v>
      </c>
      <c r="U31" s="31">
        <v>8</v>
      </c>
      <c r="V31" s="90" t="str">
        <f t="shared" si="8"/>
        <v>o̍͘</v>
      </c>
      <c r="W31" s="100" t="str">
        <f t="shared" si="4"/>
        <v xml:space="preserve">    - xform/o͘8/o̍͘/</v>
      </c>
    </row>
    <row r="32" spans="1:23" ht="36.75">
      <c r="A32" s="33">
        <v>9</v>
      </c>
      <c r="B32" s="71" t="s">
        <v>675</v>
      </c>
      <c r="C32" s="71"/>
      <c r="D32" s="71"/>
      <c r="E32" s="71"/>
      <c r="F32" s="71"/>
      <c r="G32" s="71">
        <v>9</v>
      </c>
      <c r="H32" s="101"/>
      <c r="I32" s="92" t="s">
        <v>373</v>
      </c>
      <c r="J32" s="93" t="str">
        <f t="shared" si="5"/>
        <v>a̋</v>
      </c>
      <c r="K32" s="94"/>
      <c r="L32" s="109"/>
      <c r="M32" s="102"/>
      <c r="N32" s="97"/>
      <c r="O32" s="98"/>
      <c r="Q32" s="99" t="str">
        <f t="shared" si="6"/>
        <v>a̋</v>
      </c>
      <c r="S32" s="31" t="str">
        <f xml:space="preserve"> IFERROR( _xlfn.CONCAT("l", "u", _xlfn.UNICHAR(HEX2DEC(RIGHT(K32,4))), "n"), "")</f>
        <v/>
      </c>
      <c r="U32" s="31">
        <v>9</v>
      </c>
      <c r="V32" s="90" t="str">
        <f t="shared" si="8"/>
        <v>ő͘</v>
      </c>
      <c r="W32" s="100" t="str">
        <f t="shared" si="4"/>
        <v xml:space="preserve">    - xform/o͘9/ő͘/</v>
      </c>
    </row>
    <row r="33" spans="1:27" ht="36.75">
      <c r="A33" s="33">
        <v>10</v>
      </c>
      <c r="B33" s="71" t="s">
        <v>675</v>
      </c>
      <c r="C33" s="71"/>
      <c r="D33" s="71"/>
      <c r="E33" s="71"/>
      <c r="F33" s="71"/>
      <c r="G33" s="71">
        <v>0</v>
      </c>
      <c r="H33" s="101"/>
      <c r="I33" s="92" t="s">
        <v>374</v>
      </c>
      <c r="J33" s="93" t="str">
        <f t="shared" si="5"/>
        <v>å</v>
      </c>
      <c r="K33" s="94"/>
      <c r="L33" s="109"/>
      <c r="M33" s="102">
        <v>7</v>
      </c>
      <c r="N33" s="97" t="s">
        <v>374</v>
      </c>
      <c r="O33" s="98" t="str">
        <f xml:space="preserve"> IFERROR( _xlfn.CONCAT("ㄚ", _xlfn.UNICHAR(HEX2DEC(RIGHT(N33,4)))), "")</f>
        <v>ㄚ̊</v>
      </c>
      <c r="Q33" s="99" t="str">
        <f t="shared" si="6"/>
        <v>å</v>
      </c>
      <c r="S33" s="31" t="str">
        <f xml:space="preserve"> IFERROR( _xlfn.CONCAT("l", "u", _xlfn.UNICHAR(HEX2DEC(RIGHT(K33,4))), "n"), "")</f>
        <v/>
      </c>
      <c r="U33" s="31">
        <v>0</v>
      </c>
      <c r="V33" s="90" t="str">
        <f t="shared" si="8"/>
        <v>o̊͘</v>
      </c>
      <c r="W33" s="100" t="str">
        <f t="shared" si="4"/>
        <v xml:space="preserve">    - xform/o͘0/o̊͘/</v>
      </c>
    </row>
    <row r="36" spans="1:27" ht="30">
      <c r="A36" s="89" t="s">
        <v>237</v>
      </c>
      <c r="B36" s="89" t="s">
        <v>653</v>
      </c>
      <c r="C36" s="89" t="s">
        <v>728</v>
      </c>
      <c r="D36" s="89" t="s">
        <v>230</v>
      </c>
      <c r="E36" s="89" t="s">
        <v>656</v>
      </c>
      <c r="F36" s="89" t="s">
        <v>364</v>
      </c>
      <c r="G36" s="31"/>
      <c r="H36" s="31"/>
      <c r="K36" s="88"/>
      <c r="L36" s="88"/>
      <c r="Y36" s="90" t="s">
        <v>502</v>
      </c>
      <c r="Z36" s="89" t="s">
        <v>365</v>
      </c>
    </row>
    <row r="37" spans="1:27" ht="30">
      <c r="A37" s="33">
        <v>1</v>
      </c>
      <c r="B37" s="71" t="s">
        <v>658</v>
      </c>
      <c r="C37" s="33">
        <v>1</v>
      </c>
      <c r="D37" s="71" t="s">
        <v>124</v>
      </c>
      <c r="E37" s="94" t="s">
        <v>371</v>
      </c>
      <c r="F37" s="95" t="str">
        <f t="shared" ref="F37:F40" si="9" xml:space="preserve"> IFERROR( _xlfn.CONCAT("a", _xlfn.UNICHAR(HEX2DEC(RIGHT(E37,4)))), "")</f>
        <v>ā</v>
      </c>
      <c r="G37" s="31"/>
      <c r="H37" s="31"/>
      <c r="K37" s="88"/>
      <c r="L37" s="88"/>
      <c r="Y37" s="31">
        <v>1</v>
      </c>
      <c r="Z37" s="90" t="s">
        <v>502</v>
      </c>
      <c r="AA37" s="100" t="s">
        <v>676</v>
      </c>
    </row>
    <row r="38" spans="1:27" ht="30">
      <c r="A38" s="33">
        <v>2</v>
      </c>
      <c r="B38" s="71" t="s">
        <v>668</v>
      </c>
      <c r="C38" s="33">
        <v>6</v>
      </c>
      <c r="D38" s="71" t="s">
        <v>231</v>
      </c>
      <c r="E38" s="94" t="s">
        <v>670</v>
      </c>
      <c r="F38" s="95" t="str">
        <f xml:space="preserve"> IFERROR( _xlfn.CONCAT("a", _xlfn.UNICHAR(HEX2DEC(RIGHT(E38,4)))), "")</f>
        <v>â</v>
      </c>
      <c r="G38" s="31"/>
      <c r="H38" s="31"/>
      <c r="K38" s="88"/>
      <c r="L38" s="88"/>
      <c r="Y38" s="31">
        <v>2</v>
      </c>
      <c r="Z38" s="90" t="s">
        <v>677</v>
      </c>
      <c r="AA38" s="100" t="s">
        <v>678</v>
      </c>
    </row>
    <row r="39" spans="1:27" ht="30">
      <c r="A39" s="33">
        <v>3</v>
      </c>
      <c r="B39" s="71" t="s">
        <v>662</v>
      </c>
      <c r="C39" s="33">
        <v>5</v>
      </c>
      <c r="D39" s="71" t="s">
        <v>615</v>
      </c>
      <c r="E39" s="94" t="s">
        <v>612</v>
      </c>
      <c r="F39" s="95" t="str">
        <f xml:space="preserve"> IFERROR( _xlfn.CONCAT("a", _xlfn.UNICHAR(HEX2DEC(RIGHT(E39,4)))), "")</f>
        <v>à</v>
      </c>
      <c r="G39" s="31"/>
      <c r="H39" s="31"/>
      <c r="K39" s="88"/>
      <c r="L39" s="88"/>
      <c r="Y39" s="31">
        <v>3</v>
      </c>
      <c r="Z39" s="90" t="s">
        <v>679</v>
      </c>
      <c r="AA39" s="100" t="s">
        <v>680</v>
      </c>
    </row>
    <row r="40" spans="1:27" ht="30">
      <c r="A40" s="33">
        <v>4</v>
      </c>
      <c r="B40" s="71" t="s">
        <v>660</v>
      </c>
      <c r="C40" s="33">
        <v>3</v>
      </c>
      <c r="D40" s="71" t="s">
        <v>621</v>
      </c>
      <c r="E40" s="94" t="s">
        <v>369</v>
      </c>
      <c r="F40" s="95" t="str">
        <f t="shared" si="9"/>
        <v>ǎ</v>
      </c>
      <c r="G40" s="31"/>
      <c r="H40" s="31"/>
      <c r="K40" s="88"/>
      <c r="L40" s="88"/>
      <c r="Y40" s="31">
        <v>4</v>
      </c>
      <c r="Z40" s="90" t="s">
        <v>502</v>
      </c>
      <c r="AA40" s="100" t="s">
        <v>681</v>
      </c>
    </row>
    <row r="41" spans="1:27" ht="30">
      <c r="A41" s="33">
        <v>5</v>
      </c>
      <c r="B41" s="71" t="s">
        <v>667</v>
      </c>
      <c r="C41" s="33">
        <v>2</v>
      </c>
      <c r="D41" s="71" t="s">
        <v>120</v>
      </c>
      <c r="E41" s="94" t="s">
        <v>370</v>
      </c>
      <c r="F41" s="95" t="str">
        <f xml:space="preserve"> IFERROR( _xlfn.CONCAT("a", _xlfn.UNICHAR(HEX2DEC(RIGHT(E41,4)))), "")</f>
        <v>á</v>
      </c>
      <c r="G41" s="31"/>
      <c r="H41" s="31"/>
      <c r="K41" s="88"/>
      <c r="L41" s="88"/>
      <c r="Y41" s="31">
        <v>5</v>
      </c>
      <c r="Z41" s="90" t="s">
        <v>682</v>
      </c>
      <c r="AA41" s="100" t="s">
        <v>683</v>
      </c>
    </row>
    <row r="42" spans="1:27" ht="30">
      <c r="A42" s="33">
        <v>6</v>
      </c>
      <c r="B42" s="71" t="s">
        <v>664</v>
      </c>
      <c r="C42" s="33">
        <v>7</v>
      </c>
      <c r="D42" s="71" t="s">
        <v>132</v>
      </c>
      <c r="E42" s="94" t="s">
        <v>666</v>
      </c>
      <c r="F42" s="95" t="str">
        <f xml:space="preserve"> IFERROR( _xlfn.CONCAT("a", _xlfn.UNICHAR(HEX2DEC(RIGHT(E42,4))), "h"), "")</f>
        <v>āh</v>
      </c>
      <c r="G42" s="31"/>
      <c r="H42" s="31"/>
      <c r="K42" s="88"/>
      <c r="L42" s="88"/>
      <c r="Y42" s="31">
        <v>6</v>
      </c>
      <c r="Z42" s="90" t="s">
        <v>677</v>
      </c>
      <c r="AA42" s="100" t="s">
        <v>684</v>
      </c>
    </row>
    <row r="43" spans="1:27" ht="30">
      <c r="A43" s="33">
        <v>7</v>
      </c>
      <c r="B43" s="71" t="s">
        <v>672</v>
      </c>
      <c r="C43" s="33">
        <v>8</v>
      </c>
      <c r="D43" s="71" t="s">
        <v>131</v>
      </c>
      <c r="E43" s="94" t="s">
        <v>370</v>
      </c>
      <c r="F43" s="95" t="str">
        <f xml:space="preserve"> IFERROR( _xlfn.CONCAT("a", _xlfn.UNICHAR(HEX2DEC(RIGHT(E43,4))), "h"), "")</f>
        <v>áh</v>
      </c>
      <c r="G43" s="31"/>
      <c r="H43" s="31"/>
      <c r="K43" s="88"/>
      <c r="L43" s="88"/>
      <c r="Y43" s="31">
        <v>7</v>
      </c>
      <c r="Z43" s="90" t="s">
        <v>685</v>
      </c>
      <c r="AA43" s="100" t="s">
        <v>686</v>
      </c>
    </row>
    <row r="44" spans="1:27" ht="30">
      <c r="G44" s="31"/>
      <c r="H44" s="31"/>
      <c r="K44" s="88"/>
      <c r="L44" s="88"/>
      <c r="Y44" s="31">
        <v>8</v>
      </c>
      <c r="Z44" s="90" t="s">
        <v>687</v>
      </c>
      <c r="AA44" s="100" t="s">
        <v>688</v>
      </c>
    </row>
    <row r="45" spans="1:27" ht="30">
      <c r="U45" s="31">
        <v>9</v>
      </c>
      <c r="V45" s="90" t="s">
        <v>689</v>
      </c>
      <c r="W45" s="100" t="s">
        <v>690</v>
      </c>
    </row>
    <row r="46" spans="1:27" ht="30">
      <c r="U46" s="31">
        <v>0</v>
      </c>
      <c r="V46" s="90" t="s">
        <v>691</v>
      </c>
      <c r="W46" s="100" t="s">
        <v>692</v>
      </c>
    </row>
    <row r="51" spans="10:15">
      <c r="J51" s="89" t="s">
        <v>693</v>
      </c>
      <c r="K51" s="89" t="s">
        <v>694</v>
      </c>
      <c r="L51" s="89" t="s">
        <v>654</v>
      </c>
      <c r="M51" s="89" t="s">
        <v>653</v>
      </c>
      <c r="N51" s="89" t="s">
        <v>366</v>
      </c>
      <c r="O51" s="89" t="s">
        <v>695</v>
      </c>
    </row>
    <row r="52" spans="10:15" ht="30">
      <c r="J52" s="71">
        <v>1</v>
      </c>
      <c r="K52" s="96" t="s">
        <v>659</v>
      </c>
      <c r="L52" s="71" t="s">
        <v>696</v>
      </c>
      <c r="M52" s="71" t="s">
        <v>658</v>
      </c>
      <c r="N52" s="110" t="str">
        <f xml:space="preserve"> IFERROR( _xlfn.CONCAT("ㄚ"), "")</f>
        <v>ㄚ</v>
      </c>
      <c r="O52" s="110" t="s">
        <v>666</v>
      </c>
    </row>
    <row r="53" spans="10:15" ht="30">
      <c r="J53" s="71">
        <v>2</v>
      </c>
      <c r="K53" s="102">
        <v>4</v>
      </c>
      <c r="L53" s="71" t="s">
        <v>697</v>
      </c>
      <c r="M53" s="71" t="s">
        <v>660</v>
      </c>
      <c r="N53" s="110" t="str">
        <f xml:space="preserve"> IFERROR( _xlfn.CONCAT("ㄚ", _xlfn.UNICHAR(HEX2DEC(RIGHT(O53,4)))), "")</f>
        <v>ㄚ̀</v>
      </c>
      <c r="O53" s="110" t="s">
        <v>612</v>
      </c>
    </row>
    <row r="54" spans="10:15" ht="30">
      <c r="J54" s="71">
        <v>3</v>
      </c>
      <c r="K54" s="102">
        <v>3</v>
      </c>
      <c r="L54" s="71" t="s">
        <v>698</v>
      </c>
      <c r="M54" s="71" t="s">
        <v>662</v>
      </c>
      <c r="N54" s="110" t="str">
        <f xml:space="preserve"> IFERROR( _xlfn.CONCAT("ㄚ", _xlfn.UNICHAR(HEX2DEC(RIGHT(O54,4)))), "")</f>
        <v>ㄚ˪</v>
      </c>
      <c r="O54" s="110" t="s">
        <v>663</v>
      </c>
    </row>
    <row r="55" spans="10:15" ht="30">
      <c r="J55" s="71">
        <v>4</v>
      </c>
      <c r="K55" s="102" t="s">
        <v>665</v>
      </c>
      <c r="L55" s="71" t="s">
        <v>699</v>
      </c>
      <c r="M55" s="71" t="s">
        <v>664</v>
      </c>
      <c r="N55" s="110" t="str">
        <f xml:space="preserve"> IFERROR( _xlfn.CONCAT("ㄚ", "ㆷ"), "")</f>
        <v>ㄚㆷ</v>
      </c>
      <c r="O55" s="110"/>
    </row>
    <row r="56" spans="10:15" ht="30">
      <c r="J56" s="71">
        <v>5</v>
      </c>
      <c r="K56" s="102">
        <v>6</v>
      </c>
      <c r="L56" s="71" t="s">
        <v>700</v>
      </c>
      <c r="M56" s="71" t="s">
        <v>667</v>
      </c>
      <c r="N56" s="110" t="str">
        <f xml:space="preserve"> IFERROR( _xlfn.CONCAT("ㄚ", _xlfn.UNICHAR(HEX2DEC(RIGHT(O56,4)))), "")</f>
        <v>ㄚ́</v>
      </c>
      <c r="O56" s="110" t="s">
        <v>370</v>
      </c>
    </row>
    <row r="57" spans="10:15" ht="30">
      <c r="J57" s="71">
        <v>6</v>
      </c>
      <c r="K57" s="102"/>
      <c r="L57" s="103" t="s">
        <v>701</v>
      </c>
      <c r="M57" s="71" t="s">
        <v>660</v>
      </c>
      <c r="N57" s="111" t="str">
        <f xml:space="preserve"> IFERROR( _xlfn.CONCAT("ㄚ", _xlfn.UNICHAR(HEX2DEC(RIGHT(O57,4)))), "")</f>
        <v>ㄚ̀</v>
      </c>
      <c r="O57" s="111" t="s">
        <v>612</v>
      </c>
    </row>
    <row r="58" spans="10:15" ht="30">
      <c r="J58" s="71">
        <v>7</v>
      </c>
      <c r="K58" s="96">
        <v>5</v>
      </c>
      <c r="L58" s="71" t="s">
        <v>702</v>
      </c>
      <c r="M58" s="71" t="s">
        <v>668</v>
      </c>
      <c r="N58" s="110" t="str">
        <f xml:space="preserve"> IFERROR( _xlfn.CONCAT("ㄚ", _xlfn.UNICHAR(HEX2DEC(RIGHT(O58,4)))), "")</f>
        <v>ㄚ˫</v>
      </c>
      <c r="O58" s="110" t="s">
        <v>671</v>
      </c>
    </row>
    <row r="59" spans="10:15" ht="30">
      <c r="J59" s="71">
        <v>8</v>
      </c>
      <c r="K59" s="102" t="s">
        <v>673</v>
      </c>
      <c r="L59" s="71" t="s">
        <v>703</v>
      </c>
      <c r="M59" s="71" t="s">
        <v>672</v>
      </c>
      <c r="N59" s="110" t="str">
        <f xml:space="preserve"> IFERROR( _xlfn.CONCAT("ㄚ", "ㆷ", _xlfn.UNICHAR(HEX2DEC(RIGHT(O59,4)))), "")</f>
        <v>ㄚㆷ˙</v>
      </c>
      <c r="O59" s="110" t="s">
        <v>674</v>
      </c>
    </row>
    <row r="60" spans="10:15" ht="30">
      <c r="J60" s="71">
        <v>9</v>
      </c>
      <c r="K60" s="102">
        <v>7</v>
      </c>
      <c r="L60" s="71" t="s">
        <v>704</v>
      </c>
      <c r="M60" s="71" t="s">
        <v>705</v>
      </c>
      <c r="N60" s="110" t="str">
        <f xml:space="preserve"> IFERROR( _xlfn.CONCAT("ㄚ", _xlfn.UNICHAR(HEX2DEC(RIGHT(O60,4)))), "")</f>
        <v>ㄚ̊</v>
      </c>
      <c r="O60" s="110" t="s">
        <v>374</v>
      </c>
    </row>
    <row r="63" spans="10:15">
      <c r="J63" s="89" t="s">
        <v>693</v>
      </c>
      <c r="K63" s="89" t="s">
        <v>243</v>
      </c>
      <c r="L63" s="89" t="s">
        <v>695</v>
      </c>
      <c r="M63" s="89" t="s">
        <v>706</v>
      </c>
      <c r="N63" s="89" t="s">
        <v>707</v>
      </c>
    </row>
    <row r="64" spans="10:15">
      <c r="J64" s="71">
        <v>1</v>
      </c>
      <c r="K64" s="110" t="s">
        <v>12</v>
      </c>
      <c r="L64" s="110" t="s">
        <v>666</v>
      </c>
      <c r="M64" s="71" t="s">
        <v>696</v>
      </c>
      <c r="N64" s="71" t="s">
        <v>658</v>
      </c>
    </row>
    <row r="65" spans="10:14">
      <c r="J65" s="71">
        <v>2</v>
      </c>
      <c r="K65" s="110" t="s">
        <v>645</v>
      </c>
      <c r="L65" s="110" t="s">
        <v>612</v>
      </c>
      <c r="M65" s="71" t="s">
        <v>697</v>
      </c>
      <c r="N65" s="71" t="s">
        <v>660</v>
      </c>
    </row>
    <row r="66" spans="10:14">
      <c r="J66" s="71">
        <v>3</v>
      </c>
      <c r="K66" s="110" t="s">
        <v>642</v>
      </c>
      <c r="L66" s="110" t="s">
        <v>663</v>
      </c>
      <c r="M66" s="71" t="s">
        <v>698</v>
      </c>
      <c r="N66" s="71" t="s">
        <v>662</v>
      </c>
    </row>
    <row r="67" spans="10:14">
      <c r="J67" s="71">
        <v>4</v>
      </c>
      <c r="K67" s="110" t="s">
        <v>378</v>
      </c>
      <c r="L67" s="110"/>
      <c r="M67" s="71" t="s">
        <v>699</v>
      </c>
      <c r="N67" s="71" t="s">
        <v>664</v>
      </c>
    </row>
    <row r="68" spans="10:14">
      <c r="J68" s="71">
        <v>5</v>
      </c>
      <c r="K68" s="110" t="s">
        <v>647</v>
      </c>
      <c r="L68" s="110" t="s">
        <v>370</v>
      </c>
      <c r="M68" s="71" t="s">
        <v>700</v>
      </c>
      <c r="N68" s="71" t="s">
        <v>667</v>
      </c>
    </row>
    <row r="69" spans="10:14">
      <c r="J69" s="71">
        <v>6</v>
      </c>
      <c r="K69" s="111" t="s">
        <v>645</v>
      </c>
      <c r="L69" s="111" t="s">
        <v>612</v>
      </c>
      <c r="M69" s="103" t="s">
        <v>701</v>
      </c>
      <c r="N69" s="71" t="s">
        <v>660</v>
      </c>
    </row>
    <row r="70" spans="10:14">
      <c r="J70" s="71">
        <v>7</v>
      </c>
      <c r="K70" s="110" t="s">
        <v>640</v>
      </c>
      <c r="L70" s="110" t="s">
        <v>671</v>
      </c>
      <c r="M70" s="71" t="s">
        <v>702</v>
      </c>
      <c r="N70" s="71" t="s">
        <v>668</v>
      </c>
    </row>
    <row r="71" spans="10:14">
      <c r="J71" s="71">
        <v>8</v>
      </c>
      <c r="K71" s="110" t="s">
        <v>650</v>
      </c>
      <c r="L71" s="110" t="s">
        <v>674</v>
      </c>
      <c r="M71" s="71" t="s">
        <v>703</v>
      </c>
      <c r="N71" s="71" t="s">
        <v>672</v>
      </c>
    </row>
    <row r="73" spans="10:14">
      <c r="K73" s="31" t="str">
        <f xml:space="preserve"> _xlfn.UNICHAR( HEX2DEC( RIGHT(L73,4)))</f>
        <v>¯</v>
      </c>
      <c r="L73" s="112" t="s">
        <v>708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277B-9A07-4DCB-A6C6-6D4AAE526D80}">
  <dimension ref="B1:EV59"/>
  <sheetViews>
    <sheetView topLeftCell="CW1" zoomScale="55" zoomScaleNormal="55" workbookViewId="0">
      <selection activeCell="DP19" sqref="DP19"/>
    </sheetView>
  </sheetViews>
  <sheetFormatPr defaultRowHeight="25.5" outlineLevelRow="1"/>
  <cols>
    <col min="1" max="1" width="4.19921875" style="1" customWidth="1"/>
    <col min="2" max="2" width="6.5" style="3" bestFit="1" customWidth="1"/>
    <col min="3" max="3" width="11.19921875" style="3" bestFit="1" customWidth="1"/>
    <col min="4" max="4" width="11.19921875" style="27" bestFit="1" customWidth="1"/>
    <col min="5" max="5" width="11.19921875" style="27" customWidth="1"/>
    <col min="6" max="6" width="11.19921875" style="27" bestFit="1" customWidth="1"/>
    <col min="7" max="7" width="11.19921875" style="27" customWidth="1"/>
    <col min="8" max="8" width="11.19921875" style="3" bestFit="1" customWidth="1"/>
    <col min="9" max="9" width="11.19921875" style="3" customWidth="1"/>
    <col min="10" max="10" width="8.796875" style="1"/>
    <col min="11" max="11" width="6.5" style="3" bestFit="1" customWidth="1"/>
    <col min="12" max="12" width="11.19921875" style="12" bestFit="1" customWidth="1"/>
    <col min="13" max="13" width="11.19921875" style="27" bestFit="1" customWidth="1"/>
    <col min="14" max="14" width="11.19921875" style="27" customWidth="1"/>
    <col min="15" max="15" width="11.19921875" style="27" bestFit="1" customWidth="1"/>
    <col min="16" max="16" width="11.19921875" style="27" customWidth="1"/>
    <col min="17" max="17" width="11.19921875" style="12" bestFit="1" customWidth="1"/>
    <col min="18" max="18" width="11.19921875" style="12" customWidth="1"/>
    <col min="19" max="19" width="8.796875" style="1"/>
    <col min="20" max="20" width="6.5" style="3" bestFit="1" customWidth="1"/>
    <col min="21" max="21" width="11.19921875" style="12" bestFit="1" customWidth="1"/>
    <col min="22" max="23" width="11.19921875" style="27" bestFit="1" customWidth="1"/>
    <col min="24" max="24" width="11.19921875" style="12" bestFit="1" customWidth="1"/>
    <col min="25" max="27" width="11.19921875" style="12" customWidth="1"/>
    <col min="28" max="28" width="8.796875" style="1"/>
    <col min="29" max="29" width="12.3984375" style="1" customWidth="1"/>
    <col min="30" max="30" width="6" style="1" customWidth="1"/>
    <col min="31" max="90" width="3.69921875" style="1" customWidth="1"/>
    <col min="91" max="91" width="8.796875" style="3"/>
    <col min="92" max="92" width="6.5" style="3" bestFit="1" customWidth="1"/>
    <col min="93" max="94" width="11.19921875" style="3" bestFit="1" customWidth="1"/>
    <col min="95" max="95" width="6.5" style="3" bestFit="1" customWidth="1"/>
    <col min="96" max="96" width="11.19921875" style="3" bestFit="1" customWidth="1"/>
    <col min="97" max="97" width="8.796875" style="3"/>
    <col min="98" max="98" width="6.5" style="3" bestFit="1" customWidth="1"/>
    <col min="99" max="100" width="11.19921875" style="3" bestFit="1" customWidth="1"/>
    <col min="101" max="101" width="6.5" style="3" bestFit="1" customWidth="1"/>
    <col min="102" max="102" width="11.19921875" style="3" bestFit="1" customWidth="1"/>
    <col min="103" max="103" width="8.796875" style="3"/>
    <col min="104" max="104" width="6.5" style="3" bestFit="1" customWidth="1"/>
    <col min="105" max="106" width="11.19921875" style="3" bestFit="1" customWidth="1"/>
    <col min="107" max="107" width="6.5" style="3" bestFit="1" customWidth="1"/>
    <col min="108" max="108" width="11.19921875" style="3" bestFit="1" customWidth="1"/>
    <col min="109" max="110" width="8.796875" style="1"/>
    <col min="111" max="151" width="6.3984375" style="1" customWidth="1"/>
    <col min="152" max="16384" width="8.796875" style="1"/>
  </cols>
  <sheetData>
    <row r="1" spans="2:152" ht="48.75" customHeight="1">
      <c r="B1" s="24" t="s">
        <v>1</v>
      </c>
      <c r="C1" s="24" t="s">
        <v>230</v>
      </c>
      <c r="D1" s="24" t="s">
        <v>4</v>
      </c>
      <c r="E1" s="24" t="s">
        <v>1161</v>
      </c>
      <c r="F1" s="24" t="s">
        <v>3</v>
      </c>
      <c r="G1" s="164" t="s">
        <v>751</v>
      </c>
      <c r="H1" s="24" t="s">
        <v>6</v>
      </c>
      <c r="I1" s="66" t="s">
        <v>569</v>
      </c>
      <c r="K1" s="24" t="s">
        <v>1</v>
      </c>
      <c r="L1" s="24" t="s">
        <v>230</v>
      </c>
      <c r="M1" s="24" t="s">
        <v>4</v>
      </c>
      <c r="N1" s="24" t="s">
        <v>1161</v>
      </c>
      <c r="O1" s="24" t="s">
        <v>3</v>
      </c>
      <c r="P1" s="164" t="s">
        <v>751</v>
      </c>
      <c r="Q1" s="24" t="s">
        <v>6</v>
      </c>
      <c r="R1" s="66" t="s">
        <v>569</v>
      </c>
      <c r="T1" s="24" t="s">
        <v>1</v>
      </c>
      <c r="U1" s="24" t="s">
        <v>230</v>
      </c>
      <c r="V1" s="24" t="s">
        <v>4</v>
      </c>
      <c r="W1" s="24" t="s">
        <v>741</v>
      </c>
      <c r="X1" s="24" t="s">
        <v>1147</v>
      </c>
      <c r="Y1" s="24" t="s">
        <v>740</v>
      </c>
      <c r="Z1" s="24" t="s">
        <v>569</v>
      </c>
      <c r="AC1" s="1" t="s">
        <v>0</v>
      </c>
      <c r="CN1" s="2" t="s">
        <v>2</v>
      </c>
      <c r="CO1" s="2" t="s">
        <v>3</v>
      </c>
      <c r="CP1" s="2" t="s">
        <v>4</v>
      </c>
      <c r="CQ1" s="2" t="s">
        <v>5</v>
      </c>
      <c r="CR1" s="2" t="s">
        <v>6</v>
      </c>
      <c r="CT1" s="2" t="s">
        <v>2</v>
      </c>
      <c r="CU1" s="2" t="s">
        <v>3</v>
      </c>
      <c r="CV1" s="2" t="s">
        <v>4</v>
      </c>
      <c r="CW1" s="2" t="s">
        <v>5</v>
      </c>
      <c r="CX1" s="2" t="s">
        <v>6</v>
      </c>
      <c r="CZ1" s="2" t="s">
        <v>2</v>
      </c>
      <c r="DA1" s="2" t="s">
        <v>3</v>
      </c>
      <c r="DB1" s="2" t="s">
        <v>4</v>
      </c>
      <c r="DC1" s="2" t="s">
        <v>5</v>
      </c>
      <c r="DD1" s="2" t="s">
        <v>6</v>
      </c>
    </row>
    <row r="2" spans="2:152" ht="48.75" customHeight="1" thickBot="1">
      <c r="B2" s="5">
        <v>1</v>
      </c>
      <c r="C2" s="6" t="s">
        <v>232</v>
      </c>
      <c r="D2" s="25" t="s">
        <v>179</v>
      </c>
      <c r="E2" s="25"/>
      <c r="F2" s="25"/>
      <c r="G2" s="25"/>
      <c r="H2" s="6"/>
      <c r="I2" s="6"/>
      <c r="K2" s="5">
        <v>1</v>
      </c>
      <c r="L2" s="6" t="s">
        <v>11</v>
      </c>
      <c r="M2" s="26" t="s">
        <v>10</v>
      </c>
      <c r="N2" s="25" t="s">
        <v>10</v>
      </c>
      <c r="O2" s="25" t="s">
        <v>10</v>
      </c>
      <c r="P2" s="25" t="str" cm="1">
        <f t="array" ref="P2" xml:space="preserve"> INDEX(韻母對照表[台語注音二式], MATCH(TRUE, EXACT(O2, 韻母對照表[台羅拼音]), 0))</f>
        <v>a</v>
      </c>
      <c r="Q2" s="6" t="s">
        <v>12</v>
      </c>
      <c r="R2" s="6" t="s">
        <v>12</v>
      </c>
      <c r="T2" s="5">
        <v>1</v>
      </c>
      <c r="U2" s="6" t="s">
        <v>130</v>
      </c>
      <c r="V2" s="26">
        <v>1</v>
      </c>
      <c r="W2" s="25">
        <v>1</v>
      </c>
      <c r="X2" s="6" t="s">
        <v>1148</v>
      </c>
      <c r="Y2" s="6"/>
      <c r="Z2" s="6" t="s">
        <v>603</v>
      </c>
      <c r="AE2" s="4" cm="1">
        <f t="array" ref="AE2" xml:space="preserve"> COLUMN() - COLUMN($AD:$AD)</f>
        <v>1</v>
      </c>
      <c r="AF2" s="4" cm="1">
        <f t="array" ref="AF2" xml:space="preserve"> COLUMN() - COLUMN($AD:$AD)</f>
        <v>2</v>
      </c>
      <c r="AG2" s="4" cm="1">
        <f t="array" ref="AG2" xml:space="preserve"> COLUMN() - COLUMN($AD:$AD)</f>
        <v>3</v>
      </c>
      <c r="AH2" s="4" cm="1">
        <f t="array" ref="AH2" xml:space="preserve"> COLUMN() - COLUMN($AD:$AD)</f>
        <v>4</v>
      </c>
      <c r="AI2" s="4" cm="1">
        <f t="array" ref="AI2" xml:space="preserve"> COLUMN() - COLUMN($AD:$AD)</f>
        <v>5</v>
      </c>
      <c r="AJ2" s="4" cm="1">
        <f t="array" ref="AJ2" xml:space="preserve"> COLUMN() - COLUMN($AD:$AD)</f>
        <v>6</v>
      </c>
      <c r="AK2" s="4" cm="1">
        <f t="array" ref="AK2" xml:space="preserve"> COLUMN() - COLUMN($AD:$AD)</f>
        <v>7</v>
      </c>
      <c r="AL2" s="4" cm="1">
        <f t="array" ref="AL2" xml:space="preserve"> COLUMN() - COLUMN($AD:$AD)</f>
        <v>8</v>
      </c>
      <c r="AM2" s="4" cm="1">
        <f t="array" ref="AM2" xml:space="preserve"> COLUMN() - COLUMN($AD:$AD)</f>
        <v>9</v>
      </c>
      <c r="AN2" s="4" cm="1">
        <f t="array" ref="AN2" xml:space="preserve"> COLUMN() - COLUMN($AD:$AD)</f>
        <v>10</v>
      </c>
      <c r="AO2" s="4" cm="1">
        <f t="array" ref="AO2" xml:space="preserve"> COLUMN() - COLUMN($AD:$AD)</f>
        <v>11</v>
      </c>
      <c r="AP2" s="4" cm="1">
        <f t="array" ref="AP2" xml:space="preserve"> COLUMN() - COLUMN($AD:$AD)</f>
        <v>12</v>
      </c>
      <c r="AQ2" s="4" cm="1">
        <f t="array" ref="AQ2" xml:space="preserve"> COLUMN() - COLUMN($AD:$AD)</f>
        <v>13</v>
      </c>
      <c r="AR2" s="4" cm="1">
        <f t="array" ref="AR2" xml:space="preserve"> COLUMN() - COLUMN($AD:$AD)</f>
        <v>14</v>
      </c>
      <c r="AS2" s="4" cm="1">
        <f t="array" ref="AS2" xml:space="preserve"> COLUMN() - COLUMN($AD:$AD)</f>
        <v>15</v>
      </c>
      <c r="AT2" s="4" cm="1">
        <f t="array" ref="AT2" xml:space="preserve"> COLUMN() - COLUMN($AD:$AD)</f>
        <v>16</v>
      </c>
      <c r="AU2" s="4" cm="1">
        <f t="array" ref="AU2" xml:space="preserve"> COLUMN() - COLUMN($AD:$AD)</f>
        <v>17</v>
      </c>
      <c r="AV2" s="4" cm="1">
        <f t="array" ref="AV2" xml:space="preserve"> COLUMN() - COLUMN($AD:$AD)</f>
        <v>18</v>
      </c>
      <c r="AW2" s="4" cm="1">
        <f t="array" ref="AW2" xml:space="preserve"> COLUMN() - COLUMN($AD:$AD)</f>
        <v>19</v>
      </c>
      <c r="AX2" s="4" cm="1">
        <f t="array" ref="AX2" xml:space="preserve"> COLUMN() - COLUMN($AD:$AD)</f>
        <v>20</v>
      </c>
      <c r="AY2" s="4" cm="1">
        <f t="array" ref="AY2" xml:space="preserve"> COLUMN() - COLUMN($AD:$AD)</f>
        <v>21</v>
      </c>
      <c r="AZ2" s="4" cm="1">
        <f t="array" ref="AZ2" xml:space="preserve"> COLUMN() - COLUMN($AD:$AD)</f>
        <v>22</v>
      </c>
      <c r="BA2" s="4" cm="1">
        <f t="array" ref="BA2" xml:space="preserve"> COLUMN() - COLUMN($AD:$AD)</f>
        <v>23</v>
      </c>
      <c r="BB2" s="4" cm="1">
        <f t="array" ref="BB2" xml:space="preserve"> COLUMN() - COLUMN($AD:$AD)</f>
        <v>24</v>
      </c>
      <c r="BC2" s="4" cm="1">
        <f t="array" ref="BC2" xml:space="preserve"> COLUMN() - COLUMN($AD:$AD)</f>
        <v>25</v>
      </c>
      <c r="BD2" s="4" cm="1">
        <f t="array" ref="BD2" xml:space="preserve"> COLUMN() - COLUMN($AD:$AD)</f>
        <v>26</v>
      </c>
      <c r="BE2" s="4" cm="1">
        <f t="array" ref="BE2" xml:space="preserve"> COLUMN() - COLUMN($AD:$AD)</f>
        <v>27</v>
      </c>
      <c r="BF2" s="4" cm="1">
        <f t="array" ref="BF2" xml:space="preserve"> COLUMN() - COLUMN($AD:$AD)</f>
        <v>28</v>
      </c>
      <c r="BG2" s="4" cm="1">
        <f t="array" ref="BG2" xml:space="preserve"> COLUMN() - COLUMN($AD:$AD)</f>
        <v>29</v>
      </c>
      <c r="BH2" s="4" cm="1">
        <f t="array" ref="BH2" xml:space="preserve"> COLUMN() - COLUMN($AD:$AD)</f>
        <v>30</v>
      </c>
      <c r="BI2" s="4" cm="1">
        <f t="array" ref="BI2" xml:space="preserve"> COLUMN() - COLUMN($AD:$AD)</f>
        <v>31</v>
      </c>
      <c r="BJ2" s="4" cm="1">
        <f t="array" ref="BJ2" xml:space="preserve"> COLUMN() - COLUMN($AD:$AD)</f>
        <v>32</v>
      </c>
      <c r="BK2" s="4" cm="1">
        <f t="array" ref="BK2" xml:space="preserve"> COLUMN() - COLUMN($AD:$AD)</f>
        <v>33</v>
      </c>
      <c r="BL2" s="4" cm="1">
        <f t="array" ref="BL2" xml:space="preserve"> COLUMN() - COLUMN($AD:$AD)</f>
        <v>34</v>
      </c>
      <c r="BM2" s="4" cm="1">
        <f t="array" ref="BM2" xml:space="preserve"> COLUMN() - COLUMN($AD:$AD)</f>
        <v>35</v>
      </c>
      <c r="BN2" s="4" cm="1">
        <f t="array" ref="BN2" xml:space="preserve"> COLUMN() - COLUMN($AD:$AD)</f>
        <v>36</v>
      </c>
      <c r="BO2" s="4" cm="1">
        <f t="array" ref="BO2" xml:space="preserve"> COLUMN() - COLUMN($AD:$AD)</f>
        <v>37</v>
      </c>
      <c r="BP2" s="4" cm="1">
        <f t="array" ref="BP2" xml:space="preserve"> COLUMN() - COLUMN($AD:$AD)</f>
        <v>38</v>
      </c>
      <c r="BQ2" s="4" cm="1">
        <f t="array" ref="BQ2" xml:space="preserve"> COLUMN() - COLUMN($AD:$AD)</f>
        <v>39</v>
      </c>
      <c r="BR2" s="4" cm="1">
        <f t="array" ref="BR2" xml:space="preserve"> COLUMN() - COLUMN($AD:$AD)</f>
        <v>40</v>
      </c>
      <c r="BS2" s="4" cm="1">
        <f t="array" ref="BS2" xml:space="preserve"> COLUMN() - COLUMN($AD:$AD)</f>
        <v>41</v>
      </c>
      <c r="BT2" s="4" cm="1">
        <f t="array" ref="BT2" xml:space="preserve"> COLUMN() - COLUMN($AD:$AD)</f>
        <v>42</v>
      </c>
      <c r="BU2" s="4" cm="1">
        <f t="array" ref="BU2" xml:space="preserve"> COLUMN() - COLUMN($AD:$AD)</f>
        <v>43</v>
      </c>
      <c r="BV2" s="4" cm="1">
        <f t="array" ref="BV2" xml:space="preserve"> COLUMN() - COLUMN($AD:$AD)</f>
        <v>44</v>
      </c>
      <c r="BW2" s="4" cm="1">
        <f t="array" ref="BW2" xml:space="preserve"> COLUMN() - COLUMN($AD:$AD)</f>
        <v>45</v>
      </c>
      <c r="BX2" s="4" cm="1">
        <f t="array" ref="BX2" xml:space="preserve"> COLUMN() - COLUMN($AD:$AD)</f>
        <v>46</v>
      </c>
      <c r="BY2" s="4" cm="1">
        <f t="array" ref="BY2" xml:space="preserve"> COLUMN() - COLUMN($AD:$AD)</f>
        <v>47</v>
      </c>
      <c r="BZ2" s="4" cm="1">
        <f t="array" ref="BZ2" xml:space="preserve"> COLUMN() - COLUMN($AD:$AD)</f>
        <v>48</v>
      </c>
      <c r="CA2" s="4" cm="1">
        <f t="array" ref="CA2" xml:space="preserve"> COLUMN() - COLUMN($AD:$AD)</f>
        <v>49</v>
      </c>
      <c r="CB2" s="4" cm="1">
        <f t="array" ref="CB2" xml:space="preserve"> COLUMN() - COLUMN($AD:$AD)</f>
        <v>50</v>
      </c>
      <c r="CC2" s="4" cm="1">
        <f t="array" ref="CC2" xml:space="preserve"> COLUMN() - COLUMN($AD:$AD)</f>
        <v>51</v>
      </c>
      <c r="CD2" s="4" cm="1">
        <f t="array" ref="CD2" xml:space="preserve"> COLUMN() - COLUMN($AD:$AD)</f>
        <v>52</v>
      </c>
      <c r="CE2" s="4" cm="1">
        <f t="array" ref="CE2" xml:space="preserve"> COLUMN() - COLUMN($AD:$AD)</f>
        <v>53</v>
      </c>
      <c r="CF2" s="4" cm="1">
        <f t="array" ref="CF2" xml:space="preserve"> COLUMN() - COLUMN($AD:$AD)</f>
        <v>54</v>
      </c>
      <c r="CG2" s="4" cm="1">
        <f t="array" ref="CG2" xml:space="preserve"> COLUMN() - COLUMN($AD:$AD)</f>
        <v>55</v>
      </c>
      <c r="CH2" s="4" cm="1">
        <f t="array" ref="CH2" xml:space="preserve"> COLUMN() - COLUMN($AD:$AD)</f>
        <v>56</v>
      </c>
      <c r="CI2" s="4" cm="1">
        <f t="array" ref="CI2" xml:space="preserve"> COLUMN() - COLUMN($AD:$AD)</f>
        <v>57</v>
      </c>
      <c r="CJ2" s="4" cm="1">
        <f t="array" ref="CJ2" xml:space="preserve"> COLUMN() - COLUMN($AD:$AD)</f>
        <v>58</v>
      </c>
      <c r="CK2" s="4" cm="1">
        <f t="array" ref="CK2" xml:space="preserve"> COLUMN() - COLUMN($AD:$AD)</f>
        <v>59</v>
      </c>
      <c r="CL2" s="4" cm="1">
        <f t="array" ref="CL2" xml:space="preserve"> COLUMN() - COLUMN($AD:$AD)</f>
        <v>60</v>
      </c>
      <c r="CN2" s="5">
        <v>1</v>
      </c>
      <c r="CO2" s="5" t="s">
        <v>7</v>
      </c>
      <c r="CP2" s="5" t="s">
        <v>7</v>
      </c>
      <c r="CQ2" s="5" t="s">
        <v>8</v>
      </c>
      <c r="CR2" s="5" t="s">
        <v>9</v>
      </c>
      <c r="CT2" s="5">
        <v>1</v>
      </c>
      <c r="CU2" s="5" t="s">
        <v>10</v>
      </c>
      <c r="CV2" s="5" t="s">
        <v>10</v>
      </c>
      <c r="CW2" s="5" t="s">
        <v>11</v>
      </c>
      <c r="CX2" s="5" t="s">
        <v>12</v>
      </c>
      <c r="CZ2" s="5">
        <v>1</v>
      </c>
      <c r="DA2" s="6">
        <v>1</v>
      </c>
      <c r="DB2" s="6">
        <v>1</v>
      </c>
      <c r="DC2" s="6" t="s">
        <v>13</v>
      </c>
      <c r="DD2" s="6" t="s">
        <v>14</v>
      </c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</row>
    <row r="3" spans="2:152" ht="48.75" customHeight="1">
      <c r="B3" s="5">
        <v>2</v>
      </c>
      <c r="C3" s="6" t="s">
        <v>8</v>
      </c>
      <c r="D3" s="25" t="s">
        <v>7</v>
      </c>
      <c r="E3" s="25" t="s">
        <v>7</v>
      </c>
      <c r="F3" s="25" t="s">
        <v>7</v>
      </c>
      <c r="G3" s="25" t="str" cm="1">
        <f t="array" ref="G3" xml:space="preserve"> INDEX(聲母對照表[台語注音二式], MATCH(TRUE, EXACT(F3, 聲母對照表[台羅拼音]), 0))</f>
        <v>bb</v>
      </c>
      <c r="H3" s="6" t="s">
        <v>9</v>
      </c>
      <c r="I3" s="6" t="s">
        <v>260</v>
      </c>
      <c r="K3" s="5">
        <v>2</v>
      </c>
      <c r="L3" s="6" t="s">
        <v>63</v>
      </c>
      <c r="M3" s="26" t="s">
        <v>62</v>
      </c>
      <c r="N3" s="25" t="s">
        <v>62</v>
      </c>
      <c r="O3" s="25" t="s">
        <v>62</v>
      </c>
      <c r="P3" s="25" t="str" cm="1">
        <f t="array" ref="P3" xml:space="preserve"> INDEX(韻母對照表[台語注音二式], MATCH(TRUE, EXACT(O3, 韻母對照表[台羅拼音]), 0))</f>
        <v>i</v>
      </c>
      <c r="Q3" s="6" t="s">
        <v>64</v>
      </c>
      <c r="R3" s="6" t="s">
        <v>64</v>
      </c>
      <c r="T3" s="5">
        <v>2</v>
      </c>
      <c r="U3" s="6">
        <v>5</v>
      </c>
      <c r="V3" s="25">
        <v>7</v>
      </c>
      <c r="W3" s="25">
        <v>7</v>
      </c>
      <c r="X3" s="6" t="s">
        <v>1149</v>
      </c>
      <c r="Y3" s="6" t="s">
        <v>724</v>
      </c>
      <c r="Z3" s="6" t="s">
        <v>609</v>
      </c>
      <c r="AC3" s="7" t="s">
        <v>15</v>
      </c>
      <c r="AE3" s="8" t="s">
        <v>16</v>
      </c>
      <c r="AF3" s="8" t="s">
        <v>17</v>
      </c>
      <c r="AG3" s="8" t="s">
        <v>18</v>
      </c>
      <c r="AH3" s="8" t="s">
        <v>19</v>
      </c>
      <c r="AI3" s="8" t="s">
        <v>20</v>
      </c>
      <c r="AJ3" s="8" t="s">
        <v>21</v>
      </c>
      <c r="AK3" s="8" t="s">
        <v>22</v>
      </c>
      <c r="AL3" s="8" t="s">
        <v>23</v>
      </c>
      <c r="AM3" s="8" t="s">
        <v>24</v>
      </c>
      <c r="AN3" s="8" t="s">
        <v>25</v>
      </c>
      <c r="AO3" s="8" t="s">
        <v>26</v>
      </c>
      <c r="AP3" s="8" t="s">
        <v>27</v>
      </c>
      <c r="AQ3" s="8" t="s">
        <v>28</v>
      </c>
      <c r="AR3" s="8" t="s">
        <v>29</v>
      </c>
      <c r="AS3" s="8" t="s">
        <v>30</v>
      </c>
      <c r="AT3" s="8" t="s">
        <v>31</v>
      </c>
      <c r="AU3" s="8" t="s">
        <v>32</v>
      </c>
      <c r="AV3" s="8" t="s">
        <v>33</v>
      </c>
      <c r="AW3" s="8" t="s">
        <v>34</v>
      </c>
      <c r="AX3" s="8" t="s">
        <v>35</v>
      </c>
      <c r="AY3" s="8" t="s">
        <v>36</v>
      </c>
      <c r="AZ3" s="8" t="s">
        <v>37</v>
      </c>
      <c r="BA3" s="8" t="s">
        <v>38</v>
      </c>
      <c r="BB3" s="8" t="s">
        <v>39</v>
      </c>
      <c r="BC3" s="8" t="s">
        <v>40</v>
      </c>
      <c r="BD3" s="8" t="s">
        <v>41</v>
      </c>
      <c r="BE3" s="8" t="s">
        <v>42</v>
      </c>
      <c r="BF3" s="8" t="s">
        <v>43</v>
      </c>
      <c r="BG3" s="9" t="s">
        <v>44</v>
      </c>
      <c r="BH3" s="9" t="s">
        <v>45</v>
      </c>
      <c r="BI3" s="9" t="s">
        <v>46</v>
      </c>
      <c r="BJ3" s="10" t="s">
        <v>47</v>
      </c>
      <c r="BK3" s="10" t="s">
        <v>48</v>
      </c>
      <c r="BL3" s="10" t="s">
        <v>49</v>
      </c>
      <c r="BM3" s="10" t="s">
        <v>50</v>
      </c>
      <c r="BN3" s="8" t="s">
        <v>51</v>
      </c>
      <c r="BO3" s="8" t="s">
        <v>52</v>
      </c>
      <c r="BP3" s="8" t="s">
        <v>53</v>
      </c>
      <c r="BQ3" s="8" t="s">
        <v>54</v>
      </c>
      <c r="BR3" s="8" t="s">
        <v>55</v>
      </c>
      <c r="BS3" s="8" t="s">
        <v>56</v>
      </c>
      <c r="BT3" s="8" t="s">
        <v>57</v>
      </c>
      <c r="BU3" s="8" t="str">
        <f xml:space="preserve"> _xlfn.CONCAT("a", _xlfn.UNICHAR(HEX2DEC(RIGHT("U+207F",4))))</f>
        <v>aⁿ</v>
      </c>
      <c r="BV3" s="8" t="str">
        <f xml:space="preserve"> _xlfn.CONCAT("i", _xlfn.UNICHAR(HEX2DEC(RIGHT("U+207F",4))))</f>
        <v>iⁿ</v>
      </c>
      <c r="BW3" s="8" t="str">
        <f xml:space="preserve"> _xlfn.CONCAT("u", _xlfn.UNICHAR(HEX2DEC(RIGHT("U+207F",4))))</f>
        <v>uⁿ</v>
      </c>
      <c r="BX3" s="8" t="str">
        <f xml:space="preserve"> _xlfn.CONCAT("e", _xlfn.UNICHAR(HEX2DEC(RIGHT("U+207F",4))))</f>
        <v>eⁿ</v>
      </c>
      <c r="BY3" s="8" t="str">
        <f xml:space="preserve"> _xlfn.CONCAT("o", _xlfn.UNICHAR(HEX2DEC(RIGHT("U+207F",4))))</f>
        <v>oⁿ</v>
      </c>
      <c r="BZ3" s="8" t="str">
        <f xml:space="preserve"> _xlfn.CONCAT("ai", _xlfn.UNICHAR(HEX2DEC(RIGHT("U+207F",4))))</f>
        <v>aiⁿ</v>
      </c>
      <c r="CA3" s="8" t="str">
        <f xml:space="preserve"> _xlfn.CONCAT("au", _xlfn.UNICHAR(HEX2DEC(RIGHT("U+207F",4))))</f>
        <v>auⁿ</v>
      </c>
      <c r="CB3" s="11" t="str">
        <f xml:space="preserve"> _xlfn.UNICHAR(HEX2DEC(RIGHT("U+207F",4)))</f>
        <v>ⁿ</v>
      </c>
      <c r="CC3" s="12" t="s">
        <v>58</v>
      </c>
      <c r="CD3" s="8">
        <v>1</v>
      </c>
      <c r="CE3" s="8">
        <v>7</v>
      </c>
      <c r="CF3" s="8">
        <v>3</v>
      </c>
      <c r="CG3" s="8">
        <v>2</v>
      </c>
      <c r="CH3" s="8">
        <v>5</v>
      </c>
      <c r="CI3" s="8">
        <v>8</v>
      </c>
      <c r="CJ3" s="8">
        <v>4</v>
      </c>
      <c r="CK3" s="8">
        <v>0</v>
      </c>
      <c r="CL3" s="8" t="s">
        <v>1242</v>
      </c>
      <c r="CN3" s="5">
        <v>2</v>
      </c>
      <c r="CO3" s="5" t="s">
        <v>59</v>
      </c>
      <c r="CP3" s="5" t="s">
        <v>59</v>
      </c>
      <c r="CQ3" s="5" t="s">
        <v>60</v>
      </c>
      <c r="CR3" s="5" t="s">
        <v>61</v>
      </c>
      <c r="CT3" s="5">
        <v>2</v>
      </c>
      <c r="CU3" s="5" t="s">
        <v>62</v>
      </c>
      <c r="CV3" s="5" t="s">
        <v>62</v>
      </c>
      <c r="CW3" s="5" t="s">
        <v>63</v>
      </c>
      <c r="CX3" s="5" t="s">
        <v>64</v>
      </c>
      <c r="CZ3" s="5">
        <v>2</v>
      </c>
      <c r="DA3" s="6">
        <v>7</v>
      </c>
      <c r="DB3" s="6">
        <v>7</v>
      </c>
      <c r="DC3" s="6">
        <v>5</v>
      </c>
      <c r="DD3" s="6" t="s">
        <v>65</v>
      </c>
      <c r="DG3" s="198"/>
      <c r="DH3" s="199" t="s">
        <v>1247</v>
      </c>
      <c r="DI3" s="200"/>
      <c r="DJ3" s="201"/>
      <c r="DK3" s="199" t="s">
        <v>1248</v>
      </c>
      <c r="DL3" s="200"/>
      <c r="DM3" s="201"/>
      <c r="DN3" s="202" t="s">
        <v>1249</v>
      </c>
      <c r="DO3" s="203"/>
      <c r="DP3" s="204"/>
      <c r="DQ3" s="202" t="s">
        <v>1250</v>
      </c>
      <c r="DR3" s="203"/>
      <c r="DS3" s="204"/>
      <c r="DT3" s="205">
        <v>0.05</v>
      </c>
      <c r="DU3" s="206"/>
      <c r="DV3" s="207"/>
      <c r="DW3" s="202" t="s">
        <v>1251</v>
      </c>
      <c r="DX3" s="203"/>
      <c r="DY3" s="204"/>
      <c r="DZ3" s="202" t="s">
        <v>1252</v>
      </c>
      <c r="EA3" s="203"/>
      <c r="EB3" s="204"/>
      <c r="EC3" s="208" t="s">
        <v>1253</v>
      </c>
      <c r="ED3" s="209"/>
      <c r="EE3" s="210"/>
      <c r="EF3" s="208" t="s">
        <v>1254</v>
      </c>
      <c r="EG3" s="209"/>
      <c r="EH3" s="210"/>
      <c r="EI3" s="208" t="s">
        <v>1255</v>
      </c>
      <c r="EJ3" s="209"/>
      <c r="EK3" s="210"/>
      <c r="EL3" s="211" t="s">
        <v>1256</v>
      </c>
      <c r="EM3" s="212"/>
      <c r="EN3" s="213"/>
      <c r="EO3" s="211" t="s">
        <v>1257</v>
      </c>
      <c r="EP3" s="212"/>
      <c r="EQ3" s="213"/>
      <c r="ER3" s="198"/>
      <c r="ES3" s="198"/>
      <c r="ET3" s="198"/>
      <c r="EU3" s="198"/>
      <c r="EV3" s="198"/>
    </row>
    <row r="4" spans="2:152" ht="48.75" customHeight="1">
      <c r="B4" s="5">
        <v>3</v>
      </c>
      <c r="C4" s="6" t="s">
        <v>60</v>
      </c>
      <c r="D4" s="25" t="s">
        <v>59</v>
      </c>
      <c r="E4" s="25" t="s">
        <v>59</v>
      </c>
      <c r="F4" s="25" t="s">
        <v>59</v>
      </c>
      <c r="G4" s="25" t="str" cm="1">
        <f t="array" ref="G4" xml:space="preserve"> INDEX(聲母對照表[台語注音二式], MATCH(TRUE, EXACT(F4, 聲母對照表[台羅拼音]), 0))</f>
        <v>b</v>
      </c>
      <c r="H4" s="6" t="s">
        <v>61</v>
      </c>
      <c r="I4" s="6" t="s">
        <v>61</v>
      </c>
      <c r="K4" s="5">
        <v>3</v>
      </c>
      <c r="L4" s="6" t="s">
        <v>74</v>
      </c>
      <c r="M4" s="26" t="s">
        <v>84</v>
      </c>
      <c r="N4" s="25" t="s">
        <v>1185</v>
      </c>
      <c r="O4" s="25" t="s">
        <v>106</v>
      </c>
      <c r="P4" s="25" cm="1">
        <f t="array" ref="P4" xml:space="preserve"> INDEX(韻母對照表[台語注音二式], MATCH(TRUE, EXACT(O4, 韻母對照表[台羅拼音]), 0))</f>
        <v>0</v>
      </c>
      <c r="Q4" s="6" t="s">
        <v>107</v>
      </c>
      <c r="R4" s="114"/>
      <c r="T4" s="5">
        <v>3</v>
      </c>
      <c r="U4" s="6">
        <v>3</v>
      </c>
      <c r="V4" s="25">
        <v>3</v>
      </c>
      <c r="W4" s="25">
        <v>3</v>
      </c>
      <c r="X4" s="6" t="s">
        <v>1150</v>
      </c>
      <c r="Y4" s="6" t="s">
        <v>725</v>
      </c>
      <c r="Z4" s="6" t="s">
        <v>617</v>
      </c>
      <c r="AC4" s="13" t="s">
        <v>66</v>
      </c>
      <c r="AE4" s="14" t="str">
        <f t="shared" ref="AE4:BJ4" si="0">AE43</f>
        <v>b</v>
      </c>
      <c r="AF4" s="14" t="str">
        <f t="shared" si="0"/>
        <v>p</v>
      </c>
      <c r="AG4" s="14" t="str">
        <f t="shared" si="0"/>
        <v>P</v>
      </c>
      <c r="AH4" s="14" t="str">
        <f t="shared" si="0"/>
        <v>m</v>
      </c>
      <c r="AI4" s="14" t="str">
        <f t="shared" si="0"/>
        <v>n</v>
      </c>
      <c r="AJ4" s="14" t="str">
        <f t="shared" si="0"/>
        <v>t</v>
      </c>
      <c r="AK4" s="14" t="str">
        <f t="shared" si="0"/>
        <v>T</v>
      </c>
      <c r="AL4" s="14" t="str">
        <f t="shared" si="0"/>
        <v>l</v>
      </c>
      <c r="AM4" s="14" t="str">
        <f t="shared" si="0"/>
        <v>g</v>
      </c>
      <c r="AN4" s="14" t="str">
        <f t="shared" si="0"/>
        <v>k</v>
      </c>
      <c r="AO4" s="14" t="str">
        <f t="shared" si="0"/>
        <v>K</v>
      </c>
      <c r="AP4" s="14" t="str">
        <f t="shared" si="0"/>
        <v>ŋ</v>
      </c>
      <c r="AQ4" s="14" t="str">
        <f t="shared" si="0"/>
        <v>h</v>
      </c>
      <c r="AR4" s="14" t="str">
        <f t="shared" si="0"/>
        <v>j</v>
      </c>
      <c r="AS4" s="14" t="str">
        <f t="shared" si="0"/>
        <v>z</v>
      </c>
      <c r="AT4" s="14" t="str">
        <f t="shared" si="0"/>
        <v>c</v>
      </c>
      <c r="AU4" s="14" t="str">
        <f t="shared" si="0"/>
        <v>s</v>
      </c>
      <c r="AV4" s="14" t="str">
        <f t="shared" si="0"/>
        <v>J</v>
      </c>
      <c r="AW4" s="14" t="str">
        <f t="shared" si="0"/>
        <v>Z</v>
      </c>
      <c r="AX4" s="14" t="str">
        <f t="shared" si="0"/>
        <v>C</v>
      </c>
      <c r="AY4" s="14" t="str">
        <f t="shared" si="0"/>
        <v>S</v>
      </c>
      <c r="AZ4" s="14" t="str">
        <f t="shared" si="0"/>
        <v>a</v>
      </c>
      <c r="BA4" s="14" t="str">
        <f t="shared" si="0"/>
        <v>i</v>
      </c>
      <c r="BB4" s="14" t="str">
        <f t="shared" si="0"/>
        <v>w</v>
      </c>
      <c r="BC4" s="14" t="str">
        <f t="shared" si="0"/>
        <v>u</v>
      </c>
      <c r="BD4" s="14" t="str">
        <f t="shared" si="0"/>
        <v>e</v>
      </c>
      <c r="BE4" s="15" t="str">
        <f t="shared" si="0"/>
        <v>O</v>
      </c>
      <c r="BF4" s="15" t="str">
        <f t="shared" si="0"/>
        <v>ə</v>
      </c>
      <c r="BG4" s="14" t="str">
        <f t="shared" si="0"/>
        <v>M</v>
      </c>
      <c r="BH4" s="14" t="str">
        <f t="shared" si="0"/>
        <v>N</v>
      </c>
      <c r="BI4" s="14" t="str">
        <f t="shared" si="0"/>
        <v>G</v>
      </c>
      <c r="BJ4" s="14" t="str">
        <f t="shared" si="0"/>
        <v>I</v>
      </c>
      <c r="BK4" s="14" t="str">
        <f t="shared" ref="BK4:CJ4" si="1">BK43</f>
        <v>U</v>
      </c>
      <c r="BL4" s="15" t="str">
        <f t="shared" si="1"/>
        <v>Y</v>
      </c>
      <c r="BM4" s="14" t="str">
        <f t="shared" si="1"/>
        <v>@</v>
      </c>
      <c r="BN4" s="14" t="str">
        <f t="shared" si="1"/>
        <v>A</v>
      </c>
      <c r="BO4" s="14" t="str">
        <f t="shared" si="1"/>
        <v>W</v>
      </c>
      <c r="BP4" s="14" t="str">
        <f t="shared" si="1"/>
        <v>H</v>
      </c>
      <c r="BQ4" s="14" t="str">
        <f t="shared" si="1"/>
        <v>d</v>
      </c>
      <c r="BR4" s="14" t="str">
        <f t="shared" si="1"/>
        <v>f</v>
      </c>
      <c r="BS4" s="14" t="str">
        <f t="shared" si="1"/>
        <v>q</v>
      </c>
      <c r="BT4" s="14" t="str">
        <f t="shared" si="1"/>
        <v>r</v>
      </c>
      <c r="BU4" s="14" t="str">
        <f t="shared" si="1"/>
        <v>v</v>
      </c>
      <c r="BV4" s="14" t="str">
        <f t="shared" si="1"/>
        <v>x</v>
      </c>
      <c r="BW4" s="14" t="str">
        <f t="shared" si="1"/>
        <v>y</v>
      </c>
      <c r="BX4" s="14" t="str">
        <f t="shared" si="1"/>
        <v>R</v>
      </c>
      <c r="BY4" s="14" t="str">
        <f t="shared" si="1"/>
        <v>F</v>
      </c>
      <c r="BZ4" s="14" t="str">
        <f t="shared" si="1"/>
        <v>Q</v>
      </c>
      <c r="CA4" s="14" t="str">
        <f t="shared" si="1"/>
        <v>V</v>
      </c>
      <c r="CB4" s="16" t="str">
        <f t="shared" si="1"/>
        <v>Ø</v>
      </c>
      <c r="CC4" s="16" t="str">
        <f t="shared" si="1"/>
        <v>L</v>
      </c>
      <c r="CD4" s="14" t="str">
        <f t="shared" si="1"/>
        <v>1</v>
      </c>
      <c r="CE4" s="14" t="str">
        <f t="shared" si="1"/>
        <v>7</v>
      </c>
      <c r="CF4" s="14" t="str">
        <f t="shared" si="1"/>
        <v>3</v>
      </c>
      <c r="CG4" s="14" t="str">
        <f t="shared" si="1"/>
        <v>2</v>
      </c>
      <c r="CH4" s="14" t="str">
        <f t="shared" si="1"/>
        <v>5</v>
      </c>
      <c r="CI4" s="14" t="str">
        <f t="shared" si="1"/>
        <v>4</v>
      </c>
      <c r="CJ4" s="14" t="str">
        <f t="shared" si="1"/>
        <v>8</v>
      </c>
      <c r="CK4" s="14" t="str">
        <f t="shared" ref="CK4:CL4" si="2">CK43</f>
        <v>0</v>
      </c>
      <c r="CL4" s="14" t="str">
        <f t="shared" si="2"/>
        <v>6</v>
      </c>
      <c r="CN4" s="5">
        <v>3</v>
      </c>
      <c r="CO4" s="5" t="s">
        <v>103</v>
      </c>
      <c r="CP4" s="5" t="s">
        <v>67</v>
      </c>
      <c r="CQ4" s="5" t="s">
        <v>104</v>
      </c>
      <c r="CR4" s="5" t="s">
        <v>105</v>
      </c>
      <c r="CT4" s="5">
        <v>3</v>
      </c>
      <c r="CU4" s="5" t="s">
        <v>106</v>
      </c>
      <c r="CV4" s="5" t="s">
        <v>84</v>
      </c>
      <c r="CW4" s="5" t="s">
        <v>74</v>
      </c>
      <c r="CX4" s="5" t="s">
        <v>107</v>
      </c>
      <c r="CZ4" s="5">
        <v>3</v>
      </c>
      <c r="DA4" s="6">
        <v>3</v>
      </c>
      <c r="DB4" s="6">
        <v>3</v>
      </c>
      <c r="DC4" s="6">
        <v>3</v>
      </c>
      <c r="DD4" s="6" t="s">
        <v>108</v>
      </c>
      <c r="DG4" s="198"/>
      <c r="DH4" s="216" t="s">
        <v>9</v>
      </c>
      <c r="DI4" s="217"/>
      <c r="DJ4" s="218" t="s">
        <v>7</v>
      </c>
      <c r="DK4" s="219"/>
      <c r="DL4" s="217"/>
      <c r="DM4" s="220"/>
      <c r="DN4" s="221"/>
      <c r="DO4" s="222"/>
      <c r="DP4" s="223"/>
      <c r="DQ4" s="221"/>
      <c r="DR4" s="222"/>
      <c r="DS4" s="223"/>
      <c r="DT4" s="224"/>
      <c r="DU4" s="225"/>
      <c r="DV4" s="226"/>
      <c r="DW4" s="221"/>
      <c r="DX4" s="222"/>
      <c r="DY4" s="223"/>
      <c r="DZ4" s="221"/>
      <c r="EA4" s="222"/>
      <c r="EB4" s="223"/>
      <c r="EC4" s="227" t="s">
        <v>171</v>
      </c>
      <c r="ED4" s="228"/>
      <c r="EE4" s="229" t="s">
        <v>393</v>
      </c>
      <c r="EF4" s="227" t="s">
        <v>176</v>
      </c>
      <c r="EG4" s="230">
        <v>0</v>
      </c>
      <c r="EH4" s="229" t="s">
        <v>384</v>
      </c>
      <c r="EI4" s="231"/>
      <c r="EJ4" s="228"/>
      <c r="EK4" s="232"/>
      <c r="EL4" s="233"/>
      <c r="EM4" s="234"/>
      <c r="EN4" s="235"/>
      <c r="EO4" s="233"/>
      <c r="EP4" s="234"/>
      <c r="EQ4" s="235"/>
      <c r="ER4" s="198"/>
      <c r="ES4" s="198"/>
      <c r="ET4" s="198"/>
      <c r="EU4" s="198"/>
      <c r="EV4" s="198"/>
    </row>
    <row r="5" spans="2:152" ht="48.75" customHeight="1" thickBot="1">
      <c r="B5" s="5">
        <v>4</v>
      </c>
      <c r="C5" s="6" t="s">
        <v>104</v>
      </c>
      <c r="D5" s="26" t="s">
        <v>67</v>
      </c>
      <c r="E5" s="25" t="s">
        <v>267</v>
      </c>
      <c r="F5" s="25" t="s">
        <v>103</v>
      </c>
      <c r="G5" s="25" t="str" cm="1">
        <f t="array" ref="G5" xml:space="preserve"> INDEX(聲母對照表[台語注音二式], MATCH(TRUE, EXACT(F5, 聲母對照表[台羅拼音]), 0))</f>
        <v>p</v>
      </c>
      <c r="H5" s="6" t="s">
        <v>105</v>
      </c>
      <c r="I5" s="6" t="s">
        <v>105</v>
      </c>
      <c r="K5" s="5">
        <v>4</v>
      </c>
      <c r="L5" s="6" t="s">
        <v>76</v>
      </c>
      <c r="M5" s="25" t="s">
        <v>63</v>
      </c>
      <c r="N5" s="25" t="s">
        <v>63</v>
      </c>
      <c r="O5" s="25" t="s">
        <v>63</v>
      </c>
      <c r="P5" s="25" t="str" cm="1">
        <f t="array" ref="P5" xml:space="preserve"> INDEX(韻母對照表[台語注音二式], MATCH(TRUE, EXACT(O5, 韻母對照表[台羅拼音]), 0))</f>
        <v>u</v>
      </c>
      <c r="Q5" s="6" t="s">
        <v>134</v>
      </c>
      <c r="R5" s="6" t="s">
        <v>134</v>
      </c>
      <c r="T5" s="5">
        <v>4</v>
      </c>
      <c r="U5" s="6">
        <v>4</v>
      </c>
      <c r="V5" s="25">
        <v>2</v>
      </c>
      <c r="W5" s="25">
        <v>2</v>
      </c>
      <c r="X5" s="6" t="s">
        <v>1151</v>
      </c>
      <c r="Y5" s="6" t="s">
        <v>723</v>
      </c>
      <c r="Z5" s="6" t="s">
        <v>622</v>
      </c>
      <c r="AC5" s="17" t="s">
        <v>109</v>
      </c>
      <c r="AE5" s="18" t="str">
        <f t="shared" ref="AE5:BJ5" si="3">AE44</f>
        <v>!</v>
      </c>
      <c r="AF5" s="18" t="str">
        <f t="shared" si="3"/>
        <v>1</v>
      </c>
      <c r="AG5" s="18" t="str">
        <f t="shared" si="3"/>
        <v>q</v>
      </c>
      <c r="AH5" s="18" t="str">
        <f t="shared" si="3"/>
        <v>a</v>
      </c>
      <c r="AI5" s="18" t="str">
        <f t="shared" si="3"/>
        <v>s</v>
      </c>
      <c r="AJ5" s="18" t="str">
        <f t="shared" si="3"/>
        <v>2</v>
      </c>
      <c r="AK5" s="18" t="str">
        <f t="shared" si="3"/>
        <v>w</v>
      </c>
      <c r="AL5" s="18" t="str">
        <f t="shared" si="3"/>
        <v>x</v>
      </c>
      <c r="AM5" s="18" t="str">
        <f t="shared" si="3"/>
        <v>E</v>
      </c>
      <c r="AN5" s="18" t="str">
        <f t="shared" si="3"/>
        <v>e</v>
      </c>
      <c r="AO5" s="18" t="str">
        <f t="shared" si="3"/>
        <v>d</v>
      </c>
      <c r="AP5" s="19" t="str">
        <f t="shared" si="3"/>
        <v>N</v>
      </c>
      <c r="AQ5" s="18" t="str">
        <f t="shared" si="3"/>
        <v>c</v>
      </c>
      <c r="AR5" s="18" t="str">
        <f t="shared" si="3"/>
        <v>Y</v>
      </c>
      <c r="AS5" s="18" t="str">
        <f t="shared" si="3"/>
        <v>y</v>
      </c>
      <c r="AT5" s="18" t="str">
        <f t="shared" si="3"/>
        <v>h</v>
      </c>
      <c r="AU5" s="18" t="str">
        <f t="shared" si="3"/>
        <v>n</v>
      </c>
      <c r="AV5" s="18" t="str">
        <f t="shared" si="3"/>
        <v>R</v>
      </c>
      <c r="AW5" s="18" t="str">
        <f t="shared" si="3"/>
        <v>r</v>
      </c>
      <c r="AX5" s="18" t="str">
        <f t="shared" si="3"/>
        <v>f</v>
      </c>
      <c r="AY5" s="18" t="str">
        <f t="shared" si="3"/>
        <v>v</v>
      </c>
      <c r="AZ5" s="18" t="str">
        <f t="shared" si="3"/>
        <v>8</v>
      </c>
      <c r="BA5" s="18" t="str">
        <f t="shared" si="3"/>
        <v>u</v>
      </c>
      <c r="BB5" s="18" t="str">
        <f t="shared" si="3"/>
        <v>K</v>
      </c>
      <c r="BC5" s="18" t="str">
        <f t="shared" si="3"/>
        <v>j</v>
      </c>
      <c r="BD5" s="18" t="str">
        <f t="shared" si="3"/>
        <v>,</v>
      </c>
      <c r="BE5" s="18" t="str">
        <f t="shared" si="3"/>
        <v>i</v>
      </c>
      <c r="BF5" s="18" t="str">
        <f t="shared" si="3"/>
        <v>k</v>
      </c>
      <c r="BG5" s="18" t="str">
        <f t="shared" si="3"/>
        <v>m</v>
      </c>
      <c r="BH5" s="18" t="str">
        <f t="shared" si="3"/>
        <v>p</v>
      </c>
      <c r="BI5" s="18" t="str">
        <f t="shared" si="3"/>
        <v>/</v>
      </c>
      <c r="BJ5" s="18" t="str">
        <f t="shared" si="3"/>
        <v>9</v>
      </c>
      <c r="BK5" s="18" t="str">
        <f t="shared" ref="BK5:CJ5" si="4">BK44</f>
        <v>l</v>
      </c>
      <c r="BL5" s="18" t="str">
        <f t="shared" si="4"/>
        <v>M</v>
      </c>
      <c r="BM5" s="18" t="str">
        <f t="shared" si="4"/>
        <v>0</v>
      </c>
      <c r="BN5" s="18" t="str">
        <f t="shared" si="4"/>
        <v>;</v>
      </c>
      <c r="BO5" s="18" t="str">
        <f t="shared" si="4"/>
        <v>O</v>
      </c>
      <c r="BP5" s="18" t="str">
        <f t="shared" si="4"/>
        <v>o</v>
      </c>
      <c r="BQ5" s="18" t="str">
        <f t="shared" si="4"/>
        <v>*</v>
      </c>
      <c r="BR5" s="18" t="str">
        <f t="shared" si="4"/>
        <v>U</v>
      </c>
      <c r="BS5" s="18" t="str">
        <f t="shared" si="4"/>
        <v>J</v>
      </c>
      <c r="BT5" s="18" t="str">
        <f t="shared" si="4"/>
        <v>&lt;</v>
      </c>
      <c r="BU5" s="18" t="str">
        <f t="shared" si="4"/>
        <v>I</v>
      </c>
      <c r="BV5" s="18" t="str">
        <f t="shared" si="4"/>
        <v>(</v>
      </c>
      <c r="BW5" s="18" t="str">
        <f t="shared" si="4"/>
        <v>L</v>
      </c>
      <c r="BX5" s="18" t="str">
        <f t="shared" si="4"/>
        <v>b</v>
      </c>
      <c r="BY5" s="18" t="str">
        <f t="shared" si="4"/>
        <v>t</v>
      </c>
      <c r="BZ5" s="18" t="str">
        <f t="shared" si="4"/>
        <v>g</v>
      </c>
      <c r="CA5" s="18" t="str">
        <f t="shared" si="4"/>
        <v>z</v>
      </c>
      <c r="CB5" s="20" t="str">
        <f t="shared" si="4"/>
        <v>=</v>
      </c>
      <c r="CC5" s="20" t="str">
        <f t="shared" si="4"/>
        <v>-</v>
      </c>
      <c r="CD5" s="18" t="str">
        <f t="shared" si="4"/>
        <v>"</v>
      </c>
      <c r="CE5" s="18" t="str">
        <f t="shared" si="4"/>
        <v>5</v>
      </c>
      <c r="CF5" s="18" t="str">
        <f t="shared" si="4"/>
        <v>3</v>
      </c>
      <c r="CG5" s="18" t="str">
        <f t="shared" si="4"/>
        <v>4</v>
      </c>
      <c r="CH5" s="18" t="str">
        <f t="shared" si="4"/>
        <v>6</v>
      </c>
      <c r="CI5" s="18" t="str">
        <f t="shared" si="4"/>
        <v>[</v>
      </c>
      <c r="CJ5" s="18" t="str">
        <f t="shared" si="4"/>
        <v>]</v>
      </c>
      <c r="CK5" s="18" t="str">
        <f t="shared" ref="CK5:CL5" si="5">CK44</f>
        <v>.</v>
      </c>
      <c r="CL5" s="18" t="str">
        <f t="shared" si="5"/>
        <v>7</v>
      </c>
      <c r="CN5" s="5">
        <v>4</v>
      </c>
      <c r="CO5" s="5" t="s">
        <v>68</v>
      </c>
      <c r="CP5" s="5" t="s">
        <v>68</v>
      </c>
      <c r="CQ5" s="5" t="s">
        <v>10</v>
      </c>
      <c r="CR5" s="5" t="s">
        <v>133</v>
      </c>
      <c r="CT5" s="5">
        <v>4</v>
      </c>
      <c r="CU5" s="5" t="s">
        <v>63</v>
      </c>
      <c r="CV5" s="5" t="s">
        <v>63</v>
      </c>
      <c r="CW5" s="5" t="s">
        <v>76</v>
      </c>
      <c r="CX5" s="5" t="s">
        <v>134</v>
      </c>
      <c r="CZ5" s="5">
        <v>4</v>
      </c>
      <c r="DA5" s="6">
        <v>2</v>
      </c>
      <c r="DB5" s="6">
        <v>2</v>
      </c>
      <c r="DC5" s="6">
        <v>4</v>
      </c>
      <c r="DD5" s="6" t="s">
        <v>135</v>
      </c>
      <c r="DG5" s="240"/>
      <c r="DH5" s="241" t="s">
        <v>61</v>
      </c>
      <c r="DI5" s="242"/>
      <c r="DJ5" s="243" t="s">
        <v>59</v>
      </c>
      <c r="DK5" s="241" t="s">
        <v>138</v>
      </c>
      <c r="DL5" s="242"/>
      <c r="DM5" s="244" t="s">
        <v>99</v>
      </c>
      <c r="DN5" s="245" t="s">
        <v>725</v>
      </c>
      <c r="DO5" s="246"/>
      <c r="DP5" s="247" t="s">
        <v>611</v>
      </c>
      <c r="DQ5" s="248" t="s">
        <v>723</v>
      </c>
      <c r="DR5" s="249"/>
      <c r="DS5" s="247" t="s">
        <v>1264</v>
      </c>
      <c r="DT5" s="245" t="s">
        <v>724</v>
      </c>
      <c r="DU5" s="246"/>
      <c r="DV5" s="247" t="s">
        <v>605</v>
      </c>
      <c r="DW5" s="248" t="s">
        <v>722</v>
      </c>
      <c r="DX5" s="249"/>
      <c r="DY5" s="247" t="s">
        <v>624</v>
      </c>
      <c r="DZ5" s="248" t="s">
        <v>183</v>
      </c>
      <c r="EA5" s="246"/>
      <c r="EB5" s="247" t="s">
        <v>1265</v>
      </c>
      <c r="EC5" s="250" t="s">
        <v>1266</v>
      </c>
      <c r="ED5" s="251"/>
      <c r="EE5" s="252" t="s">
        <v>10</v>
      </c>
      <c r="EF5" s="253" t="s">
        <v>164</v>
      </c>
      <c r="EG5" s="254"/>
      <c r="EH5" s="255" t="s">
        <v>206</v>
      </c>
      <c r="EI5" s="253" t="s">
        <v>167</v>
      </c>
      <c r="EJ5" s="251">
        <v>0</v>
      </c>
      <c r="EK5" s="252" t="s">
        <v>212</v>
      </c>
      <c r="EL5" s="256" t="s">
        <v>1267</v>
      </c>
      <c r="EM5" s="251"/>
      <c r="EN5" s="255" t="s">
        <v>1268</v>
      </c>
      <c r="EO5" s="257" t="s">
        <v>179</v>
      </c>
      <c r="EP5" s="254"/>
      <c r="EQ5" s="258"/>
      <c r="ER5" s="240"/>
      <c r="ES5" s="240"/>
      <c r="ET5" s="240"/>
      <c r="EU5" s="240"/>
      <c r="EV5" s="240"/>
    </row>
    <row r="6" spans="2:152" ht="48.75" customHeight="1">
      <c r="B6" s="5">
        <v>5</v>
      </c>
      <c r="C6" s="6" t="s">
        <v>10</v>
      </c>
      <c r="D6" s="25" t="s">
        <v>68</v>
      </c>
      <c r="E6" s="25" t="s">
        <v>68</v>
      </c>
      <c r="F6" s="25" t="s">
        <v>68</v>
      </c>
      <c r="G6" s="25" t="str" cm="1">
        <f t="array" ref="G6" xml:space="preserve"> INDEX(聲母對照表[台語注音二式], MATCH(TRUE, EXACT(F6, 聲母對照表[台羅拼音]), 0))</f>
        <v>m</v>
      </c>
      <c r="H6" s="6" t="s">
        <v>133</v>
      </c>
      <c r="I6" s="6" t="s">
        <v>133</v>
      </c>
      <c r="K6" s="5">
        <v>5</v>
      </c>
      <c r="L6" s="6" t="s">
        <v>118</v>
      </c>
      <c r="M6" s="25" t="s">
        <v>85</v>
      </c>
      <c r="N6" s="25" t="s">
        <v>85</v>
      </c>
      <c r="O6" s="25" t="s">
        <v>85</v>
      </c>
      <c r="P6" s="25" t="str" cm="1">
        <f t="array" ref="P6" xml:space="preserve"> INDEX(韻母對照表[台語注音二式], MATCH(TRUE, EXACT(O6, 韻母對照表[台羅拼音]), 0))</f>
        <v>e</v>
      </c>
      <c r="Q6" s="6" t="s">
        <v>154</v>
      </c>
      <c r="R6" s="6" t="s">
        <v>409</v>
      </c>
      <c r="T6" s="5">
        <v>5</v>
      </c>
      <c r="U6" s="6">
        <v>6</v>
      </c>
      <c r="V6" s="25">
        <v>5</v>
      </c>
      <c r="W6" s="25">
        <v>5</v>
      </c>
      <c r="X6" s="6" t="s">
        <v>1152</v>
      </c>
      <c r="Y6" s="6" t="s">
        <v>722</v>
      </c>
      <c r="Z6" s="6" t="s">
        <v>616</v>
      </c>
      <c r="AC6" s="21" t="s">
        <v>136</v>
      </c>
      <c r="AE6" s="6" t="str">
        <f t="shared" ref="AE6:BJ6" si="6">AE45</f>
        <v>ㆠ</v>
      </c>
      <c r="AF6" s="6" t="str">
        <f t="shared" si="6"/>
        <v>ㄅ</v>
      </c>
      <c r="AG6" s="6" t="str">
        <f t="shared" si="6"/>
        <v>ㄆ</v>
      </c>
      <c r="AH6" s="6" t="str">
        <f t="shared" si="6"/>
        <v>ㄇ</v>
      </c>
      <c r="AI6" s="6" t="str">
        <f t="shared" si="6"/>
        <v>ㄋ</v>
      </c>
      <c r="AJ6" s="6" t="str">
        <f t="shared" si="6"/>
        <v>ㄉ</v>
      </c>
      <c r="AK6" s="6" t="str">
        <f t="shared" si="6"/>
        <v>ㄊ</v>
      </c>
      <c r="AL6" s="6" t="str">
        <f t="shared" si="6"/>
        <v>ㄌ</v>
      </c>
      <c r="AM6" s="6" t="str">
        <f t="shared" si="6"/>
        <v>ㆣ</v>
      </c>
      <c r="AN6" s="6" t="str">
        <f t="shared" si="6"/>
        <v>ㄍ</v>
      </c>
      <c r="AO6" s="6" t="str">
        <f t="shared" si="6"/>
        <v>ㄎ</v>
      </c>
      <c r="AP6" s="6" t="str">
        <f t="shared" si="6"/>
        <v>ㄫ</v>
      </c>
      <c r="AQ6" s="6" t="str">
        <f t="shared" si="6"/>
        <v>ㄏ</v>
      </c>
      <c r="AR6" s="6" t="str">
        <f t="shared" si="6"/>
        <v>ㆡ</v>
      </c>
      <c r="AS6" s="6" t="str">
        <f t="shared" si="6"/>
        <v>ㄗ</v>
      </c>
      <c r="AT6" s="6" t="str">
        <f t="shared" si="6"/>
        <v>ㄘ</v>
      </c>
      <c r="AU6" s="6" t="str">
        <f t="shared" si="6"/>
        <v>ㄙ</v>
      </c>
      <c r="AV6" s="6" t="str">
        <f t="shared" si="6"/>
        <v>ㆢ</v>
      </c>
      <c r="AW6" s="6" t="str">
        <f t="shared" si="6"/>
        <v>ㄐ</v>
      </c>
      <c r="AX6" s="6" t="str">
        <f t="shared" si="6"/>
        <v>ㄑ</v>
      </c>
      <c r="AY6" s="6" t="str">
        <f t="shared" si="6"/>
        <v>ㄒ</v>
      </c>
      <c r="AZ6" s="6" t="str">
        <f t="shared" si="6"/>
        <v>ㄚ</v>
      </c>
      <c r="BA6" s="6" t="str">
        <f t="shared" si="6"/>
        <v>ㄧ</v>
      </c>
      <c r="BB6" s="6" t="str">
        <f t="shared" si="6"/>
        <v>ㆨ</v>
      </c>
      <c r="BC6" s="6" t="str">
        <f t="shared" si="6"/>
        <v>ㄨ</v>
      </c>
      <c r="BD6" s="6" t="str">
        <f t="shared" si="6"/>
        <v>ㆤ</v>
      </c>
      <c r="BE6" s="6" t="str">
        <f t="shared" si="6"/>
        <v>ㆦ</v>
      </c>
      <c r="BF6" s="6" t="str">
        <f t="shared" si="6"/>
        <v>ㄜ</v>
      </c>
      <c r="BG6" s="6" t="str">
        <f t="shared" si="6"/>
        <v>ㆬ</v>
      </c>
      <c r="BH6" s="6" t="str">
        <f t="shared" si="6"/>
        <v>ㄣ</v>
      </c>
      <c r="BI6" s="6" t="str">
        <f t="shared" si="6"/>
        <v>ㆭ</v>
      </c>
      <c r="BJ6" s="6" t="str">
        <f t="shared" si="6"/>
        <v>ㄞ</v>
      </c>
      <c r="BK6" s="6" t="str">
        <f t="shared" ref="BK6:CJ6" si="7">BK45</f>
        <v>ㄠ</v>
      </c>
      <c r="BL6" s="6" t="str">
        <f t="shared" si="7"/>
        <v>ㆰ</v>
      </c>
      <c r="BM6" s="6" t="str">
        <f t="shared" si="7"/>
        <v>ㄢ</v>
      </c>
      <c r="BN6" s="6" t="str">
        <f t="shared" si="7"/>
        <v>ㄤ</v>
      </c>
      <c r="BO6" s="6" t="str">
        <f t="shared" si="7"/>
        <v>ㆱ</v>
      </c>
      <c r="BP6" s="6" t="str">
        <f t="shared" si="7"/>
        <v>ㆲ</v>
      </c>
      <c r="BQ6" s="6" t="str">
        <f t="shared" si="7"/>
        <v>ㆩ</v>
      </c>
      <c r="BR6" s="6" t="str">
        <f t="shared" si="7"/>
        <v>ㆪ</v>
      </c>
      <c r="BS6" s="6" t="str">
        <f t="shared" si="7"/>
        <v>ㆫ</v>
      </c>
      <c r="BT6" s="6" t="str">
        <f t="shared" si="7"/>
        <v>ㆥ</v>
      </c>
      <c r="BU6" s="6" t="str">
        <f t="shared" si="7"/>
        <v>ㆧ</v>
      </c>
      <c r="BV6" s="6" t="str">
        <f t="shared" si="7"/>
        <v>ㆮ</v>
      </c>
      <c r="BW6" s="6" t="str">
        <f t="shared" si="7"/>
        <v>ㆯ</v>
      </c>
      <c r="BX6" s="6" t="str">
        <f t="shared" si="7"/>
        <v>ㆴ</v>
      </c>
      <c r="BY6" s="6" t="str">
        <f t="shared" si="7"/>
        <v>ㆵ</v>
      </c>
      <c r="BZ6" s="6" t="str">
        <f t="shared" si="7"/>
        <v>ㆻ</v>
      </c>
      <c r="CA6" s="6" t="str">
        <f t="shared" si="7"/>
        <v>ㆷ</v>
      </c>
      <c r="CB6" s="22" t="str">
        <f t="shared" si="7"/>
        <v>Ø</v>
      </c>
      <c r="CC6" s="22" t="str">
        <f t="shared" si="7"/>
        <v>ㄥ</v>
      </c>
      <c r="CD6" s="6" t="str">
        <f t="shared" si="7"/>
        <v>一</v>
      </c>
      <c r="CE6" s="6" t="str">
        <f t="shared" si="7"/>
        <v>七</v>
      </c>
      <c r="CF6" s="6" t="str">
        <f t="shared" si="7"/>
        <v>三</v>
      </c>
      <c r="CG6" s="6" t="str">
        <f t="shared" si="7"/>
        <v>二</v>
      </c>
      <c r="CH6" s="6" t="str">
        <f t="shared" si="7"/>
        <v>五</v>
      </c>
      <c r="CI6" s="6" t="str">
        <f t="shared" si="7"/>
        <v>四</v>
      </c>
      <c r="CJ6" s="6" t="str">
        <f t="shared" si="7"/>
        <v>八</v>
      </c>
      <c r="CK6" s="6" t="str">
        <f t="shared" ref="CK6:CL6" si="8">CK45</f>
        <v>輕</v>
      </c>
      <c r="CL6" s="6" t="str">
        <f t="shared" si="8"/>
        <v>ʔ</v>
      </c>
      <c r="CN6" s="5">
        <v>5</v>
      </c>
      <c r="CO6" s="5" t="s">
        <v>69</v>
      </c>
      <c r="CP6" s="5" t="s">
        <v>69</v>
      </c>
      <c r="CQ6" s="5" t="s">
        <v>79</v>
      </c>
      <c r="CR6" s="5" t="s">
        <v>137</v>
      </c>
      <c r="CT6" s="5">
        <v>5</v>
      </c>
      <c r="CU6" s="5" t="s">
        <v>85</v>
      </c>
      <c r="CV6" s="5" t="s">
        <v>85</v>
      </c>
      <c r="CW6" s="5" t="s">
        <v>118</v>
      </c>
      <c r="CX6" s="5" t="s">
        <v>154</v>
      </c>
      <c r="CZ6" s="5">
        <v>5</v>
      </c>
      <c r="DA6" s="6">
        <v>5</v>
      </c>
      <c r="DB6" s="6">
        <v>5</v>
      </c>
      <c r="DC6" s="6">
        <v>6</v>
      </c>
      <c r="DD6" s="6" t="s">
        <v>180</v>
      </c>
      <c r="DG6" s="198"/>
      <c r="DH6" s="198"/>
      <c r="DI6" s="199" t="s">
        <v>201</v>
      </c>
      <c r="DJ6" s="200"/>
      <c r="DK6" s="201"/>
      <c r="DL6" s="199" t="s">
        <v>98</v>
      </c>
      <c r="DM6" s="200"/>
      <c r="DN6" s="201"/>
      <c r="DO6" s="199" t="s">
        <v>111</v>
      </c>
      <c r="DP6" s="200"/>
      <c r="DQ6" s="201"/>
      <c r="DR6" s="199" t="s">
        <v>91</v>
      </c>
      <c r="DS6" s="200"/>
      <c r="DT6" s="201"/>
      <c r="DU6" s="199" t="s">
        <v>71</v>
      </c>
      <c r="DV6" s="200"/>
      <c r="DW6" s="201"/>
      <c r="DX6" s="199" t="s">
        <v>114</v>
      </c>
      <c r="DY6" s="200"/>
      <c r="DZ6" s="201"/>
      <c r="EA6" s="208" t="s">
        <v>95</v>
      </c>
      <c r="EB6" s="209"/>
      <c r="EC6" s="210"/>
      <c r="ED6" s="208" t="s">
        <v>94</v>
      </c>
      <c r="EE6" s="209"/>
      <c r="EF6" s="210"/>
      <c r="EG6" s="208" t="s">
        <v>86</v>
      </c>
      <c r="EH6" s="209"/>
      <c r="EI6" s="210"/>
      <c r="EJ6" s="208" t="s">
        <v>67</v>
      </c>
      <c r="EK6" s="209"/>
      <c r="EL6" s="210"/>
      <c r="EM6" s="202" t="s">
        <v>1270</v>
      </c>
      <c r="EN6" s="203"/>
      <c r="EO6" s="204"/>
      <c r="EP6" s="202" t="s">
        <v>1271</v>
      </c>
      <c r="EQ6" s="203"/>
      <c r="ER6" s="204"/>
      <c r="ES6" s="211" t="s">
        <v>1272</v>
      </c>
      <c r="ET6" s="212"/>
      <c r="EU6" s="213"/>
      <c r="EV6" s="198"/>
    </row>
    <row r="7" spans="2:152" ht="48.75" customHeight="1">
      <c r="B7" s="5">
        <v>6</v>
      </c>
      <c r="C7" s="6" t="s">
        <v>79</v>
      </c>
      <c r="D7" s="25" t="s">
        <v>69</v>
      </c>
      <c r="E7" s="25" t="s">
        <v>69</v>
      </c>
      <c r="F7" s="25" t="s">
        <v>69</v>
      </c>
      <c r="G7" s="25" t="str" cm="1">
        <f t="array" ref="G7" xml:space="preserve"> INDEX(聲母對照表[台語注音二式], MATCH(TRUE, EXACT(F7, 聲母對照表[台羅拼音]), 0))</f>
        <v>n</v>
      </c>
      <c r="H7" s="6" t="s">
        <v>137</v>
      </c>
      <c r="I7" s="6" t="s">
        <v>137</v>
      </c>
      <c r="K7" s="5">
        <v>6</v>
      </c>
      <c r="L7" s="6" t="s">
        <v>62</v>
      </c>
      <c r="M7" s="25" t="s">
        <v>86</v>
      </c>
      <c r="N7" s="25" t="s">
        <v>1186</v>
      </c>
      <c r="O7" s="25" t="s">
        <v>184</v>
      </c>
      <c r="P7" s="25" t="str" cm="1">
        <f t="array" ref="P7" xml:space="preserve"> INDEX(韻母對照表[台語注音二式], MATCH(TRUE, EXACT(O7, 韻母對照表[台羅拼音]), 0))</f>
        <v>oo</v>
      </c>
      <c r="Q7" s="6" t="s">
        <v>155</v>
      </c>
      <c r="R7" s="6" t="s">
        <v>503</v>
      </c>
      <c r="T7" s="5">
        <v>6</v>
      </c>
      <c r="U7" s="6" t="s">
        <v>132</v>
      </c>
      <c r="V7" s="25">
        <v>4</v>
      </c>
      <c r="W7" s="25">
        <v>4</v>
      </c>
      <c r="X7" s="6" t="s">
        <v>1153</v>
      </c>
      <c r="Y7" s="6"/>
      <c r="Z7" s="6" t="s">
        <v>629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N7" s="5">
        <v>6</v>
      </c>
      <c r="CO7" s="5" t="s">
        <v>70</v>
      </c>
      <c r="CP7" s="5" t="s">
        <v>70</v>
      </c>
      <c r="CQ7" s="5" t="s">
        <v>110</v>
      </c>
      <c r="CR7" s="5" t="s">
        <v>138</v>
      </c>
      <c r="CT7" s="5">
        <v>6</v>
      </c>
      <c r="CU7" s="5" t="s">
        <v>184</v>
      </c>
      <c r="CV7" s="5" t="s">
        <v>86</v>
      </c>
      <c r="CW7" s="5" t="s">
        <v>62</v>
      </c>
      <c r="CX7" s="5" t="s">
        <v>155</v>
      </c>
      <c r="CZ7" s="5">
        <v>6</v>
      </c>
      <c r="DA7" s="6">
        <v>8</v>
      </c>
      <c r="DB7" s="6">
        <v>8</v>
      </c>
      <c r="DC7" s="6" t="s">
        <v>131</v>
      </c>
      <c r="DD7" s="6" t="s">
        <v>181</v>
      </c>
      <c r="DG7" s="198"/>
      <c r="DH7" s="198"/>
      <c r="DI7" s="219"/>
      <c r="DJ7" s="217"/>
      <c r="DK7" s="220"/>
      <c r="DL7" s="219"/>
      <c r="DM7" s="217"/>
      <c r="DN7" s="220"/>
      <c r="DO7" s="216" t="s">
        <v>141</v>
      </c>
      <c r="DP7" s="217"/>
      <c r="DQ7" s="220" t="s">
        <v>293</v>
      </c>
      <c r="DR7" s="282" t="s">
        <v>150</v>
      </c>
      <c r="DS7" s="217"/>
      <c r="DT7" s="283" t="s">
        <v>746</v>
      </c>
      <c r="DU7" s="282"/>
      <c r="DV7" s="284"/>
      <c r="DW7" s="283"/>
      <c r="DX7" s="282" t="s">
        <v>145</v>
      </c>
      <c r="DY7" s="217"/>
      <c r="DZ7" s="283" t="s">
        <v>305</v>
      </c>
      <c r="EA7" s="227" t="s">
        <v>172</v>
      </c>
      <c r="EB7" s="228"/>
      <c r="EC7" s="229" t="s">
        <v>454</v>
      </c>
      <c r="ED7" s="227" t="s">
        <v>175</v>
      </c>
      <c r="EE7" s="285"/>
      <c r="EF7" s="286" t="s">
        <v>495</v>
      </c>
      <c r="EG7" s="227" t="s">
        <v>169</v>
      </c>
      <c r="EH7" s="228"/>
      <c r="EI7" s="229" t="s">
        <v>218</v>
      </c>
      <c r="EJ7" s="231"/>
      <c r="EK7" s="228"/>
      <c r="EL7" s="232"/>
      <c r="EM7" s="221"/>
      <c r="EN7" s="222"/>
      <c r="EO7" s="223"/>
      <c r="EP7" s="221"/>
      <c r="EQ7" s="222"/>
      <c r="ER7" s="223"/>
      <c r="ES7" s="227"/>
      <c r="ET7" s="285"/>
      <c r="EU7" s="287"/>
      <c r="EV7" s="198"/>
    </row>
    <row r="8" spans="2:152" ht="48.75" customHeight="1" thickBot="1">
      <c r="B8" s="5">
        <v>7</v>
      </c>
      <c r="C8" s="6" t="s">
        <v>110</v>
      </c>
      <c r="D8" s="25" t="s">
        <v>70</v>
      </c>
      <c r="E8" s="25" t="s">
        <v>70</v>
      </c>
      <c r="F8" s="25" t="s">
        <v>70</v>
      </c>
      <c r="G8" s="25" t="str" cm="1">
        <f t="array" ref="G8" xml:space="preserve"> INDEX(聲母對照表[台語注音二式], MATCH(TRUE, EXACT(F8, 聲母對照表[台羅拼音]), 0))</f>
        <v>d</v>
      </c>
      <c r="H8" s="6" t="s">
        <v>138</v>
      </c>
      <c r="I8" s="6" t="s">
        <v>138</v>
      </c>
      <c r="K8" s="5">
        <v>7</v>
      </c>
      <c r="L8" s="6" t="s">
        <v>119</v>
      </c>
      <c r="M8" s="25" t="s">
        <v>87</v>
      </c>
      <c r="N8" s="25" t="s">
        <v>87</v>
      </c>
      <c r="O8" s="25" t="s">
        <v>125</v>
      </c>
      <c r="P8" s="25" t="str" cm="1">
        <f t="array" ref="P8" xml:space="preserve"> INDEX(韻母對照表[台語注音二式], MATCH(TRUE, EXACT(O8, 韻母對照表[台羅拼音]), 0))</f>
        <v>or</v>
      </c>
      <c r="Q8" s="6" t="s">
        <v>156</v>
      </c>
      <c r="R8" s="6" t="s">
        <v>156</v>
      </c>
      <c r="T8" s="5">
        <v>7</v>
      </c>
      <c r="U8" s="6" t="s">
        <v>131</v>
      </c>
      <c r="V8" s="25">
        <v>8</v>
      </c>
      <c r="W8" s="25">
        <v>8</v>
      </c>
      <c r="X8" s="6" t="s">
        <v>181</v>
      </c>
      <c r="Y8" s="6" t="s">
        <v>726</v>
      </c>
      <c r="Z8" s="6" t="s">
        <v>635</v>
      </c>
      <c r="AC8" s="1" t="s">
        <v>185</v>
      </c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N8" s="5">
        <v>7</v>
      </c>
      <c r="CO8" s="5" t="s">
        <v>186</v>
      </c>
      <c r="CP8" s="5" t="s">
        <v>71</v>
      </c>
      <c r="CQ8" s="5" t="s">
        <v>84</v>
      </c>
      <c r="CR8" s="5" t="s">
        <v>139</v>
      </c>
      <c r="CT8" s="5">
        <v>7</v>
      </c>
      <c r="CU8" s="5" t="s">
        <v>125</v>
      </c>
      <c r="CV8" s="5" t="s">
        <v>87</v>
      </c>
      <c r="CW8" s="5" t="s">
        <v>119</v>
      </c>
      <c r="CX8" s="5" t="s">
        <v>156</v>
      </c>
      <c r="CZ8" s="5">
        <v>7</v>
      </c>
      <c r="DA8" s="6">
        <v>4</v>
      </c>
      <c r="DB8" s="6">
        <v>4</v>
      </c>
      <c r="DC8" s="6" t="s">
        <v>132</v>
      </c>
      <c r="DD8" s="6" t="s">
        <v>182</v>
      </c>
      <c r="DG8" s="240"/>
      <c r="DH8" s="240"/>
      <c r="DI8" s="241" t="s">
        <v>105</v>
      </c>
      <c r="DJ8" s="242"/>
      <c r="DK8" s="244" t="s">
        <v>103</v>
      </c>
      <c r="DL8" s="241" t="s">
        <v>139</v>
      </c>
      <c r="DM8" s="242"/>
      <c r="DN8" s="244" t="s">
        <v>21</v>
      </c>
      <c r="DO8" s="241" t="s">
        <v>142</v>
      </c>
      <c r="DP8" s="242">
        <v>0</v>
      </c>
      <c r="DQ8" s="288" t="s">
        <v>73</v>
      </c>
      <c r="DR8" s="289" t="s">
        <v>151</v>
      </c>
      <c r="DS8" s="242"/>
      <c r="DT8" s="290" t="s">
        <v>746</v>
      </c>
      <c r="DU8" s="241" t="s">
        <v>161</v>
      </c>
      <c r="DV8" s="242"/>
      <c r="DW8" s="288" t="s">
        <v>1274</v>
      </c>
      <c r="DX8" s="289" t="s">
        <v>146</v>
      </c>
      <c r="DY8" s="242"/>
      <c r="DZ8" s="291" t="s">
        <v>121</v>
      </c>
      <c r="EA8" s="253" t="s">
        <v>64</v>
      </c>
      <c r="EB8" s="251"/>
      <c r="EC8" s="255" t="s">
        <v>62</v>
      </c>
      <c r="ED8" s="253" t="s">
        <v>155</v>
      </c>
      <c r="EE8" s="251"/>
      <c r="EF8" s="255" t="s">
        <v>184</v>
      </c>
      <c r="EG8" s="253" t="s">
        <v>170</v>
      </c>
      <c r="EH8" s="251"/>
      <c r="EI8" s="255" t="s">
        <v>220</v>
      </c>
      <c r="EJ8" s="253" t="s">
        <v>158</v>
      </c>
      <c r="EK8" s="254"/>
      <c r="EL8" s="292" t="s">
        <v>45</v>
      </c>
      <c r="EM8" s="248"/>
      <c r="EN8" s="249"/>
      <c r="EO8" s="293" t="s">
        <v>1275</v>
      </c>
      <c r="EP8" s="248" t="s">
        <v>1276</v>
      </c>
      <c r="EQ8" s="249"/>
      <c r="ER8" s="293" t="s">
        <v>1277</v>
      </c>
      <c r="ES8" s="253"/>
      <c r="ET8" s="254"/>
      <c r="EU8" s="255"/>
      <c r="EV8" s="240"/>
    </row>
    <row r="9" spans="2:152" ht="48.75" customHeight="1">
      <c r="B9" s="5">
        <v>8</v>
      </c>
      <c r="C9" s="6" t="s">
        <v>84</v>
      </c>
      <c r="D9" s="25" t="s">
        <v>71</v>
      </c>
      <c r="E9" s="25" t="s">
        <v>282</v>
      </c>
      <c r="F9" s="25" t="s">
        <v>186</v>
      </c>
      <c r="G9" s="25" t="str" cm="1">
        <f t="array" ref="G9" xml:space="preserve"> INDEX(聲母對照表[台語注音二式], MATCH(TRUE, EXACT(F9, 聲母對照表[台羅拼音]), 0))</f>
        <v>t</v>
      </c>
      <c r="H9" s="6" t="s">
        <v>139</v>
      </c>
      <c r="I9" s="6" t="s">
        <v>139</v>
      </c>
      <c r="K9" s="5">
        <v>8</v>
      </c>
      <c r="L9" s="6" t="s">
        <v>68</v>
      </c>
      <c r="M9" s="25" t="s">
        <v>88</v>
      </c>
      <c r="N9" s="25" t="s">
        <v>1187</v>
      </c>
      <c r="O9" s="25" t="s">
        <v>19</v>
      </c>
      <c r="P9" s="25" t="str" cm="1">
        <f t="array" ref="P9" xml:space="preserve"> INDEX(韻母對照表[台語注音二式], MATCH(TRUE, EXACT(O9, 韻母對照表[台羅拼音]), 0))</f>
        <v>m</v>
      </c>
      <c r="Q9" s="6" t="s">
        <v>157</v>
      </c>
      <c r="R9" s="6" t="s">
        <v>133</v>
      </c>
      <c r="T9" s="5">
        <v>8</v>
      </c>
      <c r="U9" s="6" t="s">
        <v>1206</v>
      </c>
      <c r="V9" s="25">
        <v>0</v>
      </c>
      <c r="W9" s="25">
        <v>0</v>
      </c>
      <c r="X9" s="6" t="s">
        <v>1241</v>
      </c>
      <c r="Y9" s="6" t="s">
        <v>726</v>
      </c>
      <c r="Z9" s="6" t="s">
        <v>1207</v>
      </c>
      <c r="AC9" s="1" t="s">
        <v>187</v>
      </c>
      <c r="AD9" s="137"/>
      <c r="AE9" s="151" t="str">
        <f xml:space="preserve"> _xlfn.CONCAT("  alphabet: ","""", AE5:CC5, CD5:CL5, """")</f>
        <v xml:space="preserve">  alphabet: "!1qas2wxEedNcYyhnRrfv8uKj,ikmp/9lM0;Oo*UJ&lt;I(Lbtgz=-"5346[].7"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N9" s="5">
        <v>8</v>
      </c>
      <c r="CO9" s="5" t="s">
        <v>72</v>
      </c>
      <c r="CP9" s="5" t="s">
        <v>72</v>
      </c>
      <c r="CQ9" s="5" t="s">
        <v>101</v>
      </c>
      <c r="CR9" s="5" t="s">
        <v>140</v>
      </c>
      <c r="CT9" s="5">
        <v>8</v>
      </c>
      <c r="CU9" s="5" t="s">
        <v>188</v>
      </c>
      <c r="CV9" s="5" t="s">
        <v>88</v>
      </c>
      <c r="CW9" s="5" t="s">
        <v>68</v>
      </c>
      <c r="CX9" s="5" t="s">
        <v>157</v>
      </c>
      <c r="CZ9" s="5">
        <v>8</v>
      </c>
      <c r="DA9" s="6">
        <v>0</v>
      </c>
      <c r="DB9" s="6">
        <v>0</v>
      </c>
      <c r="DC9" s="6">
        <v>7</v>
      </c>
      <c r="DD9" s="6" t="s">
        <v>183</v>
      </c>
      <c r="DG9" s="198"/>
      <c r="DH9" s="198"/>
      <c r="DI9" s="294"/>
      <c r="DJ9" s="199" t="s">
        <v>97</v>
      </c>
      <c r="DK9" s="200"/>
      <c r="DL9" s="201"/>
      <c r="DM9" s="199" t="s">
        <v>83</v>
      </c>
      <c r="DN9" s="200"/>
      <c r="DO9" s="201"/>
      <c r="DP9" s="199" t="s">
        <v>749</v>
      </c>
      <c r="DQ9" s="200"/>
      <c r="DR9" s="201"/>
      <c r="DS9" s="199" t="s">
        <v>92</v>
      </c>
      <c r="DT9" s="200"/>
      <c r="DU9" s="201"/>
      <c r="DV9" s="199" t="s">
        <v>90</v>
      </c>
      <c r="DW9" s="200"/>
      <c r="DX9" s="201"/>
      <c r="DY9" s="199" t="s">
        <v>221</v>
      </c>
      <c r="DZ9" s="200"/>
      <c r="EA9" s="201"/>
      <c r="EB9" s="208" t="s">
        <v>81</v>
      </c>
      <c r="EC9" s="209"/>
      <c r="ED9" s="210"/>
      <c r="EE9" s="208" t="s">
        <v>74</v>
      </c>
      <c r="EF9" s="209"/>
      <c r="EG9" s="210"/>
      <c r="EH9" s="208" t="s">
        <v>102</v>
      </c>
      <c r="EI9" s="209"/>
      <c r="EJ9" s="210"/>
      <c r="EK9" s="208" t="s">
        <v>1278</v>
      </c>
      <c r="EL9" s="209"/>
      <c r="EM9" s="210"/>
      <c r="EN9" s="202" t="s">
        <v>1279</v>
      </c>
      <c r="EO9" s="203"/>
      <c r="EP9" s="204"/>
      <c r="EQ9" s="198"/>
      <c r="ER9" s="198"/>
      <c r="ES9" s="198"/>
      <c r="ET9" s="198"/>
      <c r="EU9" s="198"/>
      <c r="EV9" s="198"/>
    </row>
    <row r="10" spans="2:152" ht="48.75" customHeight="1">
      <c r="B10" s="5">
        <v>9</v>
      </c>
      <c r="C10" s="6" t="s">
        <v>101</v>
      </c>
      <c r="D10" s="25" t="s">
        <v>72</v>
      </c>
      <c r="E10" s="25" t="s">
        <v>72</v>
      </c>
      <c r="F10" s="25" t="s">
        <v>72</v>
      </c>
      <c r="G10" s="25" t="str" cm="1">
        <f t="array" ref="G10" xml:space="preserve"> INDEX(聲母對照表[台語注音二式], MATCH(TRUE, EXACT(F10, 聲母對照表[台羅拼音]), 0))</f>
        <v>l</v>
      </c>
      <c r="H10" s="6" t="s">
        <v>140</v>
      </c>
      <c r="I10" s="6" t="s">
        <v>140</v>
      </c>
      <c r="K10" s="5">
        <v>9</v>
      </c>
      <c r="L10" s="6" t="s">
        <v>59</v>
      </c>
      <c r="M10" s="25" t="s">
        <v>89</v>
      </c>
      <c r="N10" s="25" t="s">
        <v>69</v>
      </c>
      <c r="O10" s="25" t="s">
        <v>20</v>
      </c>
      <c r="P10" s="25" t="s">
        <v>20</v>
      </c>
      <c r="Q10" s="6" t="s">
        <v>158</v>
      </c>
      <c r="R10" s="6" t="s">
        <v>158</v>
      </c>
      <c r="T10" s="5">
        <v>9</v>
      </c>
      <c r="U10" s="155">
        <v>7</v>
      </c>
      <c r="V10" s="166">
        <v>6</v>
      </c>
      <c r="W10" s="183"/>
      <c r="X10" s="156" t="s">
        <v>1178</v>
      </c>
      <c r="Y10" s="156"/>
      <c r="Z10" s="156"/>
      <c r="AC10" s="1" t="s">
        <v>189</v>
      </c>
      <c r="AD10" s="137"/>
      <c r="AE10" s="137" t="str">
        <f xml:space="preserve"> _xlfn.CONCAT("  initials: ","""", AE5:CC5, """")</f>
        <v xml:space="preserve">  initials: "!1qas2wxEedNcYyhnRrfv8uKj,ikmp/9lM0;Oo*UJ&lt;I(Lbtgz=-"</v>
      </c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N10" s="5">
        <v>9</v>
      </c>
      <c r="CO10" s="5" t="s">
        <v>141</v>
      </c>
      <c r="CP10" s="5" t="s">
        <v>73</v>
      </c>
      <c r="CQ10" s="5" t="s">
        <v>111</v>
      </c>
      <c r="CR10" s="5" t="s">
        <v>141</v>
      </c>
      <c r="CT10" s="5">
        <v>9</v>
      </c>
      <c r="CU10" s="5" t="s">
        <v>190</v>
      </c>
      <c r="CV10" s="5" t="s">
        <v>89</v>
      </c>
      <c r="CW10" s="5" t="s">
        <v>59</v>
      </c>
      <c r="CX10" s="5" t="s">
        <v>158</v>
      </c>
      <c r="CZ10" s="5">
        <v>9</v>
      </c>
      <c r="DA10" s="6" t="s">
        <v>102</v>
      </c>
      <c r="DB10" s="6" t="s">
        <v>102</v>
      </c>
      <c r="DC10" s="6" t="s">
        <v>89</v>
      </c>
      <c r="DD10" s="6" t="s">
        <v>178</v>
      </c>
      <c r="DG10" s="198"/>
      <c r="DH10" s="198"/>
      <c r="DI10" s="294"/>
      <c r="DJ10" s="216"/>
      <c r="DK10" s="217"/>
      <c r="DL10" s="295"/>
      <c r="DM10" s="219"/>
      <c r="DN10" s="217"/>
      <c r="DO10" s="220"/>
      <c r="DP10" s="219"/>
      <c r="DQ10" s="217"/>
      <c r="DR10" s="220"/>
      <c r="DS10" s="219"/>
      <c r="DT10" s="217"/>
      <c r="DU10" s="220"/>
      <c r="DV10" s="219"/>
      <c r="DW10" s="217"/>
      <c r="DX10" s="220"/>
      <c r="DY10" s="282"/>
      <c r="DZ10" s="217"/>
      <c r="EA10" s="283"/>
      <c r="EB10" s="227" t="s">
        <v>173</v>
      </c>
      <c r="EC10" s="230">
        <v>0</v>
      </c>
      <c r="ED10" s="229" t="s">
        <v>1280</v>
      </c>
      <c r="EE10" s="231" t="s">
        <v>107</v>
      </c>
      <c r="EF10" s="228"/>
      <c r="EG10" s="232" t="s">
        <v>106</v>
      </c>
      <c r="EH10" s="227" t="s">
        <v>177</v>
      </c>
      <c r="EI10" s="228"/>
      <c r="EJ10" s="229" t="s">
        <v>1281</v>
      </c>
      <c r="EK10" s="227"/>
      <c r="EL10" s="228"/>
      <c r="EM10" s="229"/>
      <c r="EN10" s="221"/>
      <c r="EO10" s="222"/>
      <c r="EP10" s="223"/>
      <c r="EQ10" s="198"/>
      <c r="ER10" s="198"/>
      <c r="ES10" s="198"/>
      <c r="ET10" s="198"/>
      <c r="EU10" s="198"/>
      <c r="EV10" s="198"/>
    </row>
    <row r="11" spans="2:152" ht="48.75" customHeight="1" thickBot="1">
      <c r="B11" s="5">
        <v>10</v>
      </c>
      <c r="C11" s="6" t="s">
        <v>111</v>
      </c>
      <c r="D11" s="25" t="s">
        <v>73</v>
      </c>
      <c r="E11" s="25" t="s">
        <v>292</v>
      </c>
      <c r="F11" s="25" t="s">
        <v>73</v>
      </c>
      <c r="G11" s="25" t="str" cm="1">
        <f t="array" ref="G11" xml:space="preserve"> INDEX(聲母對照表[台語注音二式], MATCH(TRUE, EXACT(F11, 聲母對照表[台羅拼音]), 0))</f>
        <v>gg</v>
      </c>
      <c r="H11" s="6" t="s">
        <v>141</v>
      </c>
      <c r="I11" s="6" t="s">
        <v>144</v>
      </c>
      <c r="K11" s="5">
        <v>10</v>
      </c>
      <c r="L11" s="6" t="s">
        <v>120</v>
      </c>
      <c r="M11" s="25" t="s">
        <v>90</v>
      </c>
      <c r="N11" s="25" t="s">
        <v>1188</v>
      </c>
      <c r="O11" s="25" t="s">
        <v>27</v>
      </c>
      <c r="P11" s="25" t="str" cm="1">
        <f t="array" ref="P11" xml:space="preserve"> INDEX(韻母對照表[台語注音二式], MATCH(TRUE, EXACT(O11, 韻母對照表[台羅拼音]), 0))</f>
        <v>ng</v>
      </c>
      <c r="Q11" s="6" t="s">
        <v>159</v>
      </c>
      <c r="R11" s="6" t="s">
        <v>178</v>
      </c>
      <c r="AC11" s="1" t="s">
        <v>191</v>
      </c>
      <c r="AD11" s="137"/>
      <c r="AE11" s="137" t="str">
        <f xml:space="preserve"> _xlfn.CONCAT("  finals: ","""", CD5:CL5, """")</f>
        <v xml:space="preserve">  finals: ""5346[].7"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N11" s="5">
        <v>10</v>
      </c>
      <c r="CO11" s="5" t="s">
        <v>119</v>
      </c>
      <c r="CP11" s="5" t="s">
        <v>119</v>
      </c>
      <c r="CQ11" s="5" t="s">
        <v>85</v>
      </c>
      <c r="CR11" s="5" t="s">
        <v>142</v>
      </c>
      <c r="CT11" s="5">
        <v>10</v>
      </c>
      <c r="CU11" s="5" t="s">
        <v>192</v>
      </c>
      <c r="CV11" s="5" t="s">
        <v>90</v>
      </c>
      <c r="CW11" s="5" t="s">
        <v>120</v>
      </c>
      <c r="CX11" s="5" t="s">
        <v>159</v>
      </c>
      <c r="DG11" s="240"/>
      <c r="DH11" s="240"/>
      <c r="DI11" s="240"/>
      <c r="DJ11" s="241" t="s">
        <v>133</v>
      </c>
      <c r="DK11" s="242"/>
      <c r="DL11" s="244" t="s">
        <v>1282</v>
      </c>
      <c r="DM11" s="241" t="s">
        <v>137</v>
      </c>
      <c r="DN11" s="242"/>
      <c r="DO11" s="244" t="s">
        <v>1283</v>
      </c>
      <c r="DP11" s="241" t="s">
        <v>143</v>
      </c>
      <c r="DQ11" s="242">
        <v>0</v>
      </c>
      <c r="DR11" s="291" t="s">
        <v>119</v>
      </c>
      <c r="DS11" s="241" t="s">
        <v>152</v>
      </c>
      <c r="DT11" s="242"/>
      <c r="DU11" s="291" t="s">
        <v>747</v>
      </c>
      <c r="DV11" s="289" t="s">
        <v>162</v>
      </c>
      <c r="DW11" s="242"/>
      <c r="DX11" s="291" t="s">
        <v>1284</v>
      </c>
      <c r="DY11" s="289" t="s">
        <v>147</v>
      </c>
      <c r="DZ11" s="242"/>
      <c r="EA11" s="291" t="s">
        <v>78</v>
      </c>
      <c r="EB11" s="253" t="s">
        <v>134</v>
      </c>
      <c r="EC11" s="251"/>
      <c r="ED11" s="255" t="s">
        <v>63</v>
      </c>
      <c r="EE11" s="253" t="s">
        <v>156</v>
      </c>
      <c r="EF11" s="251"/>
      <c r="EG11" s="255" t="s">
        <v>485</v>
      </c>
      <c r="EH11" s="253" t="s">
        <v>165</v>
      </c>
      <c r="EI11" s="251"/>
      <c r="EJ11" s="255" t="s">
        <v>208</v>
      </c>
      <c r="EK11" s="253" t="s">
        <v>168</v>
      </c>
      <c r="EL11" s="254"/>
      <c r="EM11" s="255" t="s">
        <v>215</v>
      </c>
      <c r="EN11" s="248"/>
      <c r="EO11" s="249"/>
      <c r="EP11" s="293" t="s">
        <v>1285</v>
      </c>
      <c r="EQ11" s="240"/>
      <c r="ER11" s="240"/>
      <c r="ES11" s="240"/>
      <c r="ET11" s="240"/>
      <c r="EU11" s="240"/>
      <c r="EV11" s="240"/>
    </row>
    <row r="12" spans="2:152" ht="48.75" customHeight="1" outlineLevel="1">
      <c r="B12" s="5">
        <v>11</v>
      </c>
      <c r="C12" s="6" t="s">
        <v>85</v>
      </c>
      <c r="D12" s="26" t="s">
        <v>119</v>
      </c>
      <c r="E12" s="25" t="s">
        <v>119</v>
      </c>
      <c r="F12" s="25" t="s">
        <v>119</v>
      </c>
      <c r="G12" s="25" t="str" cm="1">
        <f t="array" ref="G12" xml:space="preserve"> INDEX(聲母對照表[台語注音二式], MATCH(TRUE, EXACT(F12, 聲母對照表[台羅拼音]), 0))</f>
        <v>g</v>
      </c>
      <c r="H12" s="6" t="s">
        <v>142</v>
      </c>
      <c r="I12" s="6" t="s">
        <v>142</v>
      </c>
      <c r="K12" s="5">
        <v>11</v>
      </c>
      <c r="L12" s="6" t="s">
        <v>122</v>
      </c>
      <c r="M12" s="25" t="s">
        <v>94</v>
      </c>
      <c r="N12" s="25" t="s">
        <v>1189</v>
      </c>
      <c r="O12" s="25" t="s">
        <v>206</v>
      </c>
      <c r="P12" s="25" t="str" cm="1">
        <f t="array" ref="P12" xml:space="preserve"> INDEX(韻母對照表[台語注音二式], MATCH(TRUE, EXACT(O12, 韻母對照表[台羅拼音]), 0))</f>
        <v>ai</v>
      </c>
      <c r="Q12" s="6" t="s">
        <v>164</v>
      </c>
      <c r="R12" s="6" t="s">
        <v>164</v>
      </c>
      <c r="AD12" s="137"/>
      <c r="AE12" s="137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N12" s="5">
        <v>11</v>
      </c>
      <c r="CO12" s="5" t="s">
        <v>195</v>
      </c>
      <c r="CP12" s="5" t="s">
        <v>74</v>
      </c>
      <c r="CQ12" s="5" t="s">
        <v>112</v>
      </c>
      <c r="CR12" s="5" t="s">
        <v>143</v>
      </c>
      <c r="CT12" s="5">
        <v>11</v>
      </c>
      <c r="CU12" s="5" t="s">
        <v>196</v>
      </c>
      <c r="CV12" s="5" t="s">
        <v>91</v>
      </c>
      <c r="CW12" s="5" t="s">
        <v>7</v>
      </c>
      <c r="CX12" s="5" t="s">
        <v>160</v>
      </c>
      <c r="DG12" s="198"/>
      <c r="DH12" s="198"/>
      <c r="DI12" s="198"/>
      <c r="DJ12" s="198"/>
      <c r="DK12" s="199" t="s">
        <v>214</v>
      </c>
      <c r="DL12" s="200"/>
      <c r="DM12" s="201"/>
      <c r="DN12" s="199" t="s">
        <v>1286</v>
      </c>
      <c r="DO12" s="200"/>
      <c r="DP12" s="201"/>
      <c r="DQ12" s="199" t="s">
        <v>82</v>
      </c>
      <c r="DR12" s="200"/>
      <c r="DS12" s="201"/>
      <c r="DT12" s="199" t="s">
        <v>93</v>
      </c>
      <c r="DU12" s="200"/>
      <c r="DV12" s="201"/>
      <c r="DW12" s="199" t="s">
        <v>738</v>
      </c>
      <c r="DX12" s="200"/>
      <c r="DY12" s="201"/>
      <c r="DZ12" s="199" t="s">
        <v>89</v>
      </c>
      <c r="EA12" s="200"/>
      <c r="EB12" s="201"/>
      <c r="EC12" s="208" t="s">
        <v>88</v>
      </c>
      <c r="ED12" s="209"/>
      <c r="EE12" s="210"/>
      <c r="EF12" s="208" t="s">
        <v>1287</v>
      </c>
      <c r="EG12" s="209"/>
      <c r="EH12" s="210"/>
      <c r="EI12" s="208" t="s">
        <v>1288</v>
      </c>
      <c r="EJ12" s="209"/>
      <c r="EK12" s="210"/>
      <c r="EL12" s="211" t="s">
        <v>1289</v>
      </c>
      <c r="EM12" s="212"/>
      <c r="EN12" s="213"/>
      <c r="EO12" s="198"/>
      <c r="EP12" s="198"/>
      <c r="EQ12" s="198"/>
      <c r="ER12" s="198"/>
      <c r="ES12" s="198"/>
      <c r="ET12" s="198"/>
      <c r="EU12" s="198"/>
      <c r="EV12" s="198"/>
    </row>
    <row r="13" spans="2:152" ht="48.75" customHeight="1" outlineLevel="1">
      <c r="B13" s="5">
        <v>12</v>
      </c>
      <c r="C13" s="6" t="s">
        <v>112</v>
      </c>
      <c r="D13" s="25" t="s">
        <v>74</v>
      </c>
      <c r="E13" s="25" t="s">
        <v>300</v>
      </c>
      <c r="F13" s="25" t="s">
        <v>195</v>
      </c>
      <c r="G13" s="25" t="str" cm="1">
        <f t="array" ref="G13" xml:space="preserve"> INDEX(聲母對照表[台語注音二式], MATCH(TRUE, EXACT(F13, 聲母對照表[台羅拼音]), 0))</f>
        <v>k</v>
      </c>
      <c r="H13" s="6" t="s">
        <v>143</v>
      </c>
      <c r="I13" s="6" t="s">
        <v>143</v>
      </c>
      <c r="K13" s="5">
        <v>12</v>
      </c>
      <c r="L13" s="6" t="s">
        <v>72</v>
      </c>
      <c r="M13" s="25" t="s">
        <v>95</v>
      </c>
      <c r="N13" s="25" t="s">
        <v>1190</v>
      </c>
      <c r="O13" s="25" t="s">
        <v>208</v>
      </c>
      <c r="P13" s="25" t="str" cm="1">
        <f t="array" ref="P13" xml:space="preserve"> INDEX(韻母對照表[台語注音二式], MATCH(TRUE, EXACT(O13, 韻母對照表[台羅拼音]), 0))</f>
        <v>au</v>
      </c>
      <c r="Q13" s="6" t="s">
        <v>165</v>
      </c>
      <c r="R13" s="6" t="s">
        <v>165</v>
      </c>
      <c r="T13" s="24" t="s">
        <v>1</v>
      </c>
      <c r="U13" s="24" t="s">
        <v>230</v>
      </c>
      <c r="V13" s="24" t="s">
        <v>4</v>
      </c>
      <c r="W13" s="24" t="s">
        <v>3</v>
      </c>
      <c r="X13" s="24" t="s">
        <v>6</v>
      </c>
      <c r="Y13" s="24" t="s">
        <v>569</v>
      </c>
      <c r="AC13" s="1" t="s">
        <v>197</v>
      </c>
      <c r="AD13" s="137"/>
      <c r="AE13" s="137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N13" s="5">
        <v>12</v>
      </c>
      <c r="CO13" s="5" t="s">
        <v>198</v>
      </c>
      <c r="CP13" s="5" t="s">
        <v>75</v>
      </c>
      <c r="CQ13" s="5" t="s">
        <v>90</v>
      </c>
      <c r="CR13" s="5" t="s">
        <v>144</v>
      </c>
      <c r="CT13" s="5">
        <v>12</v>
      </c>
      <c r="CU13" s="5" t="s">
        <v>199</v>
      </c>
      <c r="CV13" s="5" t="s">
        <v>92</v>
      </c>
      <c r="CW13" s="5" t="s">
        <v>70</v>
      </c>
      <c r="CX13" s="5" t="s">
        <v>161</v>
      </c>
      <c r="DG13" s="198"/>
      <c r="DH13" s="198"/>
      <c r="DI13" s="198"/>
      <c r="DJ13" s="198"/>
      <c r="DK13" s="219"/>
      <c r="DL13" s="217"/>
      <c r="DM13" s="220"/>
      <c r="DN13" s="219"/>
      <c r="DO13" s="217"/>
      <c r="DP13" s="220"/>
      <c r="DQ13" s="219"/>
      <c r="DR13" s="217"/>
      <c r="DS13" s="220"/>
      <c r="DT13" s="219"/>
      <c r="DU13" s="217"/>
      <c r="DV13" s="220"/>
      <c r="DW13" s="282"/>
      <c r="DX13" s="217"/>
      <c r="DY13" s="283"/>
      <c r="DZ13" s="216" t="s">
        <v>144</v>
      </c>
      <c r="EA13" s="217"/>
      <c r="EB13" s="220" t="s">
        <v>1290</v>
      </c>
      <c r="EC13" s="227" t="s">
        <v>166</v>
      </c>
      <c r="ED13" s="228"/>
      <c r="EE13" s="229" t="s">
        <v>210</v>
      </c>
      <c r="EF13" s="227" t="s">
        <v>174</v>
      </c>
      <c r="EG13" s="230">
        <v>0</v>
      </c>
      <c r="EH13" s="229" t="s">
        <v>418</v>
      </c>
      <c r="EI13" s="296"/>
      <c r="EJ13" s="297"/>
      <c r="EK13" s="298"/>
      <c r="EL13" s="299"/>
      <c r="EM13" s="228"/>
      <c r="EN13" s="229"/>
      <c r="EO13" s="198"/>
      <c r="EP13" s="198"/>
      <c r="EQ13" s="198"/>
      <c r="ER13" s="198"/>
      <c r="ES13" s="198"/>
      <c r="ET13" s="198"/>
      <c r="EU13" s="198"/>
      <c r="EV13" s="198"/>
    </row>
    <row r="14" spans="2:152" ht="48.75" customHeight="1" outlineLevel="1" thickBot="1">
      <c r="B14" s="5">
        <v>13</v>
      </c>
      <c r="C14" s="6" t="s">
        <v>89</v>
      </c>
      <c r="D14" s="25" t="s">
        <v>75</v>
      </c>
      <c r="E14" s="25" t="s">
        <v>75</v>
      </c>
      <c r="F14" s="25" t="s">
        <v>198</v>
      </c>
      <c r="G14" s="25" t="str" cm="1">
        <f t="array" ref="G14" xml:space="preserve"> INDEX(聲母對照表[台語注音二式], MATCH(TRUE, EXACT(F14, 聲母對照表[台羅拼音]), 0))</f>
        <v>ng</v>
      </c>
      <c r="H14" s="6" t="s">
        <v>144</v>
      </c>
      <c r="I14" s="6" t="s">
        <v>287</v>
      </c>
      <c r="K14" s="5">
        <v>13</v>
      </c>
      <c r="L14" s="6" t="s">
        <v>88</v>
      </c>
      <c r="M14" s="25" t="s">
        <v>114</v>
      </c>
      <c r="N14" s="25" t="s">
        <v>210</v>
      </c>
      <c r="O14" s="25" t="s">
        <v>210</v>
      </c>
      <c r="P14" s="25" t="str" cm="1">
        <f t="array" ref="P14" xml:space="preserve"> INDEX(韻母對照表[台語注音二式], MATCH(TRUE, EXACT(O14, 韻母對照表[台羅拼音]), 0))</f>
        <v>am</v>
      </c>
      <c r="Q14" s="6" t="s">
        <v>166</v>
      </c>
      <c r="R14" s="6" t="s">
        <v>390</v>
      </c>
      <c r="T14" s="5">
        <v>1</v>
      </c>
      <c r="U14" s="6" t="s">
        <v>124</v>
      </c>
      <c r="V14" s="26">
        <v>1</v>
      </c>
      <c r="W14" s="25">
        <v>1</v>
      </c>
      <c r="X14" s="6"/>
      <c r="Y14" s="6" t="s">
        <v>603</v>
      </c>
      <c r="AC14" s="184" t="s">
        <v>66</v>
      </c>
      <c r="AD14" s="137">
        <f xml:space="preserve"> LEN(AE14)</f>
        <v>60</v>
      </c>
      <c r="AE14" s="137" t="str" cm="1">
        <f t="array" ref="AE14" xml:space="preserve"> _xlfn.CONCAT( TRANSPOSE(D3:D23), TRANSPOSE(M2:M29), TRANSPOSE(M33:M34), TRANSPOSE(V2:V10))</f>
        <v>bpPmntTlgkKŋhjzcsJZCSaiwueOəMNGIUY@AWHdfqrvxyRFQVØL173254806</v>
      </c>
      <c r="CN14" s="5">
        <v>13</v>
      </c>
      <c r="CO14" s="5" t="s">
        <v>76</v>
      </c>
      <c r="CP14" s="5" t="s">
        <v>76</v>
      </c>
      <c r="CQ14" s="5" t="s">
        <v>114</v>
      </c>
      <c r="CR14" s="5" t="s">
        <v>145</v>
      </c>
      <c r="CT14" s="5">
        <v>13</v>
      </c>
      <c r="CU14" s="5" t="s">
        <v>200</v>
      </c>
      <c r="CV14" s="5" t="s">
        <v>201</v>
      </c>
      <c r="CW14" s="5" t="s">
        <v>73</v>
      </c>
      <c r="CX14" s="5" t="s">
        <v>162</v>
      </c>
      <c r="DG14" s="240"/>
      <c r="DH14" s="240"/>
      <c r="DI14" s="240"/>
      <c r="DJ14" s="240"/>
      <c r="DK14" s="289" t="s">
        <v>163</v>
      </c>
      <c r="DL14" s="242"/>
      <c r="DM14" s="291" t="s">
        <v>1292</v>
      </c>
      <c r="DN14" s="241" t="s">
        <v>140</v>
      </c>
      <c r="DO14" s="242"/>
      <c r="DP14" s="244" t="s">
        <v>72</v>
      </c>
      <c r="DQ14" s="241" t="s">
        <v>149</v>
      </c>
      <c r="DR14" s="242"/>
      <c r="DS14" s="291" t="s">
        <v>80</v>
      </c>
      <c r="DT14" s="241" t="s">
        <v>153</v>
      </c>
      <c r="DU14" s="242"/>
      <c r="DV14" s="291" t="s">
        <v>748</v>
      </c>
      <c r="DW14" s="289" t="s">
        <v>160</v>
      </c>
      <c r="DX14" s="242"/>
      <c r="DY14" s="291" t="s">
        <v>1293</v>
      </c>
      <c r="DZ14" s="241" t="s">
        <v>148</v>
      </c>
      <c r="EA14" s="242"/>
      <c r="EB14" s="291" t="s">
        <v>79</v>
      </c>
      <c r="EC14" s="253" t="s">
        <v>157</v>
      </c>
      <c r="ED14" s="251"/>
      <c r="EE14" s="255" t="s">
        <v>188</v>
      </c>
      <c r="EF14" s="253" t="s">
        <v>154</v>
      </c>
      <c r="EG14" s="251">
        <v>0</v>
      </c>
      <c r="EH14" s="255" t="s">
        <v>85</v>
      </c>
      <c r="EI14" s="256"/>
      <c r="EJ14" s="251"/>
      <c r="EK14" s="255"/>
      <c r="EL14" s="253" t="s">
        <v>159</v>
      </c>
      <c r="EM14" s="251"/>
      <c r="EN14" s="255" t="s">
        <v>192</v>
      </c>
      <c r="EO14" s="240"/>
      <c r="EP14" s="240"/>
      <c r="EQ14" s="240"/>
      <c r="ER14" s="240"/>
      <c r="ES14" s="240"/>
      <c r="ET14" s="240"/>
      <c r="EU14" s="240"/>
      <c r="EV14" s="240"/>
    </row>
    <row r="15" spans="2:152" ht="48.75" customHeight="1" outlineLevel="1">
      <c r="B15" s="5">
        <v>14</v>
      </c>
      <c r="C15" s="6" t="s">
        <v>78</v>
      </c>
      <c r="D15" s="26" t="s">
        <v>80</v>
      </c>
      <c r="E15" s="25" t="s">
        <v>80</v>
      </c>
      <c r="F15" s="25" t="s">
        <v>80</v>
      </c>
      <c r="G15" s="25" t="str" cm="1">
        <f t="array" ref="G15" xml:space="preserve"> INDEX(聲母對照表[台語注音二式], MATCH(TRUE, EXACT(F15, 聲母對照表[台羅拼音]), 0))</f>
        <v>h</v>
      </c>
      <c r="H15" s="6" t="s">
        <v>149</v>
      </c>
      <c r="I15" s="6" t="s">
        <v>149</v>
      </c>
      <c r="K15" s="5">
        <v>14</v>
      </c>
      <c r="L15" s="6" t="s">
        <v>123</v>
      </c>
      <c r="M15" s="26" t="s">
        <v>96</v>
      </c>
      <c r="N15" s="25" t="s">
        <v>212</v>
      </c>
      <c r="O15" s="25" t="s">
        <v>212</v>
      </c>
      <c r="P15" s="25" t="str" cm="1">
        <f t="array" ref="P15" xml:space="preserve"> INDEX(韻母對照表[台語注音二式], MATCH(TRUE, EXACT(O15, 韻母對照表[台羅拼音]), 0))</f>
        <v>an</v>
      </c>
      <c r="Q15" s="6" t="s">
        <v>167</v>
      </c>
      <c r="R15" s="6" t="s">
        <v>167</v>
      </c>
      <c r="T15" s="5">
        <v>2</v>
      </c>
      <c r="U15" s="6" t="s">
        <v>231</v>
      </c>
      <c r="V15" s="25">
        <v>7</v>
      </c>
      <c r="W15" s="25">
        <v>7</v>
      </c>
      <c r="X15" s="6" t="s">
        <v>724</v>
      </c>
      <c r="Y15" s="6" t="s">
        <v>609</v>
      </c>
      <c r="AC15" s="184" t="s">
        <v>216</v>
      </c>
      <c r="AD15" s="137">
        <f xml:space="preserve"> LEN(AE15)</f>
        <v>60</v>
      </c>
      <c r="AE15" s="137" t="str" cm="1">
        <f t="array" ref="AE15" xml:space="preserve"> _xlfn.CONCAT( TRANSPOSE(C3:C23), TRANSPOSE(L2:L29), TRANSPOSE(L33:L34), TRANSPOSE(U2:U10))</f>
        <v>!1qas2wxEedNcYyhnRrfv8uKj,ikmp/9lM0;Oo*UJ&lt;I(Lbtgz=-"5346[].7</v>
      </c>
      <c r="CN15" s="5">
        <v>14</v>
      </c>
      <c r="CO15" s="5" t="s">
        <v>202</v>
      </c>
      <c r="CP15" s="5" t="s">
        <v>121</v>
      </c>
      <c r="CQ15" s="5" t="s">
        <v>115</v>
      </c>
      <c r="CR15" s="5" t="s">
        <v>146</v>
      </c>
      <c r="CT15" s="5">
        <v>14</v>
      </c>
      <c r="CU15" s="5" t="s">
        <v>203</v>
      </c>
      <c r="CV15" s="5" t="s">
        <v>93</v>
      </c>
      <c r="CW15" s="5" t="s">
        <v>121</v>
      </c>
      <c r="CX15" s="5" t="s">
        <v>163</v>
      </c>
      <c r="DG15" s="188"/>
      <c r="DH15" s="188"/>
      <c r="DI15" s="188"/>
      <c r="DJ15" s="188"/>
      <c r="DK15" s="188"/>
      <c r="DL15" s="188"/>
      <c r="DM15" s="188"/>
      <c r="DN15" s="188"/>
      <c r="DO15" s="188"/>
      <c r="DP15" s="188"/>
      <c r="DQ15" s="188"/>
      <c r="DR15" s="188"/>
      <c r="DS15" s="188"/>
      <c r="DT15" s="188"/>
      <c r="DU15" s="188"/>
      <c r="DV15" s="188"/>
      <c r="DW15" s="188"/>
      <c r="DX15" s="188"/>
      <c r="DY15" s="188"/>
      <c r="DZ15" s="188"/>
      <c r="EA15" s="188"/>
      <c r="EB15" s="188"/>
      <c r="EC15" s="188"/>
      <c r="ED15" s="188"/>
      <c r="EE15" s="188"/>
      <c r="EF15" s="188"/>
      <c r="EG15" s="188"/>
      <c r="EH15" s="188"/>
      <c r="EI15" s="188"/>
      <c r="EJ15" s="188"/>
      <c r="EK15" s="188"/>
      <c r="EL15" s="188"/>
      <c r="EM15" s="188"/>
      <c r="EN15" s="188"/>
      <c r="EO15" s="188"/>
      <c r="EP15" s="188"/>
      <c r="EQ15" s="188"/>
      <c r="ER15" s="188"/>
      <c r="ES15" s="188"/>
      <c r="ET15" s="188"/>
      <c r="EU15" s="188"/>
      <c r="EV15" s="188"/>
    </row>
    <row r="16" spans="2:152" ht="48.75" customHeight="1" outlineLevel="1">
      <c r="B16" s="5">
        <v>15</v>
      </c>
      <c r="C16" s="6" t="s">
        <v>114</v>
      </c>
      <c r="D16" s="25" t="s">
        <v>76</v>
      </c>
      <c r="E16" s="25" t="s">
        <v>304</v>
      </c>
      <c r="F16" s="25" t="s">
        <v>76</v>
      </c>
      <c r="G16" s="25" t="str" cm="1">
        <f t="array" ref="G16" xml:space="preserve"> INDEX(聲母對照表[台語注音二式], MATCH(TRUE, EXACT(F16, 聲母對照表[台羅拼音]), 0))</f>
        <v>zz</v>
      </c>
      <c r="H16" s="6" t="s">
        <v>145</v>
      </c>
      <c r="I16" s="6" t="s">
        <v>306</v>
      </c>
      <c r="K16" s="5">
        <v>15</v>
      </c>
      <c r="L16" s="6" t="s">
        <v>124</v>
      </c>
      <c r="M16" s="26" t="s">
        <v>97</v>
      </c>
      <c r="N16" s="25" t="s">
        <v>1191</v>
      </c>
      <c r="O16" s="25" t="s">
        <v>215</v>
      </c>
      <c r="P16" s="25" t="str" cm="1">
        <f t="array" ref="P16" xml:space="preserve"> INDEX(韻母對照表[台語注音二式], MATCH(TRUE, EXACT(O16, 韻母對照表[台羅拼音]), 0))</f>
        <v>ang</v>
      </c>
      <c r="Q16" s="6" t="s">
        <v>168</v>
      </c>
      <c r="R16" s="6" t="s">
        <v>168</v>
      </c>
      <c r="T16" s="5">
        <v>3</v>
      </c>
      <c r="U16" s="6" t="s">
        <v>615</v>
      </c>
      <c r="V16" s="25">
        <v>3</v>
      </c>
      <c r="W16" s="25">
        <v>3</v>
      </c>
      <c r="X16" s="6" t="s">
        <v>725</v>
      </c>
      <c r="Y16" s="6" t="s">
        <v>617</v>
      </c>
      <c r="AE16" s="176" t="str">
        <f xml:space="preserve"> _xlfn.CONCAT("    - xlit|", AE14, "|", AE15, "|")</f>
        <v xml:space="preserve">    - xlit|bpPmntTlgkKŋhjzcsJZCSaiwueOəMNGIUY@AWHdfqrvxyRFQVØL173254806|!1qas2wxEedNcYyhnRrfv8uKj,ikmp/9lM0;Oo*UJ&lt;I(Lbtgz=-"5346[].7|</v>
      </c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N16" s="5">
        <v>15</v>
      </c>
      <c r="CO16" s="5" t="s">
        <v>205</v>
      </c>
      <c r="CP16" s="5" t="s">
        <v>78</v>
      </c>
      <c r="CQ16" s="5" t="s">
        <v>80</v>
      </c>
      <c r="CR16" s="5" t="s">
        <v>147</v>
      </c>
      <c r="CT16" s="5">
        <v>15</v>
      </c>
      <c r="CU16" s="5" t="s">
        <v>206</v>
      </c>
      <c r="CV16" s="5" t="s">
        <v>94</v>
      </c>
      <c r="CW16" s="5" t="s">
        <v>122</v>
      </c>
      <c r="CX16" s="5" t="s">
        <v>164</v>
      </c>
    </row>
    <row r="17" spans="2:102" ht="48.75" customHeight="1" outlineLevel="1">
      <c r="B17" s="5">
        <v>16</v>
      </c>
      <c r="C17" s="6" t="s">
        <v>115</v>
      </c>
      <c r="D17" s="26" t="s">
        <v>121</v>
      </c>
      <c r="E17" s="25" t="s">
        <v>309</v>
      </c>
      <c r="F17" s="25" t="s">
        <v>234</v>
      </c>
      <c r="G17" s="25" t="str" cm="1">
        <f t="array" ref="G17" xml:space="preserve"> INDEX(聲母對照表[台語注音二式], MATCH(TRUE, EXACT(F17, 聲母對照表[台羅拼音]), 0))</f>
        <v>z</v>
      </c>
      <c r="H17" s="6" t="s">
        <v>146</v>
      </c>
      <c r="I17" s="6" t="s">
        <v>146</v>
      </c>
      <c r="K17" s="5">
        <v>16</v>
      </c>
      <c r="L17" s="6" t="s">
        <v>86</v>
      </c>
      <c r="M17" s="26" t="s">
        <v>98</v>
      </c>
      <c r="N17" s="25" t="s">
        <v>1192</v>
      </c>
      <c r="O17" s="25" t="s">
        <v>218</v>
      </c>
      <c r="P17" s="166" t="str" cm="1">
        <f t="array" ref="P17" xml:space="preserve"> INDEX(韻母對照表[台語注音二式], MATCH(TRUE, EXACT(O17, 韻母對照表[台羅拼音]), 0))</f>
        <v>oom</v>
      </c>
      <c r="Q17" s="6" t="s">
        <v>169</v>
      </c>
      <c r="R17" s="6" t="s">
        <v>492</v>
      </c>
      <c r="T17" s="5">
        <v>4</v>
      </c>
      <c r="U17" s="6" t="s">
        <v>621</v>
      </c>
      <c r="V17" s="25">
        <v>2</v>
      </c>
      <c r="W17" s="25">
        <v>2</v>
      </c>
      <c r="X17" s="6" t="s">
        <v>723</v>
      </c>
      <c r="Y17" s="6" t="s">
        <v>622</v>
      </c>
      <c r="AE17" s="154" t="s">
        <v>1205</v>
      </c>
      <c r="CN17" s="5">
        <v>16</v>
      </c>
      <c r="CO17" s="5" t="s">
        <v>79</v>
      </c>
      <c r="CP17" s="5" t="s">
        <v>79</v>
      </c>
      <c r="CQ17" s="5" t="s">
        <v>69</v>
      </c>
      <c r="CR17" s="5" t="s">
        <v>148</v>
      </c>
      <c r="CT17" s="5">
        <v>16</v>
      </c>
      <c r="CU17" s="5" t="s">
        <v>208</v>
      </c>
      <c r="CV17" s="5" t="s">
        <v>95</v>
      </c>
      <c r="CW17" s="5" t="s">
        <v>72</v>
      </c>
      <c r="CX17" s="5" t="s">
        <v>165</v>
      </c>
    </row>
    <row r="18" spans="2:102" ht="48.75" customHeight="1" outlineLevel="1">
      <c r="B18" s="5">
        <v>17</v>
      </c>
      <c r="C18" s="6" t="s">
        <v>80</v>
      </c>
      <c r="D18" s="26" t="s">
        <v>78</v>
      </c>
      <c r="E18" s="25" t="s">
        <v>314</v>
      </c>
      <c r="F18" s="25" t="s">
        <v>236</v>
      </c>
      <c r="G18" s="25" t="str" cm="1">
        <f t="array" ref="G18" xml:space="preserve"> INDEX(聲母對照表[台語注音二式], MATCH(TRUE, EXACT(F18, 聲母對照表[台羅拼音]), 0))</f>
        <v>c</v>
      </c>
      <c r="H18" s="6" t="s">
        <v>147</v>
      </c>
      <c r="I18" s="6" t="s">
        <v>147</v>
      </c>
      <c r="K18" s="5">
        <v>17</v>
      </c>
      <c r="L18" s="6" t="s">
        <v>125</v>
      </c>
      <c r="M18" s="26" t="s">
        <v>221</v>
      </c>
      <c r="N18" s="25" t="s">
        <v>1193</v>
      </c>
      <c r="O18" s="25" t="s">
        <v>220</v>
      </c>
      <c r="P18" s="25" t="str" cm="1">
        <f t="array" ref="P18" xml:space="preserve"> INDEX(韻母對照表[台語注音二式], MATCH(TRUE, EXACT(O18, 韻母對照表[台羅拼音]), 0))</f>
        <v>ong</v>
      </c>
      <c r="Q18" s="6" t="s">
        <v>170</v>
      </c>
      <c r="R18" s="6" t="s">
        <v>493</v>
      </c>
      <c r="T18" s="5">
        <v>5</v>
      </c>
      <c r="U18" s="6" t="s">
        <v>120</v>
      </c>
      <c r="V18" s="25">
        <v>5</v>
      </c>
      <c r="W18" s="25">
        <v>5</v>
      </c>
      <c r="X18" s="6" t="s">
        <v>722</v>
      </c>
      <c r="Y18" s="6" t="s">
        <v>616</v>
      </c>
      <c r="AC18" s="1" t="s">
        <v>204</v>
      </c>
      <c r="AD18" s="137">
        <f xml:space="preserve"> SEARCH("|", $AE$16)</f>
        <v>11</v>
      </c>
      <c r="AE18" s="137"/>
      <c r="CN18" s="5">
        <v>17</v>
      </c>
      <c r="CO18" s="5" t="s">
        <v>80</v>
      </c>
      <c r="CP18" s="5" t="s">
        <v>80</v>
      </c>
      <c r="CQ18" s="5" t="s">
        <v>78</v>
      </c>
      <c r="CR18" s="5" t="s">
        <v>149</v>
      </c>
      <c r="CT18" s="5">
        <v>17</v>
      </c>
      <c r="CU18" s="5" t="s">
        <v>210</v>
      </c>
      <c r="CV18" s="5" t="s">
        <v>114</v>
      </c>
      <c r="CW18" s="5" t="s">
        <v>88</v>
      </c>
      <c r="CX18" s="5" t="s">
        <v>166</v>
      </c>
    </row>
    <row r="19" spans="2:102" ht="48.75" customHeight="1" outlineLevel="1">
      <c r="B19" s="5">
        <v>18</v>
      </c>
      <c r="C19" s="6" t="s">
        <v>69</v>
      </c>
      <c r="D19" s="26" t="s">
        <v>79</v>
      </c>
      <c r="E19" s="25" t="s">
        <v>79</v>
      </c>
      <c r="F19" s="25" t="s">
        <v>79</v>
      </c>
      <c r="G19" s="25" t="str" cm="1">
        <f t="array" ref="G19" xml:space="preserve"> INDEX(聲母對照表[台語注音二式], MATCH(TRUE, EXACT(F19, 聲母對照表[台羅拼音]), 0))</f>
        <v>s</v>
      </c>
      <c r="H19" s="6" t="s">
        <v>148</v>
      </c>
      <c r="I19" s="6" t="s">
        <v>148</v>
      </c>
      <c r="K19" s="5">
        <v>18</v>
      </c>
      <c r="L19" s="6" t="s">
        <v>126</v>
      </c>
      <c r="M19" s="26" t="s">
        <v>112</v>
      </c>
      <c r="N19" s="25" t="s">
        <v>1194</v>
      </c>
      <c r="O19" s="25" t="s">
        <v>570</v>
      </c>
      <c r="P19" s="25" t="str" cm="1">
        <f t="array" ref="P19" xml:space="preserve"> INDEX(韻母對照表[台語注音二式], MATCH(TRUE, EXACT(O19, 韻母對照表[台羅拼音]), 0))</f>
        <v>ann</v>
      </c>
      <c r="Q19" s="6" t="s">
        <v>171</v>
      </c>
      <c r="R19" s="6" t="s">
        <v>395</v>
      </c>
      <c r="T19" s="5">
        <v>6</v>
      </c>
      <c r="U19" s="6" t="s">
        <v>132</v>
      </c>
      <c r="V19" s="25">
        <v>4</v>
      </c>
      <c r="W19" s="25">
        <v>4</v>
      </c>
      <c r="X19" s="6"/>
      <c r="Y19" s="6" t="s">
        <v>629</v>
      </c>
      <c r="AC19" s="1" t="s">
        <v>207</v>
      </c>
      <c r="AD19" s="137">
        <f xml:space="preserve"> SEARCH("|", $AE$16, AD18+1)</f>
        <v>72</v>
      </c>
      <c r="AE19" s="137"/>
      <c r="CN19" s="5">
        <v>18</v>
      </c>
      <c r="CO19" s="5" t="s">
        <v>211</v>
      </c>
      <c r="CP19" s="5" t="s">
        <v>81</v>
      </c>
      <c r="CQ19" s="5" t="s">
        <v>91</v>
      </c>
      <c r="CR19" s="5" t="s">
        <v>150</v>
      </c>
      <c r="CT19" s="5">
        <v>18</v>
      </c>
      <c r="CU19" s="5" t="s">
        <v>212</v>
      </c>
      <c r="CV19" s="5" t="s">
        <v>96</v>
      </c>
      <c r="CW19" s="5" t="s">
        <v>123</v>
      </c>
      <c r="CX19" s="5" t="s">
        <v>167</v>
      </c>
    </row>
    <row r="20" spans="2:102" ht="48.75" customHeight="1">
      <c r="B20" s="5">
        <v>19</v>
      </c>
      <c r="C20" s="6" t="s">
        <v>91</v>
      </c>
      <c r="D20" s="26" t="s">
        <v>81</v>
      </c>
      <c r="E20" s="25" t="s">
        <v>324</v>
      </c>
      <c r="F20" s="25" t="s">
        <v>1162</v>
      </c>
      <c r="G20" s="25" t="str" cm="1">
        <f t="array" ref="G20" xml:space="preserve"> INDEX(聲母對照表[台語注音二式], MATCH(TRUE, EXACT(F20, 聲母對照表[台羅拼音]), 0))</f>
        <v>jj</v>
      </c>
      <c r="H20" s="6" t="s">
        <v>150</v>
      </c>
      <c r="I20" s="6" t="s">
        <v>306</v>
      </c>
      <c r="K20" s="5">
        <v>19</v>
      </c>
      <c r="L20" s="6" t="s">
        <v>95</v>
      </c>
      <c r="M20" s="26" t="s">
        <v>116</v>
      </c>
      <c r="N20" s="25" t="s">
        <v>1195</v>
      </c>
      <c r="O20" s="25" t="s">
        <v>571</v>
      </c>
      <c r="P20" s="25" t="str" cm="1">
        <f t="array" ref="P20" xml:space="preserve"> INDEX(韻母對照表[台語注音二式], MATCH(TRUE, EXACT(O20, 韻母對照表[台羅拼音]), 0))</f>
        <v>inn</v>
      </c>
      <c r="Q20" s="6" t="s">
        <v>172</v>
      </c>
      <c r="R20" s="6" t="s">
        <v>456</v>
      </c>
      <c r="T20" s="5">
        <v>7</v>
      </c>
      <c r="U20" s="6" t="s">
        <v>131</v>
      </c>
      <c r="V20" s="25">
        <v>8</v>
      </c>
      <c r="W20" s="25">
        <v>8</v>
      </c>
      <c r="X20" s="6" t="s">
        <v>726</v>
      </c>
      <c r="Y20" s="6" t="s">
        <v>635</v>
      </c>
      <c r="AC20" s="1" t="s">
        <v>209</v>
      </c>
      <c r="AD20" s="137">
        <f xml:space="preserve"> SEARCH("|", $AE$16, AD19+1)</f>
        <v>133</v>
      </c>
      <c r="AE20" s="137"/>
      <c r="CN20" s="5">
        <v>19</v>
      </c>
      <c r="CO20" s="5" t="s">
        <v>213</v>
      </c>
      <c r="CP20" s="5" t="s">
        <v>214</v>
      </c>
      <c r="CQ20" s="5" t="s">
        <v>100</v>
      </c>
      <c r="CR20" s="5" t="s">
        <v>151</v>
      </c>
      <c r="CT20" s="5">
        <v>19</v>
      </c>
      <c r="CU20" s="5" t="s">
        <v>215</v>
      </c>
      <c r="CV20" s="5" t="s">
        <v>97</v>
      </c>
      <c r="CW20" s="5" t="s">
        <v>124</v>
      </c>
      <c r="CX20" s="5" t="s">
        <v>168</v>
      </c>
    </row>
    <row r="21" spans="2:102" ht="48.75" customHeight="1">
      <c r="B21" s="5">
        <v>20</v>
      </c>
      <c r="C21" s="6" t="s">
        <v>100</v>
      </c>
      <c r="D21" s="26" t="s">
        <v>214</v>
      </c>
      <c r="E21" s="25" t="s">
        <v>331</v>
      </c>
      <c r="F21" s="25" t="s">
        <v>1164</v>
      </c>
      <c r="G21" s="25" t="str" cm="1">
        <f t="array" ref="G21" xml:space="preserve"> INDEX(聲母對照表[台語注音二式], MATCH(TRUE, EXACT(F21, 聲母對照表[台羅拼音]), 0))</f>
        <v>j</v>
      </c>
      <c r="H21" s="6" t="s">
        <v>151</v>
      </c>
      <c r="I21" s="6" t="s">
        <v>151</v>
      </c>
      <c r="K21" s="5">
        <v>20</v>
      </c>
      <c r="L21" s="6" t="s">
        <v>81</v>
      </c>
      <c r="M21" s="26" t="s">
        <v>104</v>
      </c>
      <c r="N21" s="25" t="s">
        <v>1196</v>
      </c>
      <c r="O21" s="25" t="s">
        <v>572</v>
      </c>
      <c r="P21" s="25" t="str" cm="1">
        <f t="array" ref="P21" xml:space="preserve"> INDEX(韻母對照表[台語注音二式], MATCH(TRUE, EXACT(O21, 韻母對照表[台羅拼音]), 0))</f>
        <v>unn</v>
      </c>
      <c r="Q21" s="6" t="s">
        <v>173</v>
      </c>
      <c r="R21" s="6" t="s">
        <v>736</v>
      </c>
      <c r="T21" s="12"/>
      <c r="V21" s="12"/>
      <c r="W21" s="12"/>
      <c r="AD21" s="137"/>
      <c r="AE21" s="137"/>
      <c r="CN21" s="5">
        <v>20</v>
      </c>
      <c r="CO21" s="5" t="s">
        <v>217</v>
      </c>
      <c r="CP21" s="5" t="s">
        <v>82</v>
      </c>
      <c r="CQ21" s="5" t="s">
        <v>116</v>
      </c>
      <c r="CR21" s="5" t="s">
        <v>152</v>
      </c>
      <c r="CT21" s="5">
        <v>20</v>
      </c>
      <c r="CU21" s="5" t="s">
        <v>218</v>
      </c>
      <c r="CV21" s="5" t="s">
        <v>98</v>
      </c>
      <c r="CW21" s="5" t="s">
        <v>86</v>
      </c>
      <c r="CX21" s="5" t="s">
        <v>169</v>
      </c>
    </row>
    <row r="22" spans="2:102" ht="48.75" customHeight="1">
      <c r="B22" s="5">
        <v>21</v>
      </c>
      <c r="C22" s="6" t="s">
        <v>116</v>
      </c>
      <c r="D22" s="26" t="s">
        <v>82</v>
      </c>
      <c r="E22" s="25" t="s">
        <v>341</v>
      </c>
      <c r="F22" s="25" t="s">
        <v>1165</v>
      </c>
      <c r="G22" s="25" t="str" cm="1">
        <f t="array" ref="G22" xml:space="preserve"> INDEX(聲母對照表[台語注音二式], MATCH(TRUE, EXACT(F22, 聲母對照表[台羅拼音]), 0))</f>
        <v>ch</v>
      </c>
      <c r="H22" s="6" t="s">
        <v>152</v>
      </c>
      <c r="I22" s="6" t="s">
        <v>152</v>
      </c>
      <c r="K22" s="5">
        <v>21</v>
      </c>
      <c r="L22" s="6" t="s">
        <v>127</v>
      </c>
      <c r="M22" s="26" t="s">
        <v>100</v>
      </c>
      <c r="N22" s="25" t="s">
        <v>1197</v>
      </c>
      <c r="O22" s="25" t="s">
        <v>573</v>
      </c>
      <c r="P22" s="25" t="str" cm="1">
        <f t="array" ref="P22" xml:space="preserve"> INDEX(韻母對照表[台語注音二式], MATCH(TRUE, EXACT(O22, 韻母對照表[台羅拼音]), 0))</f>
        <v>enn</v>
      </c>
      <c r="Q22" s="6" t="s">
        <v>174</v>
      </c>
      <c r="R22" s="6" t="s">
        <v>420</v>
      </c>
      <c r="T22" s="12"/>
      <c r="V22" s="12"/>
      <c r="W22" s="12"/>
      <c r="AC22" s="1" t="s">
        <v>66</v>
      </c>
      <c r="AD22" s="137">
        <f xml:space="preserve"> LEN(AE22)</f>
        <v>60</v>
      </c>
      <c r="AE22" s="137" t="str">
        <f xml:space="preserve"> MID($AE$16,AD18+1, (AD19-AD18-1))</f>
        <v>bpPmntTlgkKŋhjzcsJZCSaiwueOəMNGIUY@AWHdfqrvxyRFQVØL173254806</v>
      </c>
      <c r="CN22" s="5">
        <v>21</v>
      </c>
      <c r="CO22" s="5" t="s">
        <v>219</v>
      </c>
      <c r="CP22" s="5" t="s">
        <v>83</v>
      </c>
      <c r="CQ22" s="5" t="s">
        <v>117</v>
      </c>
      <c r="CR22" s="5" t="s">
        <v>153</v>
      </c>
      <c r="CT22" s="5">
        <v>21</v>
      </c>
      <c r="CU22" s="5" t="s">
        <v>220</v>
      </c>
      <c r="CV22" s="5" t="s">
        <v>221</v>
      </c>
      <c r="CW22" s="5" t="s">
        <v>125</v>
      </c>
      <c r="CX22" s="5" t="s">
        <v>170</v>
      </c>
    </row>
    <row r="23" spans="2:102" ht="48.75" customHeight="1">
      <c r="B23" s="5">
        <v>22</v>
      </c>
      <c r="C23" s="6" t="s">
        <v>117</v>
      </c>
      <c r="D23" s="26" t="s">
        <v>83</v>
      </c>
      <c r="E23" s="25" t="s">
        <v>351</v>
      </c>
      <c r="F23" s="25" t="s">
        <v>1163</v>
      </c>
      <c r="G23" s="25" t="str" cm="1">
        <f t="array" ref="G23" xml:space="preserve"> INDEX(聲母對照表[台語注音二式], MATCH(TRUE, EXACT(F23, 聲母對照表[台羅拼音]), 0))</f>
        <v>sh</v>
      </c>
      <c r="H23" s="6" t="s">
        <v>153</v>
      </c>
      <c r="I23" s="6" t="s">
        <v>153</v>
      </c>
      <c r="K23" s="5">
        <v>22</v>
      </c>
      <c r="L23" s="6" t="s">
        <v>94</v>
      </c>
      <c r="M23" s="26" t="s">
        <v>117</v>
      </c>
      <c r="N23" s="25" t="s">
        <v>1198</v>
      </c>
      <c r="O23" s="25" t="s">
        <v>574</v>
      </c>
      <c r="P23" s="166" t="str" cm="1">
        <f t="array" ref="P23" xml:space="preserve"> INDEX(韻母對照表[台語注音二式], MATCH(TRUE, EXACT(O23, 韻母對照表[台羅拼音]), 0))</f>
        <v>oonn</v>
      </c>
      <c r="Q23" s="6" t="s">
        <v>175</v>
      </c>
      <c r="R23" s="6" t="s">
        <v>497</v>
      </c>
      <c r="T23" s="12"/>
      <c r="V23" s="12"/>
      <c r="W23" s="12"/>
      <c r="AC23" s="1" t="s">
        <v>216</v>
      </c>
      <c r="AD23" s="137">
        <f xml:space="preserve"> LEN(AE23)</f>
        <v>60</v>
      </c>
      <c r="AE23" s="137" t="str">
        <f xml:space="preserve"> MID($AE$16,AD19+1, (AD20-AD19-1))</f>
        <v>!1qas2wxEedNcYyhnRrfv8uKj,ikmp/9lM0;Oo*UJ&lt;I(Lbtgz=-"5346[].7</v>
      </c>
      <c r="CT23" s="5">
        <v>22</v>
      </c>
      <c r="CU23" s="5" t="s">
        <v>222</v>
      </c>
      <c r="CV23" s="5" t="s">
        <v>112</v>
      </c>
      <c r="CW23" s="5" t="s">
        <v>126</v>
      </c>
      <c r="CX23" s="5" t="s">
        <v>171</v>
      </c>
    </row>
    <row r="24" spans="2:102" ht="48.75" customHeight="1">
      <c r="K24" s="5">
        <v>23</v>
      </c>
      <c r="L24" s="6" t="s">
        <v>128</v>
      </c>
      <c r="M24" s="26" t="s">
        <v>101</v>
      </c>
      <c r="N24" s="25" t="s">
        <v>1199</v>
      </c>
      <c r="O24" s="25" t="s">
        <v>575</v>
      </c>
      <c r="P24" s="25" t="str" cm="1">
        <f t="array" ref="P24" xml:space="preserve"> INDEX(韻母對照表[台語注音二式], MATCH(TRUE, EXACT(O24, 韻母對照表[台羅拼音]), 0))</f>
        <v>ainn</v>
      </c>
      <c r="Q24" s="6" t="s">
        <v>176</v>
      </c>
      <c r="R24" s="6" t="s">
        <v>386</v>
      </c>
      <c r="T24" s="24" t="s">
        <v>1</v>
      </c>
      <c r="U24" s="24" t="s">
        <v>230</v>
      </c>
      <c r="V24" s="24" t="s">
        <v>4</v>
      </c>
      <c r="W24" s="24" t="s">
        <v>727</v>
      </c>
      <c r="X24" s="24" t="s">
        <v>728</v>
      </c>
      <c r="Y24" s="113" t="s">
        <v>729</v>
      </c>
      <c r="Z24" s="66" t="s">
        <v>735</v>
      </c>
      <c r="CT24" s="5">
        <v>23</v>
      </c>
      <c r="CU24" s="5" t="s">
        <v>223</v>
      </c>
      <c r="CV24" s="5" t="s">
        <v>116</v>
      </c>
      <c r="CW24" s="5" t="s">
        <v>95</v>
      </c>
      <c r="CX24" s="5" t="s">
        <v>172</v>
      </c>
    </row>
    <row r="25" spans="2:102" ht="48.75" customHeight="1">
      <c r="K25" s="5">
        <v>24</v>
      </c>
      <c r="L25" s="6" t="s">
        <v>102</v>
      </c>
      <c r="M25" s="26" t="s">
        <v>115</v>
      </c>
      <c r="N25" s="25" t="s">
        <v>1168</v>
      </c>
      <c r="O25" s="25" t="s">
        <v>576</v>
      </c>
      <c r="P25" s="25" t="str" cm="1">
        <f t="array" ref="P25" xml:space="preserve"> INDEX(韻母對照表[台語注音二式], MATCH(TRUE, EXACT(O25, 韻母對照表[台羅拼音]), 0))</f>
        <v>aunn</v>
      </c>
      <c r="Q25" s="6" t="s">
        <v>177</v>
      </c>
      <c r="R25" s="6" t="s">
        <v>737</v>
      </c>
      <c r="T25" s="5">
        <v>1</v>
      </c>
      <c r="U25" s="6" t="s">
        <v>124</v>
      </c>
      <c r="V25" s="26">
        <v>1</v>
      </c>
      <c r="W25" s="25">
        <v>1</v>
      </c>
      <c r="X25" s="6" t="s">
        <v>603</v>
      </c>
      <c r="Y25" s="6" t="s">
        <v>710</v>
      </c>
      <c r="Z25" s="6" t="s">
        <v>371</v>
      </c>
      <c r="AE25" s="4" cm="1">
        <f t="array" ref="AE25" xml:space="preserve"> COLUMN() - COLUMN($AD:$AD)</f>
        <v>1</v>
      </c>
      <c r="AF25" s="4" cm="1">
        <f t="array" ref="AF25" xml:space="preserve"> COLUMN() - COLUMN($AD:$AD)</f>
        <v>2</v>
      </c>
      <c r="AG25" s="4" cm="1">
        <f t="array" ref="AG25" xml:space="preserve"> COLUMN() - COLUMN($AD:$AD)</f>
        <v>3</v>
      </c>
      <c r="AH25" s="4" cm="1">
        <f t="array" ref="AH25" xml:space="preserve"> COLUMN() - COLUMN($AD:$AD)</f>
        <v>4</v>
      </c>
      <c r="AI25" s="4" cm="1">
        <f t="array" ref="AI25" xml:space="preserve"> COLUMN() - COLUMN($AD:$AD)</f>
        <v>5</v>
      </c>
      <c r="AJ25" s="4" cm="1">
        <f t="array" ref="AJ25" xml:space="preserve"> COLUMN() - COLUMN($AD:$AD)</f>
        <v>6</v>
      </c>
      <c r="AK25" s="4" cm="1">
        <f t="array" ref="AK25" xml:space="preserve"> COLUMN() - COLUMN($AD:$AD)</f>
        <v>7</v>
      </c>
      <c r="AL25" s="4" cm="1">
        <f t="array" ref="AL25" xml:space="preserve"> COLUMN() - COLUMN($AD:$AD)</f>
        <v>8</v>
      </c>
      <c r="AM25" s="4" cm="1">
        <f t="array" ref="AM25" xml:space="preserve"> COLUMN() - COLUMN($AD:$AD)</f>
        <v>9</v>
      </c>
      <c r="AN25" s="4" cm="1">
        <f t="array" ref="AN25" xml:space="preserve"> COLUMN() - COLUMN($AD:$AD)</f>
        <v>10</v>
      </c>
      <c r="AO25" s="4" cm="1">
        <f t="array" ref="AO25" xml:space="preserve"> COLUMN() - COLUMN($AD:$AD)</f>
        <v>11</v>
      </c>
      <c r="AP25" s="4" cm="1">
        <f t="array" ref="AP25" xml:space="preserve"> COLUMN() - COLUMN($AD:$AD)</f>
        <v>12</v>
      </c>
      <c r="AQ25" s="4" cm="1">
        <f t="array" ref="AQ25" xml:space="preserve"> COLUMN() - COLUMN($AD:$AD)</f>
        <v>13</v>
      </c>
      <c r="AR25" s="4" cm="1">
        <f t="array" ref="AR25" xml:space="preserve"> COLUMN() - COLUMN($AD:$AD)</f>
        <v>14</v>
      </c>
      <c r="AS25" s="4" cm="1">
        <f t="array" ref="AS25" xml:space="preserve"> COLUMN() - COLUMN($AD:$AD)</f>
        <v>15</v>
      </c>
      <c r="AT25" s="4" cm="1">
        <f t="array" ref="AT25" xml:space="preserve"> COLUMN() - COLUMN($AD:$AD)</f>
        <v>16</v>
      </c>
      <c r="AU25" s="4" cm="1">
        <f t="array" ref="AU25" xml:space="preserve"> COLUMN() - COLUMN($AD:$AD)</f>
        <v>17</v>
      </c>
      <c r="AV25" s="4" cm="1">
        <f t="array" ref="AV25" xml:space="preserve"> COLUMN() - COLUMN($AD:$AD)</f>
        <v>18</v>
      </c>
      <c r="AW25" s="4" cm="1">
        <f t="array" ref="AW25" xml:space="preserve"> COLUMN() - COLUMN($AD:$AD)</f>
        <v>19</v>
      </c>
      <c r="AX25" s="4" cm="1">
        <f t="array" ref="AX25" xml:space="preserve"> COLUMN() - COLUMN($AD:$AD)</f>
        <v>20</v>
      </c>
      <c r="AY25" s="4" cm="1">
        <f t="array" ref="AY25" xml:space="preserve"> COLUMN() - COLUMN($AD:$AD)</f>
        <v>21</v>
      </c>
      <c r="AZ25" s="4" cm="1">
        <f t="array" ref="AZ25" xml:space="preserve"> COLUMN() - COLUMN($AD:$AD)</f>
        <v>22</v>
      </c>
      <c r="BA25" s="4" cm="1">
        <f t="array" ref="BA25" xml:space="preserve"> COLUMN() - COLUMN($AD:$AD)</f>
        <v>23</v>
      </c>
      <c r="BB25" s="4" cm="1">
        <f t="array" ref="BB25" xml:space="preserve"> COLUMN() - COLUMN($AD:$AD)</f>
        <v>24</v>
      </c>
      <c r="BC25" s="4" cm="1">
        <f t="array" ref="BC25" xml:space="preserve"> COLUMN() - COLUMN($AD:$AD)</f>
        <v>25</v>
      </c>
      <c r="BD25" s="4" cm="1">
        <f t="array" ref="BD25" xml:space="preserve"> COLUMN() - COLUMN($AD:$AD)</f>
        <v>26</v>
      </c>
      <c r="BE25" s="4" cm="1">
        <f t="array" ref="BE25" xml:space="preserve"> COLUMN() - COLUMN($AD:$AD)</f>
        <v>27</v>
      </c>
      <c r="BF25" s="4" cm="1">
        <f t="array" ref="BF25" xml:space="preserve"> COLUMN() - COLUMN($AD:$AD)</f>
        <v>28</v>
      </c>
      <c r="BG25" s="4" cm="1">
        <f t="array" ref="BG25" xml:space="preserve"> COLUMN() - COLUMN($AD:$AD)</f>
        <v>29</v>
      </c>
      <c r="BH25" s="4" cm="1">
        <f t="array" ref="BH25" xml:space="preserve"> COLUMN() - COLUMN($AD:$AD)</f>
        <v>30</v>
      </c>
      <c r="BI25" s="4" cm="1">
        <f t="array" ref="BI25" xml:space="preserve"> COLUMN() - COLUMN($AD:$AD)</f>
        <v>31</v>
      </c>
      <c r="BJ25" s="4" cm="1">
        <f t="array" ref="BJ25" xml:space="preserve"> COLUMN() - COLUMN($AD:$AD)</f>
        <v>32</v>
      </c>
      <c r="BK25" s="4" cm="1">
        <f t="array" ref="BK25" xml:space="preserve"> COLUMN() - COLUMN($AD:$AD)</f>
        <v>33</v>
      </c>
      <c r="BL25" s="4" cm="1">
        <f t="array" ref="BL25" xml:space="preserve"> COLUMN() - COLUMN($AD:$AD)</f>
        <v>34</v>
      </c>
      <c r="BM25" s="4" cm="1">
        <f t="array" ref="BM25" xml:space="preserve"> COLUMN() - COLUMN($AD:$AD)</f>
        <v>35</v>
      </c>
      <c r="BN25" s="4" cm="1">
        <f t="array" ref="BN25" xml:space="preserve"> COLUMN() - COLUMN($AD:$AD)</f>
        <v>36</v>
      </c>
      <c r="BO25" s="4" cm="1">
        <f t="array" ref="BO25" xml:space="preserve"> COLUMN() - COLUMN($AD:$AD)</f>
        <v>37</v>
      </c>
      <c r="BP25" s="4" cm="1">
        <f t="array" ref="BP25" xml:space="preserve"> COLUMN() - COLUMN($AD:$AD)</f>
        <v>38</v>
      </c>
      <c r="BQ25" s="4" cm="1">
        <f t="array" ref="BQ25" xml:space="preserve"> COLUMN() - COLUMN($AD:$AD)</f>
        <v>39</v>
      </c>
      <c r="BR25" s="4" cm="1">
        <f t="array" ref="BR25" xml:space="preserve"> COLUMN() - COLUMN($AD:$AD)</f>
        <v>40</v>
      </c>
      <c r="BS25" s="4" cm="1">
        <f t="array" ref="BS25" xml:space="preserve"> COLUMN() - COLUMN($AD:$AD)</f>
        <v>41</v>
      </c>
      <c r="BT25" s="4" cm="1">
        <f t="array" ref="BT25" xml:space="preserve"> COLUMN() - COLUMN($AD:$AD)</f>
        <v>42</v>
      </c>
      <c r="BU25" s="4" cm="1">
        <f t="array" ref="BU25" xml:space="preserve"> COLUMN() - COLUMN($AD:$AD)</f>
        <v>43</v>
      </c>
      <c r="BV25" s="4" cm="1">
        <f t="array" ref="BV25" xml:space="preserve"> COLUMN() - COLUMN($AD:$AD)</f>
        <v>44</v>
      </c>
      <c r="BW25" s="4" cm="1">
        <f t="array" ref="BW25" xml:space="preserve"> COLUMN() - COLUMN($AD:$AD)</f>
        <v>45</v>
      </c>
      <c r="BX25" s="4" cm="1">
        <f t="array" ref="BX25" xml:space="preserve"> COLUMN() - COLUMN($AD:$AD)</f>
        <v>46</v>
      </c>
      <c r="BY25" s="4" cm="1">
        <f t="array" ref="BY25" xml:space="preserve"> COLUMN() - COLUMN($AD:$AD)</f>
        <v>47</v>
      </c>
      <c r="BZ25" s="4" cm="1">
        <f t="array" ref="BZ25" xml:space="preserve"> COLUMN() - COLUMN($AD:$AD)</f>
        <v>48</v>
      </c>
      <c r="CA25" s="4" cm="1">
        <f t="array" ref="CA25" xml:space="preserve"> COLUMN() - COLUMN($AD:$AD)</f>
        <v>49</v>
      </c>
      <c r="CB25" s="4" cm="1">
        <f t="array" ref="CB25" xml:space="preserve"> COLUMN() - COLUMN($AD:$AD)</f>
        <v>50</v>
      </c>
      <c r="CC25" s="4" cm="1">
        <f t="array" ref="CC25" xml:space="preserve"> COLUMN() - COLUMN($AD:$AD)</f>
        <v>51</v>
      </c>
      <c r="CD25" s="4" cm="1">
        <f t="array" ref="CD25" xml:space="preserve"> COLUMN() - COLUMN($AD:$AD)</f>
        <v>52</v>
      </c>
      <c r="CE25" s="4" cm="1">
        <f t="array" ref="CE25" xml:space="preserve"> COLUMN() - COLUMN($AD:$AD)</f>
        <v>53</v>
      </c>
      <c r="CF25" s="4" cm="1">
        <f t="array" ref="CF25" xml:space="preserve"> COLUMN() - COLUMN($AD:$AD)</f>
        <v>54</v>
      </c>
      <c r="CG25" s="4" cm="1">
        <f t="array" ref="CG25" xml:space="preserve"> COLUMN() - COLUMN($AD:$AD)</f>
        <v>55</v>
      </c>
      <c r="CH25" s="4" cm="1">
        <f t="array" ref="CH25" xml:space="preserve"> COLUMN() - COLUMN($AD:$AD)</f>
        <v>56</v>
      </c>
      <c r="CI25" s="4" cm="1">
        <f t="array" ref="CI25" xml:space="preserve"> COLUMN() - COLUMN($AD:$AD)</f>
        <v>57</v>
      </c>
      <c r="CJ25" s="4" cm="1">
        <f t="array" ref="CJ25" xml:space="preserve"> COLUMN() - COLUMN($AD:$AD)</f>
        <v>58</v>
      </c>
      <c r="CK25" s="4" cm="1">
        <f t="array" ref="CK25" xml:space="preserve"> COLUMN() - COLUMN($AD:$AD)</f>
        <v>59</v>
      </c>
      <c r="CL25" s="4" cm="1">
        <f t="array" ref="CL25" xml:space="preserve"> COLUMN() - COLUMN($AD:$AD)</f>
        <v>60</v>
      </c>
      <c r="CT25" s="5">
        <v>24</v>
      </c>
      <c r="CU25" s="5" t="s">
        <v>224</v>
      </c>
      <c r="CV25" s="5" t="s">
        <v>104</v>
      </c>
      <c r="CW25" s="5" t="s">
        <v>81</v>
      </c>
      <c r="CX25" s="5" t="s">
        <v>173</v>
      </c>
    </row>
    <row r="26" spans="2:102" ht="48.75" customHeight="1">
      <c r="K26" s="5">
        <v>25</v>
      </c>
      <c r="L26" s="6" t="s">
        <v>7</v>
      </c>
      <c r="M26" s="25" t="s">
        <v>91</v>
      </c>
      <c r="N26" s="25" t="s">
        <v>1182</v>
      </c>
      <c r="O26" s="25" t="s">
        <v>17</v>
      </c>
      <c r="P26" s="25" t="s">
        <v>59</v>
      </c>
      <c r="Q26" s="6" t="s">
        <v>160</v>
      </c>
      <c r="R26" s="6" t="s">
        <v>61</v>
      </c>
      <c r="T26" s="5">
        <v>2</v>
      </c>
      <c r="U26" s="6" t="s">
        <v>231</v>
      </c>
      <c r="V26" s="25">
        <v>7</v>
      </c>
      <c r="W26" s="25">
        <v>6</v>
      </c>
      <c r="X26" s="6" t="s">
        <v>608</v>
      </c>
      <c r="Y26" s="6" t="s">
        <v>733</v>
      </c>
      <c r="Z26" s="6" t="s">
        <v>732</v>
      </c>
      <c r="AC26" s="13" t="s">
        <v>66</v>
      </c>
      <c r="AE26" s="14" t="str">
        <f xml:space="preserve"> MID($AE$22,AE$25,1)</f>
        <v>b</v>
      </c>
      <c r="AF26" s="14" t="str">
        <f t="shared" ref="AF26:CL26" si="9" xml:space="preserve"> MID($AE$22,AF$25,1)</f>
        <v>p</v>
      </c>
      <c r="AG26" s="14" t="str">
        <f t="shared" si="9"/>
        <v>P</v>
      </c>
      <c r="AH26" s="14" t="str">
        <f t="shared" si="9"/>
        <v>m</v>
      </c>
      <c r="AI26" s="14" t="str">
        <f t="shared" si="9"/>
        <v>n</v>
      </c>
      <c r="AJ26" s="14" t="str">
        <f t="shared" si="9"/>
        <v>t</v>
      </c>
      <c r="AK26" s="14" t="str">
        <f t="shared" si="9"/>
        <v>T</v>
      </c>
      <c r="AL26" s="14" t="str">
        <f t="shared" si="9"/>
        <v>l</v>
      </c>
      <c r="AM26" s="14" t="str">
        <f t="shared" si="9"/>
        <v>g</v>
      </c>
      <c r="AN26" s="14" t="str">
        <f t="shared" si="9"/>
        <v>k</v>
      </c>
      <c r="AO26" s="14" t="str">
        <f t="shared" si="9"/>
        <v>K</v>
      </c>
      <c r="AP26" s="14" t="str">
        <f t="shared" si="9"/>
        <v>ŋ</v>
      </c>
      <c r="AQ26" s="14" t="str">
        <f t="shared" si="9"/>
        <v>h</v>
      </c>
      <c r="AR26" s="14" t="str">
        <f t="shared" si="9"/>
        <v>j</v>
      </c>
      <c r="AS26" s="14" t="str">
        <f t="shared" si="9"/>
        <v>z</v>
      </c>
      <c r="AT26" s="14" t="str">
        <f t="shared" si="9"/>
        <v>c</v>
      </c>
      <c r="AU26" s="14" t="str">
        <f t="shared" si="9"/>
        <v>s</v>
      </c>
      <c r="AV26" s="14" t="str">
        <f t="shared" si="9"/>
        <v>J</v>
      </c>
      <c r="AW26" s="14" t="str">
        <f t="shared" si="9"/>
        <v>Z</v>
      </c>
      <c r="AX26" s="14" t="str">
        <f t="shared" si="9"/>
        <v>C</v>
      </c>
      <c r="AY26" s="14" t="str">
        <f t="shared" si="9"/>
        <v>S</v>
      </c>
      <c r="AZ26" s="14" t="str">
        <f t="shared" si="9"/>
        <v>a</v>
      </c>
      <c r="BA26" s="14" t="str">
        <f t="shared" si="9"/>
        <v>i</v>
      </c>
      <c r="BB26" s="14" t="str">
        <f t="shared" si="9"/>
        <v>w</v>
      </c>
      <c r="BC26" s="14" t="str">
        <f t="shared" si="9"/>
        <v>u</v>
      </c>
      <c r="BD26" s="14" t="str">
        <f t="shared" si="9"/>
        <v>e</v>
      </c>
      <c r="BE26" s="14" t="str">
        <f t="shared" si="9"/>
        <v>O</v>
      </c>
      <c r="BF26" s="14" t="str">
        <f t="shared" si="9"/>
        <v>ə</v>
      </c>
      <c r="BG26" s="14" t="str">
        <f t="shared" si="9"/>
        <v>M</v>
      </c>
      <c r="BH26" s="14" t="str">
        <f t="shared" si="9"/>
        <v>N</v>
      </c>
      <c r="BI26" s="14" t="str">
        <f t="shared" si="9"/>
        <v>G</v>
      </c>
      <c r="BJ26" s="14" t="str">
        <f t="shared" si="9"/>
        <v>I</v>
      </c>
      <c r="BK26" s="14" t="str">
        <f t="shared" si="9"/>
        <v>U</v>
      </c>
      <c r="BL26" s="14" t="str">
        <f t="shared" si="9"/>
        <v>Y</v>
      </c>
      <c r="BM26" s="14" t="str">
        <f t="shared" si="9"/>
        <v>@</v>
      </c>
      <c r="BN26" s="14" t="str">
        <f t="shared" si="9"/>
        <v>A</v>
      </c>
      <c r="BO26" s="14" t="str">
        <f t="shared" si="9"/>
        <v>W</v>
      </c>
      <c r="BP26" s="14" t="str">
        <f t="shared" si="9"/>
        <v>H</v>
      </c>
      <c r="BQ26" s="14" t="str">
        <f t="shared" si="9"/>
        <v>d</v>
      </c>
      <c r="BR26" s="14" t="str">
        <f t="shared" si="9"/>
        <v>f</v>
      </c>
      <c r="BS26" s="14" t="str">
        <f t="shared" si="9"/>
        <v>q</v>
      </c>
      <c r="BT26" s="14" t="str">
        <f t="shared" si="9"/>
        <v>r</v>
      </c>
      <c r="BU26" s="14" t="str">
        <f t="shared" si="9"/>
        <v>v</v>
      </c>
      <c r="BV26" s="14" t="str">
        <f t="shared" si="9"/>
        <v>x</v>
      </c>
      <c r="BW26" s="14" t="str">
        <f t="shared" si="9"/>
        <v>y</v>
      </c>
      <c r="BX26" s="14" t="str">
        <f t="shared" si="9"/>
        <v>R</v>
      </c>
      <c r="BY26" s="14" t="str">
        <f t="shared" si="9"/>
        <v>F</v>
      </c>
      <c r="BZ26" s="14" t="str">
        <f t="shared" si="9"/>
        <v>Q</v>
      </c>
      <c r="CA26" s="14" t="str">
        <f t="shared" si="9"/>
        <v>V</v>
      </c>
      <c r="CB26" s="14" t="str">
        <f t="shared" si="9"/>
        <v>Ø</v>
      </c>
      <c r="CC26" s="14" t="str">
        <f t="shared" si="9"/>
        <v>L</v>
      </c>
      <c r="CD26" s="14" t="str">
        <f t="shared" si="9"/>
        <v>1</v>
      </c>
      <c r="CE26" s="14" t="str">
        <f t="shared" si="9"/>
        <v>7</v>
      </c>
      <c r="CF26" s="14" t="str">
        <f t="shared" si="9"/>
        <v>3</v>
      </c>
      <c r="CG26" s="14" t="str">
        <f t="shared" si="9"/>
        <v>2</v>
      </c>
      <c r="CH26" s="14" t="str">
        <f t="shared" si="9"/>
        <v>5</v>
      </c>
      <c r="CI26" s="14" t="str">
        <f t="shared" si="9"/>
        <v>4</v>
      </c>
      <c r="CJ26" s="14" t="str">
        <f t="shared" si="9"/>
        <v>8</v>
      </c>
      <c r="CK26" s="14" t="str">
        <f t="shared" si="9"/>
        <v>0</v>
      </c>
      <c r="CL26" s="14" t="str">
        <f t="shared" si="9"/>
        <v>6</v>
      </c>
      <c r="CT26" s="5">
        <v>25</v>
      </c>
      <c r="CU26" s="5" t="s">
        <v>225</v>
      </c>
      <c r="CV26" s="5" t="s">
        <v>100</v>
      </c>
      <c r="CW26" s="5" t="s">
        <v>127</v>
      </c>
      <c r="CX26" s="5" t="s">
        <v>174</v>
      </c>
    </row>
    <row r="27" spans="2:102" ht="48.75" customHeight="1" outlineLevel="1">
      <c r="K27" s="5">
        <v>26</v>
      </c>
      <c r="L27" s="6" t="s">
        <v>70</v>
      </c>
      <c r="M27" s="25" t="s">
        <v>92</v>
      </c>
      <c r="N27" s="25" t="s">
        <v>1183</v>
      </c>
      <c r="O27" s="25" t="s">
        <v>21</v>
      </c>
      <c r="P27" s="25" t="s">
        <v>70</v>
      </c>
      <c r="Q27" s="6" t="s">
        <v>161</v>
      </c>
      <c r="R27" s="6" t="s">
        <v>138</v>
      </c>
      <c r="T27" s="5">
        <v>3</v>
      </c>
      <c r="U27" s="6" t="s">
        <v>615</v>
      </c>
      <c r="V27" s="25">
        <v>3</v>
      </c>
      <c r="W27" s="25">
        <v>5</v>
      </c>
      <c r="X27" s="6" t="s">
        <v>616</v>
      </c>
      <c r="Y27" s="6" t="s">
        <v>712</v>
      </c>
      <c r="Z27" s="6" t="s">
        <v>368</v>
      </c>
      <c r="AC27" s="17" t="s">
        <v>109</v>
      </c>
      <c r="AE27" s="18" t="str">
        <f xml:space="preserve"> MID($AE$23,AE$25,1)</f>
        <v>!</v>
      </c>
      <c r="AF27" s="18" t="str">
        <f t="shared" ref="AF27:CL27" si="10" xml:space="preserve"> MID($AE$23,AF$25,1)</f>
        <v>1</v>
      </c>
      <c r="AG27" s="18" t="str">
        <f t="shared" si="10"/>
        <v>q</v>
      </c>
      <c r="AH27" s="18" t="str">
        <f t="shared" si="10"/>
        <v>a</v>
      </c>
      <c r="AI27" s="18" t="str">
        <f t="shared" si="10"/>
        <v>s</v>
      </c>
      <c r="AJ27" s="18" t="str">
        <f t="shared" si="10"/>
        <v>2</v>
      </c>
      <c r="AK27" s="18" t="str">
        <f t="shared" si="10"/>
        <v>w</v>
      </c>
      <c r="AL27" s="18" t="str">
        <f t="shared" si="10"/>
        <v>x</v>
      </c>
      <c r="AM27" s="18" t="str">
        <f t="shared" si="10"/>
        <v>E</v>
      </c>
      <c r="AN27" s="18" t="str">
        <f t="shared" si="10"/>
        <v>e</v>
      </c>
      <c r="AO27" s="18" t="str">
        <f t="shared" si="10"/>
        <v>d</v>
      </c>
      <c r="AP27" s="18" t="str">
        <f t="shared" si="10"/>
        <v>N</v>
      </c>
      <c r="AQ27" s="18" t="str">
        <f t="shared" si="10"/>
        <v>c</v>
      </c>
      <c r="AR27" s="18" t="str">
        <f t="shared" si="10"/>
        <v>Y</v>
      </c>
      <c r="AS27" s="18" t="str">
        <f t="shared" si="10"/>
        <v>y</v>
      </c>
      <c r="AT27" s="18" t="str">
        <f t="shared" si="10"/>
        <v>h</v>
      </c>
      <c r="AU27" s="18" t="str">
        <f t="shared" si="10"/>
        <v>n</v>
      </c>
      <c r="AV27" s="18" t="str">
        <f t="shared" si="10"/>
        <v>R</v>
      </c>
      <c r="AW27" s="18" t="str">
        <f t="shared" si="10"/>
        <v>r</v>
      </c>
      <c r="AX27" s="18" t="str">
        <f t="shared" si="10"/>
        <v>f</v>
      </c>
      <c r="AY27" s="18" t="str">
        <f t="shared" si="10"/>
        <v>v</v>
      </c>
      <c r="AZ27" s="18" t="str">
        <f t="shared" si="10"/>
        <v>8</v>
      </c>
      <c r="BA27" s="18" t="str">
        <f t="shared" si="10"/>
        <v>u</v>
      </c>
      <c r="BB27" s="18" t="str">
        <f t="shared" si="10"/>
        <v>K</v>
      </c>
      <c r="BC27" s="18" t="str">
        <f t="shared" si="10"/>
        <v>j</v>
      </c>
      <c r="BD27" s="18" t="str">
        <f t="shared" si="10"/>
        <v>,</v>
      </c>
      <c r="BE27" s="18" t="str">
        <f t="shared" si="10"/>
        <v>i</v>
      </c>
      <c r="BF27" s="18" t="str">
        <f t="shared" si="10"/>
        <v>k</v>
      </c>
      <c r="BG27" s="18" t="str">
        <f t="shared" si="10"/>
        <v>m</v>
      </c>
      <c r="BH27" s="18" t="str">
        <f t="shared" si="10"/>
        <v>p</v>
      </c>
      <c r="BI27" s="18" t="str">
        <f t="shared" si="10"/>
        <v>/</v>
      </c>
      <c r="BJ27" s="18" t="str">
        <f t="shared" si="10"/>
        <v>9</v>
      </c>
      <c r="BK27" s="18" t="str">
        <f t="shared" si="10"/>
        <v>l</v>
      </c>
      <c r="BL27" s="18" t="str">
        <f t="shared" si="10"/>
        <v>M</v>
      </c>
      <c r="BM27" s="18" t="str">
        <f t="shared" si="10"/>
        <v>0</v>
      </c>
      <c r="BN27" s="18" t="str">
        <f t="shared" si="10"/>
        <v>;</v>
      </c>
      <c r="BO27" s="18" t="str">
        <f t="shared" si="10"/>
        <v>O</v>
      </c>
      <c r="BP27" s="18" t="str">
        <f t="shared" si="10"/>
        <v>o</v>
      </c>
      <c r="BQ27" s="18" t="str">
        <f t="shared" si="10"/>
        <v>*</v>
      </c>
      <c r="BR27" s="18" t="str">
        <f t="shared" si="10"/>
        <v>U</v>
      </c>
      <c r="BS27" s="18" t="str">
        <f t="shared" si="10"/>
        <v>J</v>
      </c>
      <c r="BT27" s="18" t="str">
        <f t="shared" si="10"/>
        <v>&lt;</v>
      </c>
      <c r="BU27" s="18" t="str">
        <f t="shared" si="10"/>
        <v>I</v>
      </c>
      <c r="BV27" s="18" t="str">
        <f t="shared" si="10"/>
        <v>(</v>
      </c>
      <c r="BW27" s="18" t="str">
        <f t="shared" si="10"/>
        <v>L</v>
      </c>
      <c r="BX27" s="18" t="str">
        <f t="shared" si="10"/>
        <v>b</v>
      </c>
      <c r="BY27" s="18" t="str">
        <f t="shared" si="10"/>
        <v>t</v>
      </c>
      <c r="BZ27" s="18" t="str">
        <f t="shared" si="10"/>
        <v>g</v>
      </c>
      <c r="CA27" s="18" t="str">
        <f t="shared" si="10"/>
        <v>z</v>
      </c>
      <c r="CB27" s="18" t="str">
        <f t="shared" si="10"/>
        <v>=</v>
      </c>
      <c r="CC27" s="18" t="str">
        <f t="shared" si="10"/>
        <v>-</v>
      </c>
      <c r="CD27" s="18" t="str">
        <f t="shared" si="10"/>
        <v>"</v>
      </c>
      <c r="CE27" s="18" t="str">
        <f t="shared" si="10"/>
        <v>5</v>
      </c>
      <c r="CF27" s="18" t="str">
        <f t="shared" si="10"/>
        <v>3</v>
      </c>
      <c r="CG27" s="18" t="str">
        <f t="shared" si="10"/>
        <v>4</v>
      </c>
      <c r="CH27" s="18" t="str">
        <f t="shared" si="10"/>
        <v>6</v>
      </c>
      <c r="CI27" s="18" t="str">
        <f t="shared" si="10"/>
        <v>[</v>
      </c>
      <c r="CJ27" s="18" t="str">
        <f t="shared" si="10"/>
        <v>]</v>
      </c>
      <c r="CK27" s="18" t="str">
        <f t="shared" si="10"/>
        <v>.</v>
      </c>
      <c r="CL27" s="18" t="str">
        <f t="shared" si="10"/>
        <v>7</v>
      </c>
      <c r="CT27" s="5">
        <v>26</v>
      </c>
      <c r="CU27" s="5" t="s">
        <v>226</v>
      </c>
      <c r="CV27" s="5" t="s">
        <v>117</v>
      </c>
      <c r="CW27" s="5" t="s">
        <v>94</v>
      </c>
      <c r="CX27" s="5" t="s">
        <v>175</v>
      </c>
    </row>
    <row r="28" spans="2:102" ht="48.75" customHeight="1" outlineLevel="1">
      <c r="K28" s="5">
        <v>27</v>
      </c>
      <c r="L28" s="6" t="s">
        <v>73</v>
      </c>
      <c r="M28" s="25" t="s">
        <v>201</v>
      </c>
      <c r="N28" s="25" t="s">
        <v>1184</v>
      </c>
      <c r="O28" s="25" t="s">
        <v>25</v>
      </c>
      <c r="P28" s="25" t="s">
        <v>119</v>
      </c>
      <c r="Q28" s="6" t="s">
        <v>162</v>
      </c>
      <c r="R28" s="6" t="s">
        <v>142</v>
      </c>
      <c r="T28" s="5">
        <v>4</v>
      </c>
      <c r="U28" s="6" t="s">
        <v>621</v>
      </c>
      <c r="V28" s="25">
        <v>2</v>
      </c>
      <c r="W28" s="25">
        <v>3</v>
      </c>
      <c r="X28" s="6" t="s">
        <v>617</v>
      </c>
      <c r="Y28" s="6" t="s">
        <v>716</v>
      </c>
      <c r="Z28" s="6" t="s">
        <v>730</v>
      </c>
      <c r="CT28" s="5">
        <v>27</v>
      </c>
      <c r="CU28" s="5" t="s">
        <v>228</v>
      </c>
      <c r="CV28" s="5" t="s">
        <v>101</v>
      </c>
      <c r="CW28" s="5" t="s">
        <v>128</v>
      </c>
      <c r="CX28" s="5" t="s">
        <v>176</v>
      </c>
    </row>
    <row r="29" spans="2:102" ht="48.75" customHeight="1" outlineLevel="1">
      <c r="K29" s="5">
        <v>28</v>
      </c>
      <c r="L29" s="6" t="s">
        <v>121</v>
      </c>
      <c r="M29" s="25" t="s">
        <v>93</v>
      </c>
      <c r="N29" s="25" t="s">
        <v>1178</v>
      </c>
      <c r="O29" s="25" t="s">
        <v>32</v>
      </c>
      <c r="P29" s="25" t="s">
        <v>80</v>
      </c>
      <c r="Q29" s="6" t="s">
        <v>163</v>
      </c>
      <c r="R29" s="6" t="s">
        <v>149</v>
      </c>
      <c r="T29" s="5">
        <v>5</v>
      </c>
      <c r="U29" s="6" t="s">
        <v>120</v>
      </c>
      <c r="V29" s="25">
        <v>5</v>
      </c>
      <c r="W29" s="25">
        <v>2</v>
      </c>
      <c r="X29" s="6" t="s">
        <v>622</v>
      </c>
      <c r="Y29" s="6" t="s">
        <v>714</v>
      </c>
      <c r="Z29" s="6" t="s">
        <v>367</v>
      </c>
      <c r="CT29" s="5">
        <v>28</v>
      </c>
      <c r="CU29" s="5" t="s">
        <v>229</v>
      </c>
      <c r="CV29" s="5" t="s">
        <v>115</v>
      </c>
      <c r="CW29" s="5" t="s">
        <v>102</v>
      </c>
      <c r="CX29" s="5" t="s">
        <v>177</v>
      </c>
    </row>
    <row r="30" spans="2:102" ht="48.75" customHeight="1" outlineLevel="1">
      <c r="L30" s="1"/>
      <c r="M30" s="1"/>
      <c r="N30" s="1"/>
      <c r="O30" s="1"/>
      <c r="P30" s="1"/>
      <c r="Q30" s="1"/>
      <c r="R30" s="1"/>
      <c r="T30" s="5">
        <v>6</v>
      </c>
      <c r="U30" s="6" t="s">
        <v>132</v>
      </c>
      <c r="V30" s="25">
        <v>4</v>
      </c>
      <c r="W30" s="25">
        <v>7</v>
      </c>
      <c r="X30" s="6" t="s">
        <v>609</v>
      </c>
      <c r="Y30" s="6" t="s">
        <v>731</v>
      </c>
      <c r="Z30" s="6" t="s">
        <v>371</v>
      </c>
      <c r="AC30" s="1" t="s">
        <v>227</v>
      </c>
    </row>
    <row r="31" spans="2:102" ht="48.75" customHeight="1" outlineLevel="1">
      <c r="L31" s="1"/>
      <c r="M31" s="1"/>
      <c r="N31" s="1"/>
      <c r="O31" s="1"/>
      <c r="P31" s="1"/>
      <c r="Q31" s="1"/>
      <c r="R31" s="1"/>
      <c r="T31" s="5">
        <v>7</v>
      </c>
      <c r="U31" s="6" t="s">
        <v>131</v>
      </c>
      <c r="V31" s="25">
        <v>8</v>
      </c>
      <c r="W31" s="25">
        <v>8</v>
      </c>
      <c r="X31" s="6" t="s">
        <v>635</v>
      </c>
      <c r="Y31" s="6" t="s">
        <v>734</v>
      </c>
      <c r="Z31" s="6" t="s">
        <v>367</v>
      </c>
      <c r="AC31" s="184" t="s">
        <v>216</v>
      </c>
      <c r="AD31" s="137">
        <f>AD23</f>
        <v>60</v>
      </c>
      <c r="AE31" s="137" t="str">
        <f>AE23</f>
        <v>!1qas2wxEedNcYyhnRrfv8uKj,ikmp/9lM0;Oo*UJ&lt;I(Lbtgz=-"5346[].7</v>
      </c>
    </row>
    <row r="32" spans="2:102" ht="48.75" customHeight="1" outlineLevel="1">
      <c r="K32" s="24" t="s">
        <v>1</v>
      </c>
      <c r="L32" s="24" t="s">
        <v>230</v>
      </c>
      <c r="M32" s="24" t="s">
        <v>4</v>
      </c>
      <c r="N32" s="24" t="s">
        <v>1161</v>
      </c>
      <c r="O32" s="24" t="s">
        <v>3</v>
      </c>
      <c r="P32" s="24" t="s">
        <v>1200</v>
      </c>
      <c r="Q32" s="24" t="s">
        <v>6</v>
      </c>
      <c r="R32" s="66" t="s">
        <v>244</v>
      </c>
      <c r="T32" s="12"/>
      <c r="V32" s="12"/>
      <c r="W32" s="12"/>
      <c r="AC32" s="184" t="s">
        <v>136</v>
      </c>
      <c r="AD32" s="137">
        <f xml:space="preserve"> LEN(AE32)</f>
        <v>60</v>
      </c>
      <c r="AE32" s="137" t="str" cm="1">
        <f t="array" ref="AE32" xml:space="preserve"> _xlfn.CONCAT( TRANSPOSE(H3:H23), TRANSPOSE(Q2:Q29), TRANSPOSE(Q33:Q34), TRANSPOSE(X2:X10))</f>
        <v>ㆠㄅㄆㄇㄋㄉㄊㄌㆣㄍㄎㄫㄏㆡㄗㄘㄙㆢㄐㄑㄒㄚㄧㆨㄨㆤㆦㄜㆬㄣㆭㄞㄠㆰㄢㄤㆱㆲㆩㆪㆫㆥㆧㆮㆯㆴㆵㆻㆷØㄥ一七三二五四八輕ʔ</v>
      </c>
    </row>
    <row r="33" spans="11:90" ht="48.75" customHeight="1" outlineLevel="1">
      <c r="K33" s="5">
        <v>1</v>
      </c>
      <c r="L33" s="157" t="s">
        <v>129</v>
      </c>
      <c r="M33" s="14" t="s">
        <v>58</v>
      </c>
      <c r="N33" s="25"/>
      <c r="O33" s="25"/>
      <c r="P33" s="25" t="s">
        <v>179</v>
      </c>
      <c r="Q33" s="6" t="s">
        <v>179</v>
      </c>
      <c r="R33" s="6" t="s">
        <v>179</v>
      </c>
      <c r="AE33" s="176" t="str">
        <f xml:space="preserve"> _xlfn.CONCAT("    - xlit|", AE31, "|", AE32, "|")</f>
        <v xml:space="preserve">    - xlit|!1qas2wxEedNcYyhnRrfv8uKj,ikmp/9lM0;Oo*UJ&lt;I(Lbtgz=-"5346[].7|ㆠㄅㄆㄇㄋㄉㄊㄌㆣㄍㄎㄫㄏㆡㄗㄘㄙㆢㄐㄑㄒㄚㄧㆨㄨㆤㆦㄜㆬㄣㆭㄞㄠㆰㄢㄤㆱㆲㆩㆪㆫㆥㆧㆮㆯㆴㆵㆻㆷØㄥ一七三二五四八輕ʔ|</v>
      </c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7"/>
      <c r="AX33" s="177"/>
      <c r="AY33" s="177"/>
      <c r="AZ33" s="177"/>
      <c r="BA33" s="177"/>
      <c r="BB33" s="177"/>
      <c r="BC33" s="177"/>
      <c r="BD33" s="177"/>
      <c r="BE33" s="177"/>
      <c r="BF33" s="177"/>
      <c r="BG33" s="177"/>
      <c r="BH33" s="177"/>
      <c r="BI33" s="177"/>
      <c r="BJ33" s="177"/>
      <c r="BK33" s="177"/>
      <c r="BL33" s="177"/>
      <c r="BM33" s="177"/>
      <c r="BN33" s="177"/>
      <c r="BO33" s="177"/>
      <c r="BP33" s="177"/>
      <c r="BQ33" s="177"/>
      <c r="BR33" s="177"/>
      <c r="BS33" s="177"/>
      <c r="BT33" s="177"/>
      <c r="BU33" s="177"/>
      <c r="BV33" s="177"/>
      <c r="BW33" s="177"/>
      <c r="BX33" s="177"/>
      <c r="BY33" s="177"/>
      <c r="BZ33" s="177"/>
      <c r="CA33" s="177"/>
      <c r="CB33" s="177"/>
      <c r="CC33" s="177"/>
      <c r="CD33" s="177"/>
      <c r="CE33" s="177"/>
      <c r="CF33" s="177"/>
      <c r="CG33" s="177"/>
      <c r="CH33" s="177"/>
      <c r="CI33" s="177"/>
      <c r="CJ33" s="177"/>
      <c r="CK33" s="177"/>
      <c r="CL33" s="177"/>
    </row>
    <row r="34" spans="11:90" ht="48.75" customHeight="1" outlineLevel="1">
      <c r="K34" s="5">
        <v>2</v>
      </c>
      <c r="L34" s="18" t="s">
        <v>231</v>
      </c>
      <c r="M34" s="14" t="s">
        <v>102</v>
      </c>
      <c r="N34" s="25"/>
      <c r="O34" s="25"/>
      <c r="P34" s="25" t="s">
        <v>1243</v>
      </c>
      <c r="Q34" s="6" t="s">
        <v>178</v>
      </c>
      <c r="R34" s="6" t="s">
        <v>1207</v>
      </c>
      <c r="AE34" s="185" t="s">
        <v>1244</v>
      </c>
    </row>
    <row r="35" spans="11:90" ht="48.75" customHeight="1">
      <c r="L35" s="1"/>
      <c r="M35" s="1"/>
      <c r="N35" s="1"/>
      <c r="O35" s="1"/>
      <c r="P35" s="1"/>
      <c r="Q35" s="1"/>
      <c r="R35" s="1"/>
      <c r="T35" s="23" t="s">
        <v>193</v>
      </c>
      <c r="U35" s="1" t="s">
        <v>194</v>
      </c>
      <c r="V35" s="1"/>
      <c r="W35" s="1"/>
      <c r="X35" s="1" t="str">
        <f xml:space="preserve"> _xlfn.UNICHAR(HEX2DEC(RIGHT("U+207F",4)))</f>
        <v>ⁿ</v>
      </c>
      <c r="AC35" s="1" t="s">
        <v>204</v>
      </c>
      <c r="AD35" s="1">
        <f xml:space="preserve"> SEARCH("|", $AE$33)</f>
        <v>11</v>
      </c>
    </row>
    <row r="36" spans="11:90" ht="48.75" customHeight="1">
      <c r="L36" s="1"/>
      <c r="M36" s="1"/>
      <c r="N36" s="1"/>
      <c r="O36" s="1"/>
      <c r="P36" s="1"/>
      <c r="Q36" s="1"/>
      <c r="R36" s="1"/>
      <c r="AC36" s="1" t="s">
        <v>207</v>
      </c>
      <c r="AD36" s="1">
        <f xml:space="preserve"> SEARCH("|", $AE$33, AD35+1)</f>
        <v>72</v>
      </c>
    </row>
    <row r="37" spans="11:90" ht="48.75" customHeight="1">
      <c r="L37" s="1"/>
      <c r="M37" s="1"/>
      <c r="N37" s="1"/>
      <c r="O37" s="1"/>
      <c r="P37" s="1"/>
      <c r="Q37" s="1"/>
      <c r="R37" s="1"/>
      <c r="AC37" s="1" t="s">
        <v>209</v>
      </c>
      <c r="AD37" s="1">
        <f xml:space="preserve"> SEARCH("|", $AE$33, AD36+1)</f>
        <v>133</v>
      </c>
    </row>
    <row r="38" spans="11:90" ht="48.75" customHeight="1">
      <c r="L38" s="1"/>
      <c r="M38" s="1"/>
      <c r="N38" s="1"/>
      <c r="O38" s="1"/>
      <c r="P38" s="1"/>
      <c r="Q38" s="1"/>
      <c r="R38" s="1"/>
    </row>
    <row r="39" spans="11:90" ht="48.75" customHeight="1">
      <c r="L39" s="1"/>
      <c r="M39" s="1"/>
      <c r="N39" s="1"/>
      <c r="O39" s="1"/>
      <c r="P39" s="1"/>
      <c r="Q39" s="1"/>
      <c r="R39" s="1"/>
      <c r="AC39" s="1" t="s">
        <v>216</v>
      </c>
      <c r="AD39" s="1">
        <f xml:space="preserve"> LEN(AE39)</f>
        <v>60</v>
      </c>
      <c r="AE39" s="178" t="str">
        <f xml:space="preserve"> MID($AE$33,AD35+1, (AD36-AD35-1))</f>
        <v>!1qas2wxEedNcYyhnRrfv8uKj,ikmp/9lM0;Oo*UJ&lt;I(Lbtgz=-"5346[].7</v>
      </c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8"/>
      <c r="AW39" s="178"/>
      <c r="AX39" s="178"/>
      <c r="AY39" s="178"/>
      <c r="AZ39" s="178"/>
      <c r="BA39" s="178"/>
      <c r="BB39" s="178"/>
      <c r="BC39" s="178"/>
      <c r="BD39" s="178"/>
      <c r="BE39" s="178"/>
      <c r="BF39" s="178"/>
      <c r="BG39" s="178"/>
      <c r="BH39" s="178"/>
      <c r="BI39" s="178"/>
      <c r="BJ39" s="178"/>
      <c r="BK39" s="178"/>
      <c r="BL39" s="178"/>
      <c r="BM39" s="178"/>
      <c r="BN39" s="178"/>
      <c r="BO39" s="178"/>
      <c r="BP39" s="178"/>
      <c r="BQ39" s="178"/>
      <c r="BR39" s="178"/>
      <c r="BS39" s="178"/>
      <c r="BT39" s="178"/>
      <c r="BU39" s="178"/>
      <c r="BV39" s="178"/>
      <c r="BW39" s="178"/>
      <c r="BX39" s="178"/>
      <c r="BY39" s="178"/>
      <c r="BZ39" s="178"/>
      <c r="CA39" s="178"/>
      <c r="CB39" s="178"/>
      <c r="CC39" s="178"/>
      <c r="CD39" s="178"/>
      <c r="CE39" s="178"/>
      <c r="CF39" s="178"/>
      <c r="CG39" s="178"/>
      <c r="CH39" s="178"/>
      <c r="CI39" s="178"/>
      <c r="CJ39" s="178"/>
      <c r="CK39" s="178"/>
      <c r="CL39" s="178"/>
    </row>
    <row r="40" spans="11:90" ht="48.75" customHeight="1">
      <c r="L40" s="1"/>
      <c r="M40" s="1"/>
      <c r="N40" s="1"/>
      <c r="O40" s="1"/>
      <c r="P40" s="1"/>
      <c r="Q40" s="1"/>
      <c r="R40" s="1"/>
      <c r="AC40" s="1" t="s">
        <v>136</v>
      </c>
      <c r="AD40" s="1">
        <f xml:space="preserve"> LEN(AE40)</f>
        <v>60</v>
      </c>
      <c r="AE40" s="178" t="str">
        <f xml:space="preserve"> MID($AE$33,AD36+1, (AD37-AD36-1))</f>
        <v>ㆠㄅㄆㄇㄋㄉㄊㄌㆣㄍㄎㄫㄏㆡㄗㄘㄙㆢㄐㄑㄒㄚㄧㆨㄨㆤㆦㄜㆬㄣㆭㄞㄠㆰㄢㄤㆱㆲㆩㆪㆫㆥㆧㆮㆯㆴㆵㆻㆷØㄥ一七三二五四八輕ʔ</v>
      </c>
      <c r="AF40" s="178"/>
      <c r="AG40" s="178"/>
      <c r="AH40" s="178"/>
      <c r="AI40" s="178"/>
      <c r="AJ40" s="178"/>
      <c r="AK40" s="178"/>
      <c r="AL40" s="178"/>
      <c r="AM40" s="178"/>
      <c r="AN40" s="178"/>
      <c r="AO40" s="178"/>
      <c r="AP40" s="178"/>
      <c r="AQ40" s="178"/>
      <c r="AR40" s="178"/>
      <c r="AS40" s="178"/>
      <c r="AT40" s="178"/>
      <c r="AU40" s="178"/>
      <c r="AV40" s="178"/>
      <c r="AW40" s="178"/>
      <c r="AX40" s="178"/>
      <c r="AY40" s="178"/>
      <c r="AZ40" s="178"/>
      <c r="BA40" s="178"/>
      <c r="BB40" s="178"/>
      <c r="BC40" s="178"/>
      <c r="BD40" s="178"/>
      <c r="BE40" s="178"/>
      <c r="BF40" s="178"/>
      <c r="BG40" s="178"/>
      <c r="BH40" s="178"/>
      <c r="BI40" s="178"/>
      <c r="BJ40" s="178"/>
      <c r="BK40" s="178"/>
      <c r="BL40" s="178"/>
      <c r="BM40" s="178"/>
      <c r="BN40" s="178"/>
      <c r="BO40" s="178"/>
      <c r="BP40" s="178"/>
      <c r="BQ40" s="178"/>
      <c r="BR40" s="178"/>
      <c r="BS40" s="178"/>
      <c r="BT40" s="178"/>
      <c r="BU40" s="178"/>
      <c r="BV40" s="178"/>
      <c r="BW40" s="178"/>
      <c r="BX40" s="178"/>
      <c r="BY40" s="178"/>
      <c r="BZ40" s="178"/>
      <c r="CA40" s="178"/>
      <c r="CB40" s="178"/>
      <c r="CC40" s="178"/>
      <c r="CD40" s="178"/>
      <c r="CE40" s="178"/>
      <c r="CF40" s="178"/>
      <c r="CG40" s="178"/>
      <c r="CH40" s="178"/>
      <c r="CI40" s="178"/>
      <c r="CJ40" s="178"/>
      <c r="CK40" s="178"/>
      <c r="CL40" s="178"/>
    </row>
    <row r="41" spans="11:90" ht="48.75" customHeight="1">
      <c r="L41" s="1"/>
      <c r="M41" s="1"/>
      <c r="N41" s="1"/>
      <c r="O41" s="1"/>
      <c r="P41" s="1"/>
      <c r="Q41" s="1"/>
      <c r="R41" s="1"/>
    </row>
    <row r="42" spans="11:90" ht="48.75" customHeight="1">
      <c r="L42" s="1"/>
      <c r="M42" s="1"/>
      <c r="N42" s="1"/>
      <c r="O42" s="1"/>
      <c r="P42" s="1"/>
      <c r="Q42" s="1"/>
      <c r="R42" s="1"/>
      <c r="AE42" s="4" cm="1">
        <f t="array" ref="AE42" xml:space="preserve"> COLUMN() - COLUMN($AD:$AD)</f>
        <v>1</v>
      </c>
      <c r="AF42" s="4" cm="1">
        <f t="array" ref="AF42" xml:space="preserve"> COLUMN() - COLUMN($AD:$AD)</f>
        <v>2</v>
      </c>
      <c r="AG42" s="4" cm="1">
        <f t="array" ref="AG42" xml:space="preserve"> COLUMN() - COLUMN($AD:$AD)</f>
        <v>3</v>
      </c>
      <c r="AH42" s="4" cm="1">
        <f t="array" ref="AH42" xml:space="preserve"> COLUMN() - COLUMN($AD:$AD)</f>
        <v>4</v>
      </c>
      <c r="AI42" s="4" cm="1">
        <f t="array" ref="AI42" xml:space="preserve"> COLUMN() - COLUMN($AD:$AD)</f>
        <v>5</v>
      </c>
      <c r="AJ42" s="4" cm="1">
        <f t="array" ref="AJ42" xml:space="preserve"> COLUMN() - COLUMN($AD:$AD)</f>
        <v>6</v>
      </c>
      <c r="AK42" s="4" cm="1">
        <f t="array" ref="AK42" xml:space="preserve"> COLUMN() - COLUMN($AD:$AD)</f>
        <v>7</v>
      </c>
      <c r="AL42" s="4" cm="1">
        <f t="array" ref="AL42" xml:space="preserve"> COLUMN() - COLUMN($AD:$AD)</f>
        <v>8</v>
      </c>
      <c r="AM42" s="4" cm="1">
        <f t="array" ref="AM42" xml:space="preserve"> COLUMN() - COLUMN($AD:$AD)</f>
        <v>9</v>
      </c>
      <c r="AN42" s="4" cm="1">
        <f t="array" ref="AN42" xml:space="preserve"> COLUMN() - COLUMN($AD:$AD)</f>
        <v>10</v>
      </c>
      <c r="AO42" s="4" cm="1">
        <f t="array" ref="AO42" xml:space="preserve"> COLUMN() - COLUMN($AD:$AD)</f>
        <v>11</v>
      </c>
      <c r="AP42" s="4" cm="1">
        <f t="array" ref="AP42" xml:space="preserve"> COLUMN() - COLUMN($AD:$AD)</f>
        <v>12</v>
      </c>
      <c r="AQ42" s="4" cm="1">
        <f t="array" ref="AQ42" xml:space="preserve"> COLUMN() - COLUMN($AD:$AD)</f>
        <v>13</v>
      </c>
      <c r="AR42" s="4" cm="1">
        <f t="array" ref="AR42" xml:space="preserve"> COLUMN() - COLUMN($AD:$AD)</f>
        <v>14</v>
      </c>
      <c r="AS42" s="4" cm="1">
        <f t="array" ref="AS42" xml:space="preserve"> COLUMN() - COLUMN($AD:$AD)</f>
        <v>15</v>
      </c>
      <c r="AT42" s="4" cm="1">
        <f t="array" ref="AT42" xml:space="preserve"> COLUMN() - COLUMN($AD:$AD)</f>
        <v>16</v>
      </c>
      <c r="AU42" s="4" cm="1">
        <f t="array" ref="AU42" xml:space="preserve"> COLUMN() - COLUMN($AD:$AD)</f>
        <v>17</v>
      </c>
      <c r="AV42" s="4" cm="1">
        <f t="array" ref="AV42" xml:space="preserve"> COLUMN() - COLUMN($AD:$AD)</f>
        <v>18</v>
      </c>
      <c r="AW42" s="4" cm="1">
        <f t="array" ref="AW42" xml:space="preserve"> COLUMN() - COLUMN($AD:$AD)</f>
        <v>19</v>
      </c>
      <c r="AX42" s="4" cm="1">
        <f t="array" ref="AX42" xml:space="preserve"> COLUMN() - COLUMN($AD:$AD)</f>
        <v>20</v>
      </c>
      <c r="AY42" s="4" cm="1">
        <f t="array" ref="AY42" xml:space="preserve"> COLUMN() - COLUMN($AD:$AD)</f>
        <v>21</v>
      </c>
      <c r="AZ42" s="4" cm="1">
        <f t="array" ref="AZ42" xml:space="preserve"> COLUMN() - COLUMN($AD:$AD)</f>
        <v>22</v>
      </c>
      <c r="BA42" s="4" cm="1">
        <f t="array" ref="BA42" xml:space="preserve"> COLUMN() - COLUMN($AD:$AD)</f>
        <v>23</v>
      </c>
      <c r="BB42" s="4" cm="1">
        <f t="array" ref="BB42" xml:space="preserve"> COLUMN() - COLUMN($AD:$AD)</f>
        <v>24</v>
      </c>
      <c r="BC42" s="4" cm="1">
        <f t="array" ref="BC42" xml:space="preserve"> COLUMN() - COLUMN($AD:$AD)</f>
        <v>25</v>
      </c>
      <c r="BD42" s="4" cm="1">
        <f t="array" ref="BD42" xml:space="preserve"> COLUMN() - COLUMN($AD:$AD)</f>
        <v>26</v>
      </c>
      <c r="BE42" s="4" cm="1">
        <f t="array" ref="BE42" xml:space="preserve"> COLUMN() - COLUMN($AD:$AD)</f>
        <v>27</v>
      </c>
      <c r="BF42" s="4" cm="1">
        <f t="array" ref="BF42" xml:space="preserve"> COLUMN() - COLUMN($AD:$AD)</f>
        <v>28</v>
      </c>
      <c r="BG42" s="4" cm="1">
        <f t="array" ref="BG42" xml:space="preserve"> COLUMN() - COLUMN($AD:$AD)</f>
        <v>29</v>
      </c>
      <c r="BH42" s="4" cm="1">
        <f t="array" ref="BH42" xml:space="preserve"> COLUMN() - COLUMN($AD:$AD)</f>
        <v>30</v>
      </c>
      <c r="BI42" s="4" cm="1">
        <f t="array" ref="BI42" xml:space="preserve"> COLUMN() - COLUMN($AD:$AD)</f>
        <v>31</v>
      </c>
      <c r="BJ42" s="4" cm="1">
        <f t="array" ref="BJ42" xml:space="preserve"> COLUMN() - COLUMN($AD:$AD)</f>
        <v>32</v>
      </c>
      <c r="BK42" s="4" cm="1">
        <f t="array" ref="BK42" xml:space="preserve"> COLUMN() - COLUMN($AD:$AD)</f>
        <v>33</v>
      </c>
      <c r="BL42" s="4" cm="1">
        <f t="array" ref="BL42" xml:space="preserve"> COLUMN() - COLUMN($AD:$AD)</f>
        <v>34</v>
      </c>
      <c r="BM42" s="4" cm="1">
        <f t="array" ref="BM42" xml:space="preserve"> COLUMN() - COLUMN($AD:$AD)</f>
        <v>35</v>
      </c>
      <c r="BN42" s="4" cm="1">
        <f t="array" ref="BN42" xml:space="preserve"> COLUMN() - COLUMN($AD:$AD)</f>
        <v>36</v>
      </c>
      <c r="BO42" s="4" cm="1">
        <f t="array" ref="BO42" xml:space="preserve"> COLUMN() - COLUMN($AD:$AD)</f>
        <v>37</v>
      </c>
      <c r="BP42" s="4" cm="1">
        <f t="array" ref="BP42" xml:space="preserve"> COLUMN() - COLUMN($AD:$AD)</f>
        <v>38</v>
      </c>
      <c r="BQ42" s="4" cm="1">
        <f t="array" ref="BQ42" xml:space="preserve"> COLUMN() - COLUMN($AD:$AD)</f>
        <v>39</v>
      </c>
      <c r="BR42" s="4" cm="1">
        <f t="array" ref="BR42" xml:space="preserve"> COLUMN() - COLUMN($AD:$AD)</f>
        <v>40</v>
      </c>
      <c r="BS42" s="4" cm="1">
        <f t="array" ref="BS42" xml:space="preserve"> COLUMN() - COLUMN($AD:$AD)</f>
        <v>41</v>
      </c>
      <c r="BT42" s="4" cm="1">
        <f t="array" ref="BT42" xml:space="preserve"> COLUMN() - COLUMN($AD:$AD)</f>
        <v>42</v>
      </c>
      <c r="BU42" s="4" cm="1">
        <f t="array" ref="BU42" xml:space="preserve"> COLUMN() - COLUMN($AD:$AD)</f>
        <v>43</v>
      </c>
      <c r="BV42" s="4" cm="1">
        <f t="array" ref="BV42" xml:space="preserve"> COLUMN() - COLUMN($AD:$AD)</f>
        <v>44</v>
      </c>
      <c r="BW42" s="4" cm="1">
        <f t="array" ref="BW42" xml:space="preserve"> COLUMN() - COLUMN($AD:$AD)</f>
        <v>45</v>
      </c>
      <c r="BX42" s="4" cm="1">
        <f t="array" ref="BX42" xml:space="preserve"> COLUMN() - COLUMN($AD:$AD)</f>
        <v>46</v>
      </c>
      <c r="BY42" s="4" cm="1">
        <f t="array" ref="BY42" xml:space="preserve"> COLUMN() - COLUMN($AD:$AD)</f>
        <v>47</v>
      </c>
      <c r="BZ42" s="4" cm="1">
        <f t="array" ref="BZ42" xml:space="preserve"> COLUMN() - COLUMN($AD:$AD)</f>
        <v>48</v>
      </c>
      <c r="CA42" s="4" cm="1">
        <f t="array" ref="CA42" xml:space="preserve"> COLUMN() - COLUMN($AD:$AD)</f>
        <v>49</v>
      </c>
      <c r="CB42" s="4" cm="1">
        <f t="array" ref="CB42" xml:space="preserve"> COLUMN() - COLUMN($AD:$AD)</f>
        <v>50</v>
      </c>
      <c r="CC42" s="4" cm="1">
        <f t="array" ref="CC42" xml:space="preserve"> COLUMN() - COLUMN($AD:$AD)</f>
        <v>51</v>
      </c>
      <c r="CD42" s="4" cm="1">
        <f t="array" ref="CD42" xml:space="preserve"> COLUMN() - COLUMN($AD:$AD)</f>
        <v>52</v>
      </c>
      <c r="CE42" s="4" cm="1">
        <f t="array" ref="CE42" xml:space="preserve"> COLUMN() - COLUMN($AD:$AD)</f>
        <v>53</v>
      </c>
      <c r="CF42" s="4" cm="1">
        <f t="array" ref="CF42" xml:space="preserve"> COLUMN() - COLUMN($AD:$AD)</f>
        <v>54</v>
      </c>
      <c r="CG42" s="4" cm="1">
        <f t="array" ref="CG42" xml:space="preserve"> COLUMN() - COLUMN($AD:$AD)</f>
        <v>55</v>
      </c>
      <c r="CH42" s="4" cm="1">
        <f t="array" ref="CH42" xml:space="preserve"> COLUMN() - COLUMN($AD:$AD)</f>
        <v>56</v>
      </c>
      <c r="CI42" s="4" cm="1">
        <f t="array" ref="CI42" xml:space="preserve"> COLUMN() - COLUMN($AD:$AD)</f>
        <v>57</v>
      </c>
      <c r="CJ42" s="4" cm="1">
        <f t="array" ref="CJ42" xml:space="preserve"> COLUMN() - COLUMN($AD:$AD)</f>
        <v>58</v>
      </c>
      <c r="CK42" s="4" cm="1">
        <f t="array" ref="CK42" xml:space="preserve"> COLUMN() - COLUMN($AD:$AD)</f>
        <v>59</v>
      </c>
      <c r="CL42" s="4" cm="1">
        <f t="array" ref="CL42" xml:space="preserve"> COLUMN() - COLUMN($AD:$AD)</f>
        <v>60</v>
      </c>
    </row>
    <row r="43" spans="11:90" ht="48.75" customHeight="1">
      <c r="L43" s="1"/>
      <c r="M43" s="1"/>
      <c r="N43" s="1"/>
      <c r="O43" s="1"/>
      <c r="P43" s="1"/>
      <c r="Q43" s="1"/>
      <c r="R43" s="1"/>
      <c r="AC43" s="13" t="s">
        <v>66</v>
      </c>
      <c r="AE43" s="14" t="str">
        <f t="shared" ref="AE43:BJ43" si="11">AE26</f>
        <v>b</v>
      </c>
      <c r="AF43" s="14" t="str">
        <f t="shared" si="11"/>
        <v>p</v>
      </c>
      <c r="AG43" s="14" t="str">
        <f t="shared" si="11"/>
        <v>P</v>
      </c>
      <c r="AH43" s="14" t="str">
        <f t="shared" si="11"/>
        <v>m</v>
      </c>
      <c r="AI43" s="14" t="str">
        <f t="shared" si="11"/>
        <v>n</v>
      </c>
      <c r="AJ43" s="14" t="str">
        <f t="shared" si="11"/>
        <v>t</v>
      </c>
      <c r="AK43" s="14" t="str">
        <f t="shared" si="11"/>
        <v>T</v>
      </c>
      <c r="AL43" s="14" t="str">
        <f t="shared" si="11"/>
        <v>l</v>
      </c>
      <c r="AM43" s="14" t="str">
        <f t="shared" si="11"/>
        <v>g</v>
      </c>
      <c r="AN43" s="14" t="str">
        <f t="shared" si="11"/>
        <v>k</v>
      </c>
      <c r="AO43" s="14" t="str">
        <f t="shared" si="11"/>
        <v>K</v>
      </c>
      <c r="AP43" s="14" t="str">
        <f t="shared" si="11"/>
        <v>ŋ</v>
      </c>
      <c r="AQ43" s="14" t="str">
        <f t="shared" si="11"/>
        <v>h</v>
      </c>
      <c r="AR43" s="14" t="str">
        <f t="shared" si="11"/>
        <v>j</v>
      </c>
      <c r="AS43" s="14" t="str">
        <f t="shared" si="11"/>
        <v>z</v>
      </c>
      <c r="AT43" s="14" t="str">
        <f t="shared" si="11"/>
        <v>c</v>
      </c>
      <c r="AU43" s="14" t="str">
        <f t="shared" si="11"/>
        <v>s</v>
      </c>
      <c r="AV43" s="14" t="str">
        <f t="shared" si="11"/>
        <v>J</v>
      </c>
      <c r="AW43" s="14" t="str">
        <f t="shared" si="11"/>
        <v>Z</v>
      </c>
      <c r="AX43" s="14" t="str">
        <f t="shared" si="11"/>
        <v>C</v>
      </c>
      <c r="AY43" s="14" t="str">
        <f t="shared" si="11"/>
        <v>S</v>
      </c>
      <c r="AZ43" s="14" t="str">
        <f t="shared" si="11"/>
        <v>a</v>
      </c>
      <c r="BA43" s="14" t="str">
        <f t="shared" si="11"/>
        <v>i</v>
      </c>
      <c r="BB43" s="14" t="str">
        <f t="shared" si="11"/>
        <v>w</v>
      </c>
      <c r="BC43" s="14" t="str">
        <f t="shared" si="11"/>
        <v>u</v>
      </c>
      <c r="BD43" s="14" t="str">
        <f t="shared" si="11"/>
        <v>e</v>
      </c>
      <c r="BE43" s="14" t="str">
        <f t="shared" si="11"/>
        <v>O</v>
      </c>
      <c r="BF43" s="14" t="str">
        <f t="shared" si="11"/>
        <v>ə</v>
      </c>
      <c r="BG43" s="14" t="str">
        <f t="shared" si="11"/>
        <v>M</v>
      </c>
      <c r="BH43" s="14" t="str">
        <f t="shared" si="11"/>
        <v>N</v>
      </c>
      <c r="BI43" s="14" t="str">
        <f t="shared" si="11"/>
        <v>G</v>
      </c>
      <c r="BJ43" s="14" t="str">
        <f t="shared" si="11"/>
        <v>I</v>
      </c>
      <c r="BK43" s="14" t="str">
        <f t="shared" ref="BK43:CJ43" si="12">BK26</f>
        <v>U</v>
      </c>
      <c r="BL43" s="14" t="str">
        <f t="shared" si="12"/>
        <v>Y</v>
      </c>
      <c r="BM43" s="14" t="str">
        <f t="shared" si="12"/>
        <v>@</v>
      </c>
      <c r="BN43" s="14" t="str">
        <f t="shared" si="12"/>
        <v>A</v>
      </c>
      <c r="BO43" s="14" t="str">
        <f t="shared" si="12"/>
        <v>W</v>
      </c>
      <c r="BP43" s="14" t="str">
        <f t="shared" si="12"/>
        <v>H</v>
      </c>
      <c r="BQ43" s="14" t="str">
        <f t="shared" si="12"/>
        <v>d</v>
      </c>
      <c r="BR43" s="14" t="str">
        <f t="shared" si="12"/>
        <v>f</v>
      </c>
      <c r="BS43" s="14" t="str">
        <f t="shared" si="12"/>
        <v>q</v>
      </c>
      <c r="BT43" s="14" t="str">
        <f t="shared" si="12"/>
        <v>r</v>
      </c>
      <c r="BU43" s="14" t="str">
        <f t="shared" si="12"/>
        <v>v</v>
      </c>
      <c r="BV43" s="14" t="str">
        <f t="shared" si="12"/>
        <v>x</v>
      </c>
      <c r="BW43" s="14" t="str">
        <f t="shared" si="12"/>
        <v>y</v>
      </c>
      <c r="BX43" s="14" t="str">
        <f t="shared" si="12"/>
        <v>R</v>
      </c>
      <c r="BY43" s="14" t="str">
        <f t="shared" si="12"/>
        <v>F</v>
      </c>
      <c r="BZ43" s="14" t="str">
        <f t="shared" si="12"/>
        <v>Q</v>
      </c>
      <c r="CA43" s="14" t="str">
        <f t="shared" si="12"/>
        <v>V</v>
      </c>
      <c r="CB43" s="14" t="str">
        <f t="shared" si="12"/>
        <v>Ø</v>
      </c>
      <c r="CC43" s="14" t="str">
        <f t="shared" si="12"/>
        <v>L</v>
      </c>
      <c r="CD43" s="14" t="str">
        <f t="shared" si="12"/>
        <v>1</v>
      </c>
      <c r="CE43" s="14" t="str">
        <f t="shared" si="12"/>
        <v>7</v>
      </c>
      <c r="CF43" s="14" t="str">
        <f t="shared" si="12"/>
        <v>3</v>
      </c>
      <c r="CG43" s="14" t="str">
        <f t="shared" si="12"/>
        <v>2</v>
      </c>
      <c r="CH43" s="14" t="str">
        <f t="shared" si="12"/>
        <v>5</v>
      </c>
      <c r="CI43" s="14" t="str">
        <f t="shared" si="12"/>
        <v>4</v>
      </c>
      <c r="CJ43" s="14" t="str">
        <f t="shared" si="12"/>
        <v>8</v>
      </c>
      <c r="CK43" s="14" t="str">
        <f xml:space="preserve"> _xlfn.XLOOKUP(CK44, $AE$27:$CL$27,$AE$26:$CL$26, "")</f>
        <v>0</v>
      </c>
      <c r="CL43" s="14" t="str">
        <f xml:space="preserve"> _xlfn.XLOOKUP(CL44, $AE$27:$CL$27,$AE$26:$CL$26, "")</f>
        <v>6</v>
      </c>
    </row>
    <row r="44" spans="11:90" ht="48.75" customHeight="1">
      <c r="L44" s="1"/>
      <c r="M44" s="1"/>
      <c r="N44" s="1"/>
      <c r="O44" s="1"/>
      <c r="P44" s="1"/>
      <c r="Q44" s="1"/>
      <c r="R44" s="1"/>
      <c r="AC44" s="17" t="s">
        <v>109</v>
      </c>
      <c r="AE44" s="18" t="str">
        <f t="shared" ref="AE44:CL44" si="13" xml:space="preserve"> MID($AE$39,AE$42,1)</f>
        <v>!</v>
      </c>
      <c r="AF44" s="18" t="str">
        <f t="shared" si="13"/>
        <v>1</v>
      </c>
      <c r="AG44" s="18" t="str">
        <f t="shared" si="13"/>
        <v>q</v>
      </c>
      <c r="AH44" s="18" t="str">
        <f t="shared" si="13"/>
        <v>a</v>
      </c>
      <c r="AI44" s="18" t="str">
        <f t="shared" si="13"/>
        <v>s</v>
      </c>
      <c r="AJ44" s="18" t="str">
        <f t="shared" si="13"/>
        <v>2</v>
      </c>
      <c r="AK44" s="18" t="str">
        <f t="shared" si="13"/>
        <v>w</v>
      </c>
      <c r="AL44" s="18" t="str">
        <f t="shared" si="13"/>
        <v>x</v>
      </c>
      <c r="AM44" s="18" t="str">
        <f t="shared" si="13"/>
        <v>E</v>
      </c>
      <c r="AN44" s="18" t="str">
        <f t="shared" si="13"/>
        <v>e</v>
      </c>
      <c r="AO44" s="18" t="str">
        <f t="shared" si="13"/>
        <v>d</v>
      </c>
      <c r="AP44" s="18" t="str">
        <f t="shared" si="13"/>
        <v>N</v>
      </c>
      <c r="AQ44" s="18" t="str">
        <f t="shared" si="13"/>
        <v>c</v>
      </c>
      <c r="AR44" s="18" t="str">
        <f t="shared" si="13"/>
        <v>Y</v>
      </c>
      <c r="AS44" s="18" t="str">
        <f t="shared" si="13"/>
        <v>y</v>
      </c>
      <c r="AT44" s="18" t="str">
        <f t="shared" si="13"/>
        <v>h</v>
      </c>
      <c r="AU44" s="18" t="str">
        <f t="shared" si="13"/>
        <v>n</v>
      </c>
      <c r="AV44" s="18" t="str">
        <f t="shared" si="13"/>
        <v>R</v>
      </c>
      <c r="AW44" s="18" t="str">
        <f t="shared" si="13"/>
        <v>r</v>
      </c>
      <c r="AX44" s="18" t="str">
        <f t="shared" si="13"/>
        <v>f</v>
      </c>
      <c r="AY44" s="18" t="str">
        <f t="shared" si="13"/>
        <v>v</v>
      </c>
      <c r="AZ44" s="18" t="str">
        <f t="shared" si="13"/>
        <v>8</v>
      </c>
      <c r="BA44" s="18" t="str">
        <f t="shared" si="13"/>
        <v>u</v>
      </c>
      <c r="BB44" s="18" t="str">
        <f t="shared" si="13"/>
        <v>K</v>
      </c>
      <c r="BC44" s="18" t="str">
        <f t="shared" si="13"/>
        <v>j</v>
      </c>
      <c r="BD44" s="18" t="str">
        <f t="shared" si="13"/>
        <v>,</v>
      </c>
      <c r="BE44" s="18" t="str">
        <f t="shared" si="13"/>
        <v>i</v>
      </c>
      <c r="BF44" s="18" t="str">
        <f t="shared" si="13"/>
        <v>k</v>
      </c>
      <c r="BG44" s="18" t="str">
        <f t="shared" si="13"/>
        <v>m</v>
      </c>
      <c r="BH44" s="18" t="str">
        <f t="shared" si="13"/>
        <v>p</v>
      </c>
      <c r="BI44" s="18" t="str">
        <f t="shared" si="13"/>
        <v>/</v>
      </c>
      <c r="BJ44" s="18" t="str">
        <f t="shared" si="13"/>
        <v>9</v>
      </c>
      <c r="BK44" s="18" t="str">
        <f t="shared" si="13"/>
        <v>l</v>
      </c>
      <c r="BL44" s="18" t="str">
        <f t="shared" si="13"/>
        <v>M</v>
      </c>
      <c r="BM44" s="18" t="str">
        <f t="shared" si="13"/>
        <v>0</v>
      </c>
      <c r="BN44" s="18" t="str">
        <f t="shared" si="13"/>
        <v>;</v>
      </c>
      <c r="BO44" s="18" t="str">
        <f t="shared" si="13"/>
        <v>O</v>
      </c>
      <c r="BP44" s="18" t="str">
        <f t="shared" si="13"/>
        <v>o</v>
      </c>
      <c r="BQ44" s="18" t="str">
        <f t="shared" si="13"/>
        <v>*</v>
      </c>
      <c r="BR44" s="18" t="str">
        <f t="shared" si="13"/>
        <v>U</v>
      </c>
      <c r="BS44" s="18" t="str">
        <f t="shared" si="13"/>
        <v>J</v>
      </c>
      <c r="BT44" s="18" t="str">
        <f t="shared" si="13"/>
        <v>&lt;</v>
      </c>
      <c r="BU44" s="18" t="str">
        <f t="shared" si="13"/>
        <v>I</v>
      </c>
      <c r="BV44" s="18" t="str">
        <f t="shared" si="13"/>
        <v>(</v>
      </c>
      <c r="BW44" s="18" t="str">
        <f t="shared" si="13"/>
        <v>L</v>
      </c>
      <c r="BX44" s="18" t="str">
        <f t="shared" si="13"/>
        <v>b</v>
      </c>
      <c r="BY44" s="18" t="str">
        <f t="shared" si="13"/>
        <v>t</v>
      </c>
      <c r="BZ44" s="18" t="str">
        <f t="shared" si="13"/>
        <v>g</v>
      </c>
      <c r="CA44" s="18" t="str">
        <f t="shared" si="13"/>
        <v>z</v>
      </c>
      <c r="CB44" s="18" t="str">
        <f t="shared" si="13"/>
        <v>=</v>
      </c>
      <c r="CC44" s="18" t="str">
        <f t="shared" si="13"/>
        <v>-</v>
      </c>
      <c r="CD44" s="18" t="str">
        <f t="shared" si="13"/>
        <v>"</v>
      </c>
      <c r="CE44" s="18" t="str">
        <f t="shared" si="13"/>
        <v>5</v>
      </c>
      <c r="CF44" s="18" t="str">
        <f t="shared" si="13"/>
        <v>3</v>
      </c>
      <c r="CG44" s="18" t="str">
        <f t="shared" si="13"/>
        <v>4</v>
      </c>
      <c r="CH44" s="18" t="str">
        <f t="shared" si="13"/>
        <v>6</v>
      </c>
      <c r="CI44" s="18" t="str">
        <f t="shared" si="13"/>
        <v>[</v>
      </c>
      <c r="CJ44" s="18" t="str">
        <f t="shared" si="13"/>
        <v>]</v>
      </c>
      <c r="CK44" s="18" t="str">
        <f t="shared" si="13"/>
        <v>.</v>
      </c>
      <c r="CL44" s="18" t="str">
        <f t="shared" si="13"/>
        <v>7</v>
      </c>
    </row>
    <row r="45" spans="11:90" ht="48.75" customHeight="1">
      <c r="L45" s="1"/>
      <c r="M45" s="1"/>
      <c r="N45" s="1"/>
      <c r="O45" s="1"/>
      <c r="P45" s="1"/>
      <c r="Q45" s="1"/>
      <c r="R45" s="1"/>
      <c r="AC45" s="21" t="s">
        <v>136</v>
      </c>
      <c r="AE45" s="6" t="str">
        <f t="shared" ref="AE45:CL45" si="14" xml:space="preserve"> MID($AE$40,AE$42,1)</f>
        <v>ㆠ</v>
      </c>
      <c r="AF45" s="6" t="str">
        <f t="shared" si="14"/>
        <v>ㄅ</v>
      </c>
      <c r="AG45" s="6" t="str">
        <f t="shared" si="14"/>
        <v>ㄆ</v>
      </c>
      <c r="AH45" s="6" t="str">
        <f t="shared" si="14"/>
        <v>ㄇ</v>
      </c>
      <c r="AI45" s="6" t="str">
        <f t="shared" si="14"/>
        <v>ㄋ</v>
      </c>
      <c r="AJ45" s="6" t="str">
        <f t="shared" si="14"/>
        <v>ㄉ</v>
      </c>
      <c r="AK45" s="6" t="str">
        <f t="shared" si="14"/>
        <v>ㄊ</v>
      </c>
      <c r="AL45" s="6" t="str">
        <f t="shared" si="14"/>
        <v>ㄌ</v>
      </c>
      <c r="AM45" s="6" t="str">
        <f t="shared" si="14"/>
        <v>ㆣ</v>
      </c>
      <c r="AN45" s="6" t="str">
        <f t="shared" si="14"/>
        <v>ㄍ</v>
      </c>
      <c r="AO45" s="6" t="str">
        <f t="shared" si="14"/>
        <v>ㄎ</v>
      </c>
      <c r="AP45" s="6" t="str">
        <f t="shared" si="14"/>
        <v>ㄫ</v>
      </c>
      <c r="AQ45" s="6" t="str">
        <f t="shared" si="14"/>
        <v>ㄏ</v>
      </c>
      <c r="AR45" s="6" t="str">
        <f t="shared" si="14"/>
        <v>ㆡ</v>
      </c>
      <c r="AS45" s="6" t="str">
        <f t="shared" si="14"/>
        <v>ㄗ</v>
      </c>
      <c r="AT45" s="6" t="str">
        <f t="shared" si="14"/>
        <v>ㄘ</v>
      </c>
      <c r="AU45" s="6" t="str">
        <f t="shared" si="14"/>
        <v>ㄙ</v>
      </c>
      <c r="AV45" s="6" t="str">
        <f t="shared" si="14"/>
        <v>ㆢ</v>
      </c>
      <c r="AW45" s="6" t="str">
        <f t="shared" si="14"/>
        <v>ㄐ</v>
      </c>
      <c r="AX45" s="6" t="str">
        <f t="shared" si="14"/>
        <v>ㄑ</v>
      </c>
      <c r="AY45" s="6" t="str">
        <f t="shared" si="14"/>
        <v>ㄒ</v>
      </c>
      <c r="AZ45" s="6" t="str">
        <f t="shared" si="14"/>
        <v>ㄚ</v>
      </c>
      <c r="BA45" s="6" t="str">
        <f t="shared" si="14"/>
        <v>ㄧ</v>
      </c>
      <c r="BB45" s="6" t="str">
        <f t="shared" si="14"/>
        <v>ㆨ</v>
      </c>
      <c r="BC45" s="6" t="str">
        <f t="shared" si="14"/>
        <v>ㄨ</v>
      </c>
      <c r="BD45" s="6" t="str">
        <f t="shared" si="14"/>
        <v>ㆤ</v>
      </c>
      <c r="BE45" s="6" t="str">
        <f t="shared" si="14"/>
        <v>ㆦ</v>
      </c>
      <c r="BF45" s="6" t="str">
        <f t="shared" si="14"/>
        <v>ㄜ</v>
      </c>
      <c r="BG45" s="6" t="str">
        <f t="shared" si="14"/>
        <v>ㆬ</v>
      </c>
      <c r="BH45" s="6" t="str">
        <f t="shared" si="14"/>
        <v>ㄣ</v>
      </c>
      <c r="BI45" s="6" t="str">
        <f t="shared" si="14"/>
        <v>ㆭ</v>
      </c>
      <c r="BJ45" s="6" t="str">
        <f t="shared" si="14"/>
        <v>ㄞ</v>
      </c>
      <c r="BK45" s="6" t="str">
        <f t="shared" si="14"/>
        <v>ㄠ</v>
      </c>
      <c r="BL45" s="6" t="str">
        <f t="shared" si="14"/>
        <v>ㆰ</v>
      </c>
      <c r="BM45" s="6" t="str">
        <f t="shared" si="14"/>
        <v>ㄢ</v>
      </c>
      <c r="BN45" s="6" t="str">
        <f t="shared" si="14"/>
        <v>ㄤ</v>
      </c>
      <c r="BO45" s="6" t="str">
        <f t="shared" si="14"/>
        <v>ㆱ</v>
      </c>
      <c r="BP45" s="6" t="str">
        <f t="shared" si="14"/>
        <v>ㆲ</v>
      </c>
      <c r="BQ45" s="6" t="str">
        <f t="shared" si="14"/>
        <v>ㆩ</v>
      </c>
      <c r="BR45" s="6" t="str">
        <f t="shared" si="14"/>
        <v>ㆪ</v>
      </c>
      <c r="BS45" s="6" t="str">
        <f t="shared" si="14"/>
        <v>ㆫ</v>
      </c>
      <c r="BT45" s="6" t="str">
        <f t="shared" si="14"/>
        <v>ㆥ</v>
      </c>
      <c r="BU45" s="6" t="str">
        <f t="shared" si="14"/>
        <v>ㆧ</v>
      </c>
      <c r="BV45" s="6" t="str">
        <f t="shared" si="14"/>
        <v>ㆮ</v>
      </c>
      <c r="BW45" s="6" t="str">
        <f t="shared" si="14"/>
        <v>ㆯ</v>
      </c>
      <c r="BX45" s="6" t="str">
        <f t="shared" si="14"/>
        <v>ㆴ</v>
      </c>
      <c r="BY45" s="6" t="str">
        <f t="shared" si="14"/>
        <v>ㆵ</v>
      </c>
      <c r="BZ45" s="6" t="str">
        <f t="shared" si="14"/>
        <v>ㆻ</v>
      </c>
      <c r="CA45" s="6" t="str">
        <f t="shared" si="14"/>
        <v>ㆷ</v>
      </c>
      <c r="CB45" s="6" t="str">
        <f t="shared" si="14"/>
        <v>Ø</v>
      </c>
      <c r="CC45" s="6" t="str">
        <f t="shared" si="14"/>
        <v>ㄥ</v>
      </c>
      <c r="CD45" s="6" t="str">
        <f t="shared" si="14"/>
        <v>一</v>
      </c>
      <c r="CE45" s="6" t="str">
        <f t="shared" si="14"/>
        <v>七</v>
      </c>
      <c r="CF45" s="6" t="str">
        <f t="shared" si="14"/>
        <v>三</v>
      </c>
      <c r="CG45" s="6" t="str">
        <f t="shared" si="14"/>
        <v>二</v>
      </c>
      <c r="CH45" s="6" t="str">
        <f t="shared" si="14"/>
        <v>五</v>
      </c>
      <c r="CI45" s="6" t="str">
        <f t="shared" si="14"/>
        <v>四</v>
      </c>
      <c r="CJ45" s="6" t="str">
        <f t="shared" si="14"/>
        <v>八</v>
      </c>
      <c r="CK45" s="6" t="str">
        <f t="shared" si="14"/>
        <v>輕</v>
      </c>
      <c r="CL45" s="6" t="str">
        <f t="shared" si="14"/>
        <v>ʔ</v>
      </c>
    </row>
    <row r="46" spans="11:90" ht="48.75" customHeight="1">
      <c r="L46" s="1"/>
      <c r="M46" s="1"/>
      <c r="N46" s="1"/>
      <c r="O46" s="1"/>
      <c r="P46" s="1"/>
      <c r="Q46" s="1"/>
      <c r="R46" s="1"/>
    </row>
    <row r="47" spans="11:90" ht="48.75" customHeight="1">
      <c r="L47" s="1"/>
      <c r="M47" s="1"/>
      <c r="N47" s="1"/>
      <c r="O47" s="1"/>
      <c r="P47" s="1"/>
      <c r="Q47" s="1"/>
      <c r="R47" s="1"/>
    </row>
    <row r="48" spans="11:90" ht="48.75" customHeight="1">
      <c r="L48" s="1"/>
      <c r="M48" s="1"/>
      <c r="N48" s="1"/>
      <c r="O48" s="1"/>
      <c r="P48" s="1"/>
      <c r="Q48" s="1"/>
      <c r="R48" s="1"/>
    </row>
    <row r="49" spans="12:18" ht="48.75" customHeight="1">
      <c r="L49" s="1"/>
      <c r="M49" s="1"/>
      <c r="N49" s="1"/>
      <c r="O49" s="1"/>
      <c r="P49" s="1"/>
      <c r="Q49" s="1"/>
      <c r="R49" s="1"/>
    </row>
    <row r="50" spans="12:18" ht="48.75" customHeight="1">
      <c r="L50" s="1"/>
      <c r="M50" s="1"/>
      <c r="N50" s="1"/>
      <c r="O50" s="1"/>
      <c r="P50" s="1"/>
      <c r="Q50" s="1"/>
      <c r="R50" s="1"/>
    </row>
    <row r="51" spans="12:18" ht="48.75" customHeight="1">
      <c r="L51" s="1"/>
      <c r="M51" s="1"/>
      <c r="N51" s="1"/>
      <c r="O51" s="1"/>
      <c r="P51" s="1"/>
      <c r="Q51" s="1"/>
      <c r="R51" s="1"/>
    </row>
    <row r="52" spans="12:18" ht="48.75" customHeight="1">
      <c r="L52" s="1"/>
      <c r="M52" s="1"/>
      <c r="N52" s="1"/>
      <c r="O52" s="1"/>
      <c r="P52" s="1"/>
      <c r="Q52" s="1"/>
      <c r="R52" s="1"/>
    </row>
    <row r="53" spans="12:18" ht="48.75" customHeight="1">
      <c r="L53" s="1"/>
      <c r="M53" s="1"/>
      <c r="N53" s="1"/>
      <c r="O53" s="1"/>
      <c r="P53" s="1"/>
      <c r="Q53" s="1"/>
      <c r="R53" s="1"/>
    </row>
    <row r="54" spans="12:18" ht="48.75" customHeight="1">
      <c r="L54" s="1"/>
      <c r="M54" s="1"/>
      <c r="N54" s="1"/>
      <c r="O54" s="1"/>
      <c r="P54" s="1"/>
      <c r="Q54" s="1"/>
      <c r="R54" s="1"/>
    </row>
    <row r="55" spans="12:18" ht="48.75" customHeight="1">
      <c r="L55" s="1"/>
      <c r="M55" s="1"/>
      <c r="N55" s="1"/>
      <c r="O55" s="1"/>
      <c r="P55" s="1"/>
      <c r="Q55" s="1"/>
      <c r="R55" s="1"/>
    </row>
    <row r="56" spans="12:18" ht="48.75" customHeight="1">
      <c r="L56" s="1"/>
      <c r="M56" s="1"/>
      <c r="N56" s="1"/>
      <c r="O56" s="1"/>
      <c r="P56" s="1"/>
      <c r="Q56" s="1"/>
      <c r="R56" s="1"/>
    </row>
    <row r="57" spans="12:18">
      <c r="L57" s="1"/>
      <c r="M57" s="1"/>
      <c r="N57" s="1"/>
      <c r="O57" s="1"/>
      <c r="P57" s="1"/>
      <c r="Q57" s="1"/>
      <c r="R57" s="1"/>
    </row>
    <row r="58" spans="12:18">
      <c r="L58" s="1"/>
      <c r="M58" s="1"/>
      <c r="N58" s="1"/>
      <c r="O58" s="1"/>
      <c r="P58" s="1"/>
      <c r="Q58" s="1"/>
      <c r="R58" s="1"/>
    </row>
    <row r="59" spans="12:18">
      <c r="L59" s="1"/>
      <c r="M59" s="1"/>
      <c r="N59" s="1"/>
      <c r="O59" s="1"/>
      <c r="P59" s="1"/>
      <c r="Q59" s="1"/>
      <c r="R59" s="1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4630-A5F0-42A4-90A7-E7793903ACB2}">
  <dimension ref="B3:AD29"/>
  <sheetViews>
    <sheetView workbookViewId="0"/>
  </sheetViews>
  <sheetFormatPr defaultRowHeight="21"/>
  <cols>
    <col min="2" max="2" width="11.5" customWidth="1"/>
    <col min="3" max="23" width="4" style="167" customWidth="1"/>
    <col min="24" max="30" width="4" customWidth="1"/>
  </cols>
  <sheetData>
    <row r="3" spans="2:30" ht="30">
      <c r="B3" s="372" t="s">
        <v>1201</v>
      </c>
      <c r="C3" s="373"/>
      <c r="D3" s="373"/>
      <c r="E3" s="373"/>
      <c r="F3" s="373"/>
      <c r="G3" s="373"/>
      <c r="H3" s="373"/>
      <c r="I3" s="373"/>
      <c r="J3" s="373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4"/>
    </row>
    <row r="4" spans="2:30" ht="25.5">
      <c r="B4" s="174" t="s">
        <v>1203</v>
      </c>
      <c r="C4" s="173">
        <f xml:space="preserve"> COLUMN() - 2</f>
        <v>1</v>
      </c>
      <c r="D4" s="173">
        <f t="shared" ref="D4:W4" si="0" xml:space="preserve"> COLUMN() - 2</f>
        <v>2</v>
      </c>
      <c r="E4" s="173">
        <f t="shared" si="0"/>
        <v>3</v>
      </c>
      <c r="F4" s="173">
        <f t="shared" si="0"/>
        <v>4</v>
      </c>
      <c r="G4" s="173">
        <f t="shared" si="0"/>
        <v>5</v>
      </c>
      <c r="H4" s="173">
        <f t="shared" si="0"/>
        <v>6</v>
      </c>
      <c r="I4" s="173">
        <f t="shared" si="0"/>
        <v>7</v>
      </c>
      <c r="J4" s="173">
        <f t="shared" si="0"/>
        <v>8</v>
      </c>
      <c r="K4" s="173">
        <f t="shared" si="0"/>
        <v>9</v>
      </c>
      <c r="L4" s="173">
        <f t="shared" si="0"/>
        <v>10</v>
      </c>
      <c r="M4" s="173">
        <f t="shared" si="0"/>
        <v>11</v>
      </c>
      <c r="N4" s="173">
        <f t="shared" si="0"/>
        <v>12</v>
      </c>
      <c r="O4" s="173">
        <f t="shared" si="0"/>
        <v>13</v>
      </c>
      <c r="P4" s="173">
        <f t="shared" si="0"/>
        <v>14</v>
      </c>
      <c r="Q4" s="173">
        <f t="shared" si="0"/>
        <v>15</v>
      </c>
      <c r="R4" s="173">
        <f t="shared" si="0"/>
        <v>16</v>
      </c>
      <c r="S4" s="173">
        <f t="shared" si="0"/>
        <v>17</v>
      </c>
      <c r="T4" s="173">
        <f t="shared" si="0"/>
        <v>18</v>
      </c>
      <c r="U4" s="173">
        <f t="shared" si="0"/>
        <v>19</v>
      </c>
      <c r="V4" s="173">
        <f t="shared" si="0"/>
        <v>20</v>
      </c>
      <c r="W4" s="173">
        <f t="shared" si="0"/>
        <v>21</v>
      </c>
    </row>
    <row r="5" spans="2:30" ht="25.5">
      <c r="B5" s="171" t="s">
        <v>6</v>
      </c>
      <c r="C5" s="172" t="str" cm="1">
        <f t="array" ref="C5:W6" xml:space="preserve"> TRANSPOSE(' 【TL】鍵盤對映表'!H3:I23)</f>
        <v>ㆠ</v>
      </c>
      <c r="D5" s="172" t="str">
        <v>ㄅ</v>
      </c>
      <c r="E5" s="172" t="str">
        <v>ㄆ</v>
      </c>
      <c r="F5" s="172" t="str">
        <v>ㄇ</v>
      </c>
      <c r="G5" s="172" t="str">
        <v>ㄋ</v>
      </c>
      <c r="H5" s="172" t="str">
        <v>ㄉ</v>
      </c>
      <c r="I5" s="172" t="str">
        <v>ㄊ</v>
      </c>
      <c r="J5" s="172" t="str">
        <v>ㄌ</v>
      </c>
      <c r="K5" s="172" t="str">
        <v>ㆣ</v>
      </c>
      <c r="L5" s="172" t="str">
        <v>ㄍ</v>
      </c>
      <c r="M5" s="172" t="str">
        <v>ㄎ</v>
      </c>
      <c r="N5" s="172" t="str">
        <v>ㄫ</v>
      </c>
      <c r="O5" s="172" t="str">
        <v>ㄏ</v>
      </c>
      <c r="P5" s="172" t="str">
        <v>ㆡ</v>
      </c>
      <c r="Q5" s="172" t="str">
        <v>ㄗ</v>
      </c>
      <c r="R5" s="172" t="str">
        <v>ㄘ</v>
      </c>
      <c r="S5" s="172" t="str">
        <v>ㄙ</v>
      </c>
      <c r="T5" s="172" t="str">
        <v>ㆢ</v>
      </c>
      <c r="U5" s="172" t="str">
        <v>ㄐ</v>
      </c>
      <c r="V5" s="172" t="str">
        <v>ㄑ</v>
      </c>
      <c r="W5" s="172" t="str">
        <v>ㄒ</v>
      </c>
    </row>
    <row r="6" spans="2:30" ht="25.5">
      <c r="B6" s="170" t="s">
        <v>569</v>
      </c>
      <c r="C6" s="168" t="str">
        <v>ㄪ</v>
      </c>
      <c r="D6" s="168" t="str">
        <v>ㄅ</v>
      </c>
      <c r="E6" s="168" t="str">
        <v>ㄆ</v>
      </c>
      <c r="F6" s="168" t="str">
        <v>ㄇ</v>
      </c>
      <c r="G6" s="168" t="str">
        <v>ㄋ</v>
      </c>
      <c r="H6" s="168" t="str">
        <v>ㄉ</v>
      </c>
      <c r="I6" s="168" t="str">
        <v>ㄊ</v>
      </c>
      <c r="J6" s="168" t="str">
        <v>ㄌ</v>
      </c>
      <c r="K6" s="168" t="str">
        <v>ㄫ</v>
      </c>
      <c r="L6" s="168" t="str">
        <v>ㄍ</v>
      </c>
      <c r="M6" s="168" t="str">
        <v>ㄎ</v>
      </c>
      <c r="N6" s="168" t="str">
        <v xml:space="preserve">⁰ㄫ </v>
      </c>
      <c r="O6" s="168" t="str">
        <v>ㄏ</v>
      </c>
      <c r="P6" s="168" t="str">
        <v>ㄖ</v>
      </c>
      <c r="Q6" s="168" t="str">
        <v>ㄗ</v>
      </c>
      <c r="R6" s="168" t="str">
        <v>ㄘ</v>
      </c>
      <c r="S6" s="168" t="str">
        <v>ㄙ</v>
      </c>
      <c r="T6" s="168" t="str">
        <v>ㄖ</v>
      </c>
      <c r="U6" s="168" t="str">
        <v>ㄐ</v>
      </c>
      <c r="V6" s="168" t="str">
        <v>ㄑ</v>
      </c>
      <c r="W6" s="168" t="str">
        <v>ㄒ</v>
      </c>
    </row>
    <row r="7" spans="2:30" ht="25.5">
      <c r="B7" s="170" t="s">
        <v>1161</v>
      </c>
      <c r="C7" s="169" t="str" cm="1">
        <f t="array" ref="C7:W7" xml:space="preserve"> TRANSPOSE(【聲】聲母對照表!B3:B23)</f>
        <v>m</v>
      </c>
      <c r="D7" s="169" t="str">
        <v>b</v>
      </c>
      <c r="E7" s="169" t="str">
        <v>p</v>
      </c>
      <c r="F7" s="169" t="str">
        <v>pʰ</v>
      </c>
      <c r="G7" s="169" t="str">
        <v>n</v>
      </c>
      <c r="H7" s="169" t="str">
        <v>l</v>
      </c>
      <c r="I7" s="169" t="str">
        <v>t</v>
      </c>
      <c r="J7" s="169" t="str">
        <v>tʰ</v>
      </c>
      <c r="K7" s="169" t="str">
        <v>ŋ</v>
      </c>
      <c r="L7" s="169" t="str">
        <v>ɡ</v>
      </c>
      <c r="M7" s="169" t="str">
        <v>k</v>
      </c>
      <c r="N7" s="169" t="str">
        <v>kʰ</v>
      </c>
      <c r="O7" s="169" t="str">
        <v>ʣ</v>
      </c>
      <c r="P7" s="169" t="str">
        <v>ʦ</v>
      </c>
      <c r="Q7" s="169" t="str">
        <v>ʦʰ</v>
      </c>
      <c r="R7" s="169" t="str">
        <v>s</v>
      </c>
      <c r="S7" s="169" t="str">
        <v>ʥ</v>
      </c>
      <c r="T7" s="169" t="str">
        <v>ʨ</v>
      </c>
      <c r="U7" s="169" t="str">
        <v>ʨʰ</v>
      </c>
      <c r="V7" s="169" t="str">
        <v>ɕ</v>
      </c>
      <c r="W7" s="169" t="str">
        <v>h</v>
      </c>
    </row>
    <row r="10" spans="2:30" ht="30">
      <c r="B10" s="375" t="s">
        <v>1202</v>
      </c>
      <c r="C10" s="376"/>
      <c r="D10" s="376"/>
      <c r="E10" s="376"/>
      <c r="F10" s="376"/>
      <c r="G10" s="376"/>
      <c r="H10" s="376"/>
      <c r="I10" s="376"/>
      <c r="J10" s="376"/>
      <c r="K10" s="376"/>
      <c r="L10" s="376"/>
      <c r="M10" s="376"/>
      <c r="N10" s="376"/>
      <c r="O10" s="376"/>
      <c r="P10" s="376"/>
      <c r="Q10" s="376"/>
      <c r="R10" s="376"/>
      <c r="S10" s="376"/>
      <c r="T10" s="376"/>
      <c r="U10" s="376"/>
      <c r="V10" s="376"/>
      <c r="W10" s="376"/>
      <c r="X10" s="376"/>
      <c r="Y10" s="376"/>
      <c r="Z10" s="376"/>
      <c r="AA10" s="376"/>
      <c r="AB10" s="376"/>
      <c r="AC10" s="376"/>
      <c r="AD10" s="376"/>
    </row>
    <row r="11" spans="2:30" ht="25.5">
      <c r="B11" s="174" t="s">
        <v>1203</v>
      </c>
      <c r="C11" s="173">
        <f xml:space="preserve"> COLUMN() - 2</f>
        <v>1</v>
      </c>
      <c r="D11" s="173">
        <f t="shared" ref="D11:AD11" si="1" xml:space="preserve"> COLUMN() - 2</f>
        <v>2</v>
      </c>
      <c r="E11" s="173">
        <f t="shared" si="1"/>
        <v>3</v>
      </c>
      <c r="F11" s="173">
        <f t="shared" si="1"/>
        <v>4</v>
      </c>
      <c r="G11" s="173">
        <f t="shared" si="1"/>
        <v>5</v>
      </c>
      <c r="H11" s="173">
        <f t="shared" si="1"/>
        <v>6</v>
      </c>
      <c r="I11" s="173">
        <f t="shared" si="1"/>
        <v>7</v>
      </c>
      <c r="J11" s="173">
        <f t="shared" si="1"/>
        <v>8</v>
      </c>
      <c r="K11" s="173">
        <f t="shared" si="1"/>
        <v>9</v>
      </c>
      <c r="L11" s="173">
        <f t="shared" si="1"/>
        <v>10</v>
      </c>
      <c r="M11" s="173">
        <f t="shared" si="1"/>
        <v>11</v>
      </c>
      <c r="N11" s="173">
        <f t="shared" si="1"/>
        <v>12</v>
      </c>
      <c r="O11" s="173">
        <f t="shared" si="1"/>
        <v>13</v>
      </c>
      <c r="P11" s="173">
        <f t="shared" si="1"/>
        <v>14</v>
      </c>
      <c r="Q11" s="173">
        <f t="shared" si="1"/>
        <v>15</v>
      </c>
      <c r="R11" s="173">
        <f t="shared" si="1"/>
        <v>16</v>
      </c>
      <c r="S11" s="173">
        <f t="shared" si="1"/>
        <v>17</v>
      </c>
      <c r="T11" s="173">
        <f t="shared" si="1"/>
        <v>18</v>
      </c>
      <c r="U11" s="173">
        <f t="shared" si="1"/>
        <v>19</v>
      </c>
      <c r="V11" s="173">
        <f t="shared" si="1"/>
        <v>20</v>
      </c>
      <c r="W11" s="173">
        <f t="shared" si="1"/>
        <v>21</v>
      </c>
      <c r="X11" s="173">
        <f t="shared" si="1"/>
        <v>22</v>
      </c>
      <c r="Y11" s="173">
        <f t="shared" si="1"/>
        <v>23</v>
      </c>
      <c r="Z11" s="173">
        <f t="shared" si="1"/>
        <v>24</v>
      </c>
      <c r="AA11" s="173">
        <f t="shared" si="1"/>
        <v>25</v>
      </c>
      <c r="AB11" s="173">
        <f t="shared" si="1"/>
        <v>26</v>
      </c>
      <c r="AC11" s="173">
        <f t="shared" si="1"/>
        <v>27</v>
      </c>
      <c r="AD11" s="173">
        <f t="shared" si="1"/>
        <v>28</v>
      </c>
    </row>
    <row r="12" spans="2:30" ht="25.5">
      <c r="B12" s="170" t="s">
        <v>6</v>
      </c>
      <c r="C12" s="168" t="str" cm="1">
        <f t="array" ref="C12:AD12" xml:space="preserve"> TRANSPOSE(' 【TL】鍵盤對映表'!Q2:Q29)</f>
        <v>ㄚ</v>
      </c>
      <c r="D12" s="168" t="str">
        <v>ㄧ</v>
      </c>
      <c r="E12" s="168" t="str">
        <v>ㆨ</v>
      </c>
      <c r="F12" s="168" t="str">
        <v>ㄨ</v>
      </c>
      <c r="G12" s="168" t="str">
        <v>ㆤ</v>
      </c>
      <c r="H12" s="168" t="str">
        <v>ㆦ</v>
      </c>
      <c r="I12" s="168" t="str">
        <v>ㄜ</v>
      </c>
      <c r="J12" s="168" t="str">
        <v>ㆬ</v>
      </c>
      <c r="K12" s="168" t="str">
        <v>ㄣ</v>
      </c>
      <c r="L12" s="168" t="str">
        <v>ㆭ</v>
      </c>
      <c r="M12" s="168" t="str">
        <v>ㄞ</v>
      </c>
      <c r="N12" s="168" t="str">
        <v>ㄠ</v>
      </c>
      <c r="O12" s="168" t="str">
        <v>ㆰ</v>
      </c>
      <c r="P12" s="168" t="str">
        <v>ㄢ</v>
      </c>
      <c r="Q12" s="168" t="str">
        <v>ㄤ</v>
      </c>
      <c r="R12" s="168" t="str">
        <v>ㆱ</v>
      </c>
      <c r="S12" s="168" t="str">
        <v>ㆲ</v>
      </c>
      <c r="T12" s="168" t="str">
        <v>ㆩ</v>
      </c>
      <c r="U12" s="168" t="str">
        <v>ㆪ</v>
      </c>
      <c r="V12" s="168" t="str">
        <v>ㆫ</v>
      </c>
      <c r="W12" s="168" t="str">
        <v>ㆥ</v>
      </c>
      <c r="X12" s="168" t="str">
        <v>ㆧ</v>
      </c>
      <c r="Y12" s="168" t="str">
        <v>ㆮ</v>
      </c>
      <c r="Z12" s="168" t="str">
        <v>ㆯ</v>
      </c>
      <c r="AA12" s="168" t="str">
        <v>ㆴ</v>
      </c>
      <c r="AB12" s="168" t="str">
        <v>ㆵ</v>
      </c>
      <c r="AC12" s="168" t="str">
        <v>ㆻ</v>
      </c>
      <c r="AD12" s="168" t="str">
        <v>ㆷ</v>
      </c>
    </row>
    <row r="13" spans="2:30" ht="25.5">
      <c r="B13" s="170" t="s">
        <v>569</v>
      </c>
      <c r="C13" s="168" t="str" cm="1">
        <f t="array" ref="C13:AD13" xml:space="preserve"> TRANSPOSE(' 【TL】鍵盤對映表'!R2:R29)</f>
        <v>ㄚ</v>
      </c>
      <c r="D13" s="168" t="str">
        <v>ㄧ</v>
      </c>
      <c r="E13" s="168">
        <v>0</v>
      </c>
      <c r="F13" s="168" t="str">
        <v>ㄨ</v>
      </c>
      <c r="G13" s="168" t="str">
        <v>ㄝ</v>
      </c>
      <c r="H13" s="168" t="str">
        <v>ㄛ</v>
      </c>
      <c r="I13" s="168" t="str">
        <v>ㄜ</v>
      </c>
      <c r="J13" s="168" t="str">
        <v>ㄇ</v>
      </c>
      <c r="K13" s="168" t="str">
        <v>ㄣ</v>
      </c>
      <c r="L13" s="168" t="str">
        <v>ㄥ</v>
      </c>
      <c r="M13" s="168" t="str">
        <v>ㄞ</v>
      </c>
      <c r="N13" s="168" t="str">
        <v>ㄠ</v>
      </c>
      <c r="O13" s="168" t="str">
        <v>ㄚㄇ</v>
      </c>
      <c r="P13" s="168" t="str">
        <v>ㄢ</v>
      </c>
      <c r="Q13" s="168" t="str">
        <v>ㄤ</v>
      </c>
      <c r="R13" s="168" t="str">
        <v>ㄛㄇ</v>
      </c>
      <c r="S13" s="168" t="str">
        <v>ㄛㄥ</v>
      </c>
      <c r="T13" s="168" t="str">
        <v>⁰ㄚ</v>
      </c>
      <c r="U13" s="168" t="str">
        <v>⁰ㄧ</v>
      </c>
      <c r="V13" s="168" t="str">
        <v>⁰ㄨ</v>
      </c>
      <c r="W13" s="168" t="str">
        <v>⁰ㄝ</v>
      </c>
      <c r="X13" s="168" t="str">
        <v>⁰ㄛ</v>
      </c>
      <c r="Y13" s="168" t="str">
        <v>⁰ㄞ</v>
      </c>
      <c r="Z13" s="168" t="str">
        <v>⁰ㄠ</v>
      </c>
      <c r="AA13" s="168" t="str">
        <v>ㄅ</v>
      </c>
      <c r="AB13" s="168" t="str">
        <v>ㄉ</v>
      </c>
      <c r="AC13" s="168" t="str">
        <v>ㄍ</v>
      </c>
      <c r="AD13" s="168" t="str">
        <v>ㄏ</v>
      </c>
    </row>
    <row r="14" spans="2:30" ht="25.5">
      <c r="B14" s="170" t="s">
        <v>1161</v>
      </c>
      <c r="C14" s="168" t="str" cm="1">
        <f t="array" ref="C14:AD14" xml:space="preserve"> TRANSPOSE(' 【TL】鍵盤對映表'!N2:N29)</f>
        <v>a</v>
      </c>
      <c r="D14" s="168" t="str">
        <v>i</v>
      </c>
      <c r="E14" s="168" t="str">
        <v>ɯ</v>
      </c>
      <c r="F14" s="168" t="str">
        <v>u</v>
      </c>
      <c r="G14" s="168" t="str">
        <v>e</v>
      </c>
      <c r="H14" s="168" t="str">
        <v>ɔ</v>
      </c>
      <c r="I14" s="168" t="str">
        <v>ə</v>
      </c>
      <c r="J14" s="168" t="str">
        <v>m̩</v>
      </c>
      <c r="K14" s="168" t="str">
        <v>n</v>
      </c>
      <c r="L14" s="168" t="str">
        <v>ŋ̍</v>
      </c>
      <c r="M14" s="168" t="str">
        <v>aɪ</v>
      </c>
      <c r="N14" s="168" t="str">
        <v>aʊ</v>
      </c>
      <c r="O14" s="168" t="str">
        <v>am</v>
      </c>
      <c r="P14" s="168" t="str">
        <v>an</v>
      </c>
      <c r="Q14" s="168" t="str">
        <v>aŋ</v>
      </c>
      <c r="R14" s="168" t="str">
        <v>ɔm</v>
      </c>
      <c r="S14" s="168" t="str">
        <v>ɔŋ</v>
      </c>
      <c r="T14" s="168" t="str">
        <v>ã</v>
      </c>
      <c r="U14" s="168" t="str">
        <v>ĩ</v>
      </c>
      <c r="V14" s="168" t="str">
        <v>ũ</v>
      </c>
      <c r="W14" s="168" t="str">
        <v>ẽ</v>
      </c>
      <c r="X14" s="168" t="str">
        <v>ɔ̃</v>
      </c>
      <c r="Y14" s="168" t="str">
        <v>ãɪ</v>
      </c>
      <c r="Z14" s="168" t="str">
        <v>ãʊ</v>
      </c>
      <c r="AA14" s="168" t="str">
        <v>p̚</v>
      </c>
      <c r="AB14" s="168" t="str">
        <v>t̚</v>
      </c>
      <c r="AC14" s="168" t="str">
        <v>k̚</v>
      </c>
      <c r="AD14" s="168" t="str">
        <v>ʔ</v>
      </c>
    </row>
    <row r="18" spans="2:30" ht="30">
      <c r="B18" s="372" t="s">
        <v>1201</v>
      </c>
      <c r="C18" s="373"/>
      <c r="D18" s="373"/>
      <c r="E18" s="373"/>
      <c r="F18" s="373"/>
      <c r="G18" s="373"/>
      <c r="H18" s="373"/>
      <c r="I18" s="373"/>
      <c r="J18" s="373"/>
      <c r="K18" s="373"/>
      <c r="L18" s="373"/>
      <c r="M18" s="373"/>
      <c r="N18" s="373"/>
      <c r="O18" s="373"/>
      <c r="P18" s="373"/>
      <c r="Q18" s="373"/>
      <c r="R18" s="373"/>
      <c r="S18" s="373"/>
      <c r="T18" s="373"/>
      <c r="U18" s="373"/>
      <c r="V18" s="373"/>
      <c r="W18" s="374"/>
    </row>
    <row r="19" spans="2:30" ht="25.5">
      <c r="B19" s="174" t="s">
        <v>1203</v>
      </c>
      <c r="C19" s="173">
        <f xml:space="preserve"> COLUMN() - 2</f>
        <v>1</v>
      </c>
      <c r="D19" s="173">
        <f t="shared" ref="D19:W19" si="2" xml:space="preserve"> COLUMN() - 2</f>
        <v>2</v>
      </c>
      <c r="E19" s="173">
        <f t="shared" si="2"/>
        <v>3</v>
      </c>
      <c r="F19" s="173">
        <f t="shared" si="2"/>
        <v>4</v>
      </c>
      <c r="G19" s="173">
        <f t="shared" si="2"/>
        <v>5</v>
      </c>
      <c r="H19" s="173">
        <f t="shared" si="2"/>
        <v>6</v>
      </c>
      <c r="I19" s="173">
        <f t="shared" si="2"/>
        <v>7</v>
      </c>
      <c r="J19" s="173">
        <f t="shared" si="2"/>
        <v>8</v>
      </c>
      <c r="K19" s="173">
        <f t="shared" si="2"/>
        <v>9</v>
      </c>
      <c r="L19" s="173">
        <f t="shared" si="2"/>
        <v>10</v>
      </c>
      <c r="M19" s="173">
        <f t="shared" si="2"/>
        <v>11</v>
      </c>
      <c r="N19" s="173">
        <f t="shared" si="2"/>
        <v>12</v>
      </c>
      <c r="O19" s="173">
        <f t="shared" si="2"/>
        <v>13</v>
      </c>
      <c r="P19" s="173">
        <f t="shared" si="2"/>
        <v>14</v>
      </c>
      <c r="Q19" s="173">
        <f t="shared" si="2"/>
        <v>15</v>
      </c>
      <c r="R19" s="173">
        <f t="shared" si="2"/>
        <v>16</v>
      </c>
      <c r="S19" s="173">
        <f t="shared" si="2"/>
        <v>17</v>
      </c>
      <c r="T19" s="173">
        <f t="shared" si="2"/>
        <v>18</v>
      </c>
      <c r="U19" s="173">
        <f t="shared" si="2"/>
        <v>19</v>
      </c>
      <c r="V19" s="173">
        <f t="shared" si="2"/>
        <v>20</v>
      </c>
      <c r="W19" s="173">
        <f t="shared" si="2"/>
        <v>21</v>
      </c>
    </row>
    <row r="20" spans="2:30" ht="25.5">
      <c r="B20" s="171" t="s">
        <v>1204</v>
      </c>
      <c r="C20" s="172" t="str" cm="1">
        <f t="array" ref="C20:W21" xml:space="preserve"> TRANSPOSE(' 【TL】鍵盤對映表'!F3:G23)</f>
        <v>b</v>
      </c>
      <c r="D20" s="172" t="str">
        <v>p</v>
      </c>
      <c r="E20" s="172" t="str">
        <v>ph</v>
      </c>
      <c r="F20" s="172" t="str">
        <v>m</v>
      </c>
      <c r="G20" s="172" t="str">
        <v>n</v>
      </c>
      <c r="H20" s="172" t="str">
        <v>t</v>
      </c>
      <c r="I20" s="172" t="str">
        <v>th</v>
      </c>
      <c r="J20" s="172" t="str">
        <v>l</v>
      </c>
      <c r="K20" s="172" t="str">
        <v>g</v>
      </c>
      <c r="L20" s="172" t="str">
        <v>k</v>
      </c>
      <c r="M20" s="172" t="str">
        <v>kh</v>
      </c>
      <c r="N20" s="172" t="str">
        <v>ng</v>
      </c>
      <c r="O20" s="172" t="str">
        <v>h</v>
      </c>
      <c r="P20" s="172" t="str">
        <v>j</v>
      </c>
      <c r="Q20" s="172" t="str">
        <v>ts</v>
      </c>
      <c r="R20" s="172" t="str">
        <v>tsh</v>
      </c>
      <c r="S20" s="172" t="str">
        <v>s</v>
      </c>
      <c r="T20" s="172" t="str">
        <v>ji</v>
      </c>
      <c r="U20" s="172" t="str">
        <v>tsi</v>
      </c>
      <c r="V20" s="172" t="str">
        <v>tshi</v>
      </c>
      <c r="W20" s="172" t="str">
        <v>si</v>
      </c>
    </row>
    <row r="21" spans="2:30" ht="25.5">
      <c r="B21" s="175" t="s">
        <v>751</v>
      </c>
      <c r="C21" s="168" t="str">
        <v>bb</v>
      </c>
      <c r="D21" s="168" t="str">
        <v>b</v>
      </c>
      <c r="E21" s="168" t="str">
        <v>p</v>
      </c>
      <c r="F21" s="168" t="str">
        <v>m</v>
      </c>
      <c r="G21" s="168" t="str">
        <v>n</v>
      </c>
      <c r="H21" s="168" t="str">
        <v>d</v>
      </c>
      <c r="I21" s="168" t="str">
        <v>t</v>
      </c>
      <c r="J21" s="168" t="str">
        <v>l</v>
      </c>
      <c r="K21" s="168" t="str">
        <v>gg</v>
      </c>
      <c r="L21" s="168" t="str">
        <v>g</v>
      </c>
      <c r="M21" s="168" t="str">
        <v>k</v>
      </c>
      <c r="N21" s="168" t="str">
        <v>ng</v>
      </c>
      <c r="O21" s="168" t="str">
        <v>h</v>
      </c>
      <c r="P21" s="168" t="str">
        <v>zz</v>
      </c>
      <c r="Q21" s="168" t="str">
        <v>z</v>
      </c>
      <c r="R21" s="168" t="str">
        <v>c</v>
      </c>
      <c r="S21" s="168" t="str">
        <v>s</v>
      </c>
      <c r="T21" s="168" t="str">
        <v>jj</v>
      </c>
      <c r="U21" s="168" t="str">
        <v>j</v>
      </c>
      <c r="V21" s="168" t="str">
        <v>ch</v>
      </c>
      <c r="W21" s="168" t="str">
        <v>sh</v>
      </c>
    </row>
    <row r="22" spans="2:30" ht="25.5">
      <c r="B22" s="170" t="s">
        <v>1161</v>
      </c>
      <c r="C22" s="169" t="str" cm="1">
        <f t="array" ref="C22:W22" xml:space="preserve"> TRANSPOSE(【聲】聲母對照表!B3:B23)</f>
        <v>m</v>
      </c>
      <c r="D22" s="169" t="str">
        <v>b</v>
      </c>
      <c r="E22" s="169" t="str">
        <v>p</v>
      </c>
      <c r="F22" s="169" t="str">
        <v>pʰ</v>
      </c>
      <c r="G22" s="169" t="str">
        <v>n</v>
      </c>
      <c r="H22" s="169" t="str">
        <v>l</v>
      </c>
      <c r="I22" s="169" t="str">
        <v>t</v>
      </c>
      <c r="J22" s="169" t="str">
        <v>tʰ</v>
      </c>
      <c r="K22" s="169" t="str">
        <v>ŋ</v>
      </c>
      <c r="L22" s="169" t="str">
        <v>ɡ</v>
      </c>
      <c r="M22" s="169" t="str">
        <v>k</v>
      </c>
      <c r="N22" s="169" t="str">
        <v>kʰ</v>
      </c>
      <c r="O22" s="169" t="str">
        <v>ʣ</v>
      </c>
      <c r="P22" s="169" t="str">
        <v>ʦ</v>
      </c>
      <c r="Q22" s="169" t="str">
        <v>ʦʰ</v>
      </c>
      <c r="R22" s="169" t="str">
        <v>s</v>
      </c>
      <c r="S22" s="169" t="str">
        <v>ʥ</v>
      </c>
      <c r="T22" s="169" t="str">
        <v>ʨ</v>
      </c>
      <c r="U22" s="169" t="str">
        <v>ʨʰ</v>
      </c>
      <c r="V22" s="169" t="str">
        <v>ɕ</v>
      </c>
      <c r="W22" s="169" t="str">
        <v>h</v>
      </c>
    </row>
    <row r="25" spans="2:30" ht="30">
      <c r="B25" s="375" t="s">
        <v>1202</v>
      </c>
      <c r="C25" s="376"/>
      <c r="D25" s="376"/>
      <c r="E25" s="376"/>
      <c r="F25" s="376"/>
      <c r="G25" s="376"/>
      <c r="H25" s="376"/>
      <c r="I25" s="376"/>
      <c r="J25" s="376"/>
      <c r="K25" s="376"/>
      <c r="L25" s="376"/>
      <c r="M25" s="376"/>
      <c r="N25" s="376"/>
      <c r="O25" s="376"/>
      <c r="P25" s="376"/>
      <c r="Q25" s="376"/>
      <c r="R25" s="376"/>
      <c r="S25" s="376"/>
      <c r="T25" s="376"/>
      <c r="U25" s="376"/>
      <c r="V25" s="376"/>
      <c r="W25" s="376"/>
      <c r="X25" s="376"/>
      <c r="Y25" s="376"/>
      <c r="Z25" s="376"/>
      <c r="AA25" s="376"/>
      <c r="AB25" s="376"/>
      <c r="AC25" s="376"/>
      <c r="AD25" s="376"/>
    </row>
    <row r="26" spans="2:30" ht="25.5">
      <c r="B26" s="174" t="s">
        <v>1203</v>
      </c>
      <c r="C26" s="173">
        <f xml:space="preserve"> COLUMN() - 2</f>
        <v>1</v>
      </c>
      <c r="D26" s="173">
        <f t="shared" ref="D26:AD26" si="3" xml:space="preserve"> COLUMN() - 2</f>
        <v>2</v>
      </c>
      <c r="E26" s="173">
        <f t="shared" si="3"/>
        <v>3</v>
      </c>
      <c r="F26" s="173">
        <f t="shared" si="3"/>
        <v>4</v>
      </c>
      <c r="G26" s="173">
        <f t="shared" si="3"/>
        <v>5</v>
      </c>
      <c r="H26" s="173">
        <f t="shared" si="3"/>
        <v>6</v>
      </c>
      <c r="I26" s="173">
        <f t="shared" si="3"/>
        <v>7</v>
      </c>
      <c r="J26" s="173">
        <f t="shared" si="3"/>
        <v>8</v>
      </c>
      <c r="K26" s="173">
        <f t="shared" si="3"/>
        <v>9</v>
      </c>
      <c r="L26" s="173">
        <f t="shared" si="3"/>
        <v>10</v>
      </c>
      <c r="M26" s="173">
        <f t="shared" si="3"/>
        <v>11</v>
      </c>
      <c r="N26" s="173">
        <f t="shared" si="3"/>
        <v>12</v>
      </c>
      <c r="O26" s="173">
        <f t="shared" si="3"/>
        <v>13</v>
      </c>
      <c r="P26" s="173">
        <f t="shared" si="3"/>
        <v>14</v>
      </c>
      <c r="Q26" s="173">
        <f t="shared" si="3"/>
        <v>15</v>
      </c>
      <c r="R26" s="173">
        <f t="shared" si="3"/>
        <v>16</v>
      </c>
      <c r="S26" s="173">
        <f t="shared" si="3"/>
        <v>17</v>
      </c>
      <c r="T26" s="173">
        <f t="shared" si="3"/>
        <v>18</v>
      </c>
      <c r="U26" s="173">
        <f t="shared" si="3"/>
        <v>19</v>
      </c>
      <c r="V26" s="173">
        <f t="shared" si="3"/>
        <v>20</v>
      </c>
      <c r="W26" s="173">
        <f t="shared" si="3"/>
        <v>21</v>
      </c>
      <c r="X26" s="173">
        <f t="shared" si="3"/>
        <v>22</v>
      </c>
      <c r="Y26" s="173">
        <f t="shared" si="3"/>
        <v>23</v>
      </c>
      <c r="Z26" s="173">
        <f t="shared" si="3"/>
        <v>24</v>
      </c>
      <c r="AA26" s="173">
        <f t="shared" si="3"/>
        <v>25</v>
      </c>
      <c r="AB26" s="173">
        <f t="shared" si="3"/>
        <v>26</v>
      </c>
      <c r="AC26" s="173">
        <f t="shared" si="3"/>
        <v>27</v>
      </c>
      <c r="AD26" s="173">
        <f t="shared" si="3"/>
        <v>28</v>
      </c>
    </row>
    <row r="27" spans="2:30" ht="25.5">
      <c r="B27" s="171" t="s">
        <v>1204</v>
      </c>
      <c r="C27" s="168" t="str" cm="1">
        <f t="array" ref="C27:AD27" xml:space="preserve"> TRANSPOSE(' 【TL】鍵盤對映表'!O2:O29)</f>
        <v>a</v>
      </c>
      <c r="D27" s="168" t="str">
        <v>i</v>
      </c>
      <c r="E27" s="168" t="str">
        <v>ir</v>
      </c>
      <c r="F27" s="168" t="str">
        <v>u</v>
      </c>
      <c r="G27" s="168" t="str">
        <v>e</v>
      </c>
      <c r="H27" s="168" t="str">
        <v>oo</v>
      </c>
      <c r="I27" s="168" t="str">
        <v>o</v>
      </c>
      <c r="J27" s="168" t="str">
        <v>m</v>
      </c>
      <c r="K27" s="168" t="str">
        <v>n</v>
      </c>
      <c r="L27" s="168" t="str">
        <v>ng</v>
      </c>
      <c r="M27" s="168" t="str">
        <v>ai</v>
      </c>
      <c r="N27" s="168" t="str">
        <v>au</v>
      </c>
      <c r="O27" s="168" t="str">
        <v>am</v>
      </c>
      <c r="P27" s="168" t="str">
        <v>an</v>
      </c>
      <c r="Q27" s="168" t="str">
        <v>ang</v>
      </c>
      <c r="R27" s="168" t="str">
        <v>om</v>
      </c>
      <c r="S27" s="168" t="str">
        <v>ong</v>
      </c>
      <c r="T27" s="168" t="str">
        <v>ann</v>
      </c>
      <c r="U27" s="168" t="str">
        <v>inn</v>
      </c>
      <c r="V27" s="168" t="str">
        <v>unn</v>
      </c>
      <c r="W27" s="168" t="str">
        <v>enn</v>
      </c>
      <c r="X27" s="168" t="str">
        <v>onn</v>
      </c>
      <c r="Y27" s="168" t="str">
        <v>ainn</v>
      </c>
      <c r="Z27" s="168" t="str">
        <v>aunn</v>
      </c>
      <c r="AA27" s="168" t="str">
        <v>p</v>
      </c>
      <c r="AB27" s="168" t="str">
        <v>t</v>
      </c>
      <c r="AC27" s="168" t="str">
        <v>k</v>
      </c>
      <c r="AD27" s="168" t="str">
        <v>h</v>
      </c>
    </row>
    <row r="28" spans="2:30" ht="25.5">
      <c r="B28" s="175" t="s">
        <v>751</v>
      </c>
      <c r="C28" s="168" t="str" cm="1">
        <f t="array" ref="C28:AD28" xml:space="preserve"> TRANSPOSE(' 【TL】鍵盤對映表'!P2:P29)</f>
        <v>a</v>
      </c>
      <c r="D28" s="168" t="str">
        <v>i</v>
      </c>
      <c r="E28" s="168">
        <v>0</v>
      </c>
      <c r="F28" s="168" t="str">
        <v>u</v>
      </c>
      <c r="G28" s="168" t="str">
        <v>e</v>
      </c>
      <c r="H28" s="168" t="str">
        <v>oo</v>
      </c>
      <c r="I28" s="168" t="str">
        <v>or</v>
      </c>
      <c r="J28" s="168" t="str">
        <v>m</v>
      </c>
      <c r="K28" s="168" t="str">
        <v>n</v>
      </c>
      <c r="L28" s="168" t="str">
        <v>ng</v>
      </c>
      <c r="M28" s="168" t="str">
        <v>ai</v>
      </c>
      <c r="N28" s="168" t="str">
        <v>au</v>
      </c>
      <c r="O28" s="168" t="str">
        <v>am</v>
      </c>
      <c r="P28" s="168" t="str">
        <v>an</v>
      </c>
      <c r="Q28" s="168" t="str">
        <v>ang</v>
      </c>
      <c r="R28" s="168" t="str">
        <v>oom</v>
      </c>
      <c r="S28" s="168" t="str">
        <v>ong</v>
      </c>
      <c r="T28" s="168" t="str">
        <v>ann</v>
      </c>
      <c r="U28" s="168" t="str">
        <v>inn</v>
      </c>
      <c r="V28" s="168" t="str">
        <v>unn</v>
      </c>
      <c r="W28" s="168" t="str">
        <v>enn</v>
      </c>
      <c r="X28" s="168" t="str">
        <v>oonn</v>
      </c>
      <c r="Y28" s="168" t="str">
        <v>ainn</v>
      </c>
      <c r="Z28" s="168" t="str">
        <v>aunn</v>
      </c>
      <c r="AA28" s="168" t="str">
        <v>p</v>
      </c>
      <c r="AB28" s="168" t="str">
        <v>t</v>
      </c>
      <c r="AC28" s="168" t="str">
        <v>k</v>
      </c>
      <c r="AD28" s="168" t="str">
        <v>h</v>
      </c>
    </row>
    <row r="29" spans="2:30" ht="25.5">
      <c r="B29" s="170" t="s">
        <v>1161</v>
      </c>
      <c r="C29" s="168" t="str" cm="1">
        <f t="array" ref="C29:AD29" xml:space="preserve"> TRANSPOSE(' 【TL】鍵盤對映表'!N2:N29)</f>
        <v>a</v>
      </c>
      <c r="D29" s="168" t="str">
        <v>i</v>
      </c>
      <c r="E29" s="168" t="str">
        <v>ɯ</v>
      </c>
      <c r="F29" s="168" t="str">
        <v>u</v>
      </c>
      <c r="G29" s="168" t="str">
        <v>e</v>
      </c>
      <c r="H29" s="168" t="str">
        <v>ɔ</v>
      </c>
      <c r="I29" s="168" t="str">
        <v>ə</v>
      </c>
      <c r="J29" s="168" t="str">
        <v>m̩</v>
      </c>
      <c r="K29" s="168" t="str">
        <v>n</v>
      </c>
      <c r="L29" s="168" t="str">
        <v>ŋ̍</v>
      </c>
      <c r="M29" s="168" t="str">
        <v>aɪ</v>
      </c>
      <c r="N29" s="168" t="str">
        <v>aʊ</v>
      </c>
      <c r="O29" s="168" t="str">
        <v>am</v>
      </c>
      <c r="P29" s="168" t="str">
        <v>an</v>
      </c>
      <c r="Q29" s="168" t="str">
        <v>aŋ</v>
      </c>
      <c r="R29" s="168" t="str">
        <v>ɔm</v>
      </c>
      <c r="S29" s="168" t="str">
        <v>ɔŋ</v>
      </c>
      <c r="T29" s="168" t="str">
        <v>ã</v>
      </c>
      <c r="U29" s="168" t="str">
        <v>ĩ</v>
      </c>
      <c r="V29" s="168" t="str">
        <v>ũ</v>
      </c>
      <c r="W29" s="168" t="str">
        <v>ẽ</v>
      </c>
      <c r="X29" s="168" t="str">
        <v>ɔ̃</v>
      </c>
      <c r="Y29" s="168" t="str">
        <v>ãɪ</v>
      </c>
      <c r="Z29" s="168" t="str">
        <v>ãʊ</v>
      </c>
      <c r="AA29" s="168" t="str">
        <v>p̚</v>
      </c>
      <c r="AB29" s="168" t="str">
        <v>t̚</v>
      </c>
      <c r="AC29" s="168" t="str">
        <v>k̚</v>
      </c>
      <c r="AD29" s="168" t="str">
        <v>ʔ</v>
      </c>
    </row>
  </sheetData>
  <mergeCells count="4">
    <mergeCell ref="B3:W3"/>
    <mergeCell ref="B10:AD10"/>
    <mergeCell ref="B18:W18"/>
    <mergeCell ref="B25:AD25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A4EF-32C0-4D46-B248-7DC3DCA14A27}">
  <dimension ref="A1:AF95"/>
  <sheetViews>
    <sheetView workbookViewId="0"/>
  </sheetViews>
  <sheetFormatPr defaultRowHeight="26.25"/>
  <cols>
    <col min="1" max="1" width="2.09765625" style="115" customWidth="1"/>
    <col min="2" max="5" width="12.296875" style="115" customWidth="1"/>
    <col min="6" max="6" width="8.796875" style="115"/>
    <col min="7" max="7" width="5.8984375" style="115" customWidth="1"/>
    <col min="8" max="11" width="12.296875" style="116" customWidth="1"/>
    <col min="12" max="12" width="8.796875" style="116"/>
    <col min="13" max="13" width="1.8984375" style="115" customWidth="1"/>
    <col min="14" max="14" width="26.8984375" style="134" customWidth="1"/>
    <col min="15" max="15" width="25.09765625" style="134" customWidth="1"/>
    <col min="16" max="16" width="1.8984375" style="115" customWidth="1"/>
    <col min="17" max="17" width="26.8984375" style="135" customWidth="1"/>
    <col min="18" max="18" width="25.09765625" style="135" customWidth="1"/>
    <col min="19" max="16384" width="8.796875" style="115"/>
  </cols>
  <sheetData>
    <row r="1" spans="1:18" ht="12.75" customHeight="1" thickBot="1">
      <c r="B1" s="118"/>
      <c r="C1" s="118"/>
      <c r="D1" s="118"/>
      <c r="H1" s="133"/>
      <c r="I1" s="133"/>
      <c r="J1" s="133"/>
    </row>
    <row r="2" spans="1:18" ht="27" thickBot="1">
      <c r="A2" s="122"/>
      <c r="B2" s="136" t="s">
        <v>3</v>
      </c>
      <c r="C2" s="121" t="s">
        <v>245</v>
      </c>
      <c r="D2" s="121" t="s">
        <v>243</v>
      </c>
      <c r="E2" s="121" t="s">
        <v>1145</v>
      </c>
      <c r="F2" s="121" t="s">
        <v>1146</v>
      </c>
      <c r="G2" s="122"/>
      <c r="H2" s="136" t="s">
        <v>3</v>
      </c>
      <c r="I2" s="121" t="s">
        <v>245</v>
      </c>
      <c r="J2" s="121" t="s">
        <v>243</v>
      </c>
      <c r="K2" s="121" t="s">
        <v>1145</v>
      </c>
      <c r="L2" s="121" t="s">
        <v>1146</v>
      </c>
    </row>
    <row r="3" spans="1:18">
      <c r="A3" s="129"/>
      <c r="B3" s="116" t="str" cm="1">
        <f t="array" ref="B3:F19">_xlfn.LET(_xlpm.crit,韻母對照表[聲韻調類]="韻-鼻",_xlfn.SORTBY(_xlfn._xlws.FILTER(_xlfn.HSTACK(韻母對照表[台羅拼音],韻母對照表[十五音],韻母對照表[方音符號],韻母對照表[聲韻調類],韻母對照表[字長]),_xlpm.crit,"無符合資料"),_xlfn._xlws.FILTER(韻母對照表[字長],_xlpm.crit),-1))</f>
        <v>uaihnn</v>
      </c>
      <c r="C3" s="116" t="str">
        <v>閂</v>
      </c>
      <c r="D3" s="116" t="str">
        <v>ㄨㆮㆷ</v>
      </c>
      <c r="E3" s="116" t="str">
        <v>韻-鼻</v>
      </c>
      <c r="F3" s="116">
        <v>6</v>
      </c>
      <c r="G3" s="129"/>
      <c r="H3" s="116" t="str" cm="1">
        <f t="array" ref="H3:L71">_xlfn.LET(_xlpm.crit,(韻母對照表[聲韻調類]&lt;&gt;"韻-鼻")*(韻母對照表[台語注音二式]&lt;&gt;""),_xlfn.SORTBY(_xlfn._xlws.FILTER(_xlfn.HSTACK(韻母對照表[台語音標],韻母對照表[十五音],韻母對照表[方音符號],韻母對照表[聲韻調類],韻母對照表[字長]),_xlpm.crit,"無符合資料"),_xlfn._xlws.FILTER(韻母對照表[字長],_xlpm.crit),-1))</f>
        <v>aunn</v>
      </c>
      <c r="I3" s="116" t="str">
        <v>爻</v>
      </c>
      <c r="J3" s="116" t="str">
        <v>ㆯ</v>
      </c>
      <c r="K3" s="116">
        <v>0</v>
      </c>
      <c r="L3" s="116">
        <v>4</v>
      </c>
      <c r="N3" s="134" t="str">
        <f t="shared" ref="N3:N19" si="0" xml:space="preserve"> _xlfn.CONCAT("    - xform/", "》", $B3, "/", C3, "》", "/")</f>
        <v xml:space="preserve">    - xform/》uaihnn/閂》/</v>
      </c>
      <c r="O3" s="134" t="str">
        <f t="shared" ref="O3:O18" si="1" xml:space="preserve"> _xlfn.CONCAT("    - xform/", "》", $H3, "/", I3, "》", "/")</f>
        <v xml:space="preserve">    - xform/》aunn/爻》/</v>
      </c>
      <c r="Q3" s="135" t="str">
        <f t="shared" ref="Q3:Q18" si="2" xml:space="preserve"> _xlfn.CONCAT("    - xform/", "〉", $B3, "/", D3, "〉", "/")</f>
        <v xml:space="preserve">    - xform/〉uaihnn/ㄨㆮㆷ〉/</v>
      </c>
      <c r="R3" s="135" t="str">
        <f xml:space="preserve"> _xlfn.CONCAT("    - xform/", "〉", $H3, "/", J3, "〉", "/")</f>
        <v xml:space="preserve">    - xform/〉aunn/ㆯ〉/</v>
      </c>
    </row>
    <row r="4" spans="1:18">
      <c r="A4" s="129"/>
      <c r="B4" s="116" t="str">
        <v>iahnn</v>
      </c>
      <c r="C4" s="116" t="str">
        <v>迦</v>
      </c>
      <c r="D4" s="116" t="str">
        <v>ㄧㆩㆷ</v>
      </c>
      <c r="E4" s="116" t="str">
        <v>韻-鼻</v>
      </c>
      <c r="F4" s="116">
        <v>5</v>
      </c>
      <c r="G4" s="129"/>
      <c r="H4" s="116" t="str">
        <v>iang</v>
      </c>
      <c r="I4" s="116" t="str">
        <v>姜</v>
      </c>
      <c r="J4" s="116" t="str">
        <v>ㄧㄤ</v>
      </c>
      <c r="K4" s="116">
        <v>0</v>
      </c>
      <c r="L4" s="116">
        <v>4</v>
      </c>
      <c r="N4" s="134" t="str">
        <f t="shared" si="0"/>
        <v xml:space="preserve">    - xform/》iahnn/迦》/</v>
      </c>
      <c r="O4" s="134" t="str">
        <f t="shared" si="1"/>
        <v xml:space="preserve">    - xform/》iang/姜》/</v>
      </c>
      <c r="Q4" s="135" t="str">
        <f t="shared" si="2"/>
        <v xml:space="preserve">    - xform/〉iahnn/ㄧㆩㆷ〉/</v>
      </c>
      <c r="R4" s="135" t="str">
        <f t="shared" ref="R4:R67" si="3" xml:space="preserve"> _xlfn.CONCAT("    - xform/", "〉", $H4, "/", J4, "〉", "/")</f>
        <v xml:space="preserve">    - xform/〉iang/ㄧㄤ〉/</v>
      </c>
    </row>
    <row r="5" spans="1:18">
      <c r="A5" s="129"/>
      <c r="B5" s="116" t="str">
        <v>iaunn</v>
      </c>
      <c r="C5" s="116" t="str">
        <v>嘄</v>
      </c>
      <c r="D5" s="116" t="str">
        <v>ㄧㆯ</v>
      </c>
      <c r="E5" s="116" t="str">
        <v>韻-鼻</v>
      </c>
      <c r="F5" s="116">
        <v>5</v>
      </c>
      <c r="G5" s="129"/>
      <c r="H5" s="116" t="str">
        <v>iauh</v>
      </c>
      <c r="I5" s="116" t="str">
        <v>嬌</v>
      </c>
      <c r="J5" s="116" t="str">
        <v>ㄧㄠㆷ</v>
      </c>
      <c r="K5" s="116">
        <v>0</v>
      </c>
      <c r="L5" s="116">
        <v>4</v>
      </c>
      <c r="N5" s="134" t="str">
        <f t="shared" si="0"/>
        <v xml:space="preserve">    - xform/》iaunn/嘄》/</v>
      </c>
      <c r="O5" s="134" t="str">
        <f t="shared" si="1"/>
        <v xml:space="preserve">    - xform/》iauh/嬌》/</v>
      </c>
      <c r="Q5" s="135" t="str">
        <f t="shared" si="2"/>
        <v xml:space="preserve">    - xform/〉iaunn/ㄧㆯ〉/</v>
      </c>
      <c r="R5" s="135" t="str">
        <f t="shared" si="3"/>
        <v xml:space="preserve">    - xform/〉iauh/ㄧㄠㆷ〉/</v>
      </c>
    </row>
    <row r="6" spans="1:18">
      <c r="A6" s="129"/>
      <c r="B6" s="116" t="str">
        <v>iuhnn</v>
      </c>
      <c r="C6" s="116" t="str">
        <v>牛</v>
      </c>
      <c r="D6" s="116" t="str">
        <v>ㄧㆫㆷ</v>
      </c>
      <c r="E6" s="116" t="str">
        <v>韻-鼻</v>
      </c>
      <c r="F6" s="116">
        <v>5</v>
      </c>
      <c r="G6" s="129"/>
      <c r="H6" s="116" t="str">
        <v>iooh</v>
      </c>
      <c r="I6" s="116">
        <v>0</v>
      </c>
      <c r="J6" s="116" t="str">
        <v>ㄧㆦㆷ</v>
      </c>
      <c r="K6" s="116">
        <v>0</v>
      </c>
      <c r="L6" s="116">
        <v>4</v>
      </c>
      <c r="N6" s="134" t="str">
        <f t="shared" si="0"/>
        <v xml:space="preserve">    - xform/》iuhnn/牛》/</v>
      </c>
      <c r="O6" s="134" t="str">
        <f t="shared" si="1"/>
        <v xml:space="preserve">    - xform/》iooh/0》/</v>
      </c>
      <c r="Q6" s="135" t="str">
        <f t="shared" si="2"/>
        <v xml:space="preserve">    - xform/〉iuhnn/ㄧㆫㆷ〉/</v>
      </c>
      <c r="R6" s="135" t="str">
        <f t="shared" si="3"/>
        <v xml:space="preserve">    - xform/〉iooh/ㄧㆦㆷ〉/</v>
      </c>
    </row>
    <row r="7" spans="1:18">
      <c r="A7" s="129"/>
      <c r="B7" s="116" t="str">
        <v>uainn</v>
      </c>
      <c r="C7" s="116" t="str">
        <v>閂</v>
      </c>
      <c r="D7" s="116" t="str">
        <v>ㄨㆮ</v>
      </c>
      <c r="E7" s="116" t="str">
        <v>韻-鼻</v>
      </c>
      <c r="F7" s="116">
        <v>5</v>
      </c>
      <c r="G7" s="129"/>
      <c r="H7" s="116" t="str">
        <v>iong</v>
      </c>
      <c r="I7" s="116" t="str">
        <v>恭</v>
      </c>
      <c r="J7" s="116" t="str">
        <v>ㄧㆲ</v>
      </c>
      <c r="K7" s="116">
        <v>0</v>
      </c>
      <c r="L7" s="116">
        <v>4</v>
      </c>
      <c r="N7" s="134" t="str">
        <f t="shared" si="0"/>
        <v xml:space="preserve">    - xform/》uainn/閂》/</v>
      </c>
      <c r="O7" s="134" t="str">
        <f t="shared" si="1"/>
        <v xml:space="preserve">    - xform/》iong/恭》/</v>
      </c>
      <c r="Q7" s="135" t="str">
        <f t="shared" si="2"/>
        <v xml:space="preserve">    - xform/〉uainn/ㄨㆮ〉/</v>
      </c>
      <c r="R7" s="135" t="str">
        <f t="shared" si="3"/>
        <v xml:space="preserve">    - xform/〉iong/ㄧㆲ〉/</v>
      </c>
    </row>
    <row r="8" spans="1:18">
      <c r="A8" s="129"/>
      <c r="B8" s="116" t="str">
        <v>ainn</v>
      </c>
      <c r="C8" s="116" t="str">
        <v>閒</v>
      </c>
      <c r="D8" s="116" t="str">
        <v>ㆮ</v>
      </c>
      <c r="E8" s="116" t="str">
        <v>韻-鼻</v>
      </c>
      <c r="F8" s="116">
        <v>4</v>
      </c>
      <c r="G8" s="129"/>
      <c r="H8" s="116" t="str">
        <v>uaih</v>
      </c>
      <c r="I8" s="116" t="str">
        <v>乖</v>
      </c>
      <c r="J8" s="116" t="str">
        <v>ㄨㄞㆷ</v>
      </c>
      <c r="K8" s="116">
        <v>0</v>
      </c>
      <c r="L8" s="116">
        <v>4</v>
      </c>
      <c r="N8" s="134" t="str">
        <f t="shared" si="0"/>
        <v xml:space="preserve">    - xform/》ainn/閒》/</v>
      </c>
      <c r="O8" s="134" t="str">
        <f t="shared" si="1"/>
        <v xml:space="preserve">    - xform/》uaih/乖》/</v>
      </c>
      <c r="Q8" s="135" t="str">
        <f t="shared" si="2"/>
        <v xml:space="preserve">    - xform/〉ainn/ㆮ〉/</v>
      </c>
      <c r="R8" s="135" t="str">
        <f t="shared" si="3"/>
        <v xml:space="preserve">    - xform/〉uaih/ㄨㄞㆷ〉/</v>
      </c>
    </row>
    <row r="9" spans="1:18">
      <c r="A9" s="129"/>
      <c r="B9" s="116" t="str">
        <v>ahnn</v>
      </c>
      <c r="C9" s="116" t="str">
        <v>監</v>
      </c>
      <c r="D9" s="116" t="str">
        <v>ㆩㆷ</v>
      </c>
      <c r="E9" s="116" t="str">
        <v>韻-鼻</v>
      </c>
      <c r="F9" s="116">
        <v>4</v>
      </c>
      <c r="G9" s="129"/>
      <c r="H9" s="116" t="str">
        <v>uang</v>
      </c>
      <c r="I9" s="116" t="str">
        <v>光</v>
      </c>
      <c r="J9" s="116" t="str">
        <v>ㄨㄤ</v>
      </c>
      <c r="K9" s="116">
        <v>0</v>
      </c>
      <c r="L9" s="116">
        <v>4</v>
      </c>
      <c r="N9" s="134" t="str">
        <f t="shared" si="0"/>
        <v xml:space="preserve">    - xform/》ahnn/監》/</v>
      </c>
      <c r="O9" s="134" t="str">
        <f t="shared" si="1"/>
        <v xml:space="preserve">    - xform/》uang/光》/</v>
      </c>
      <c r="Q9" s="135" t="str">
        <f t="shared" si="2"/>
        <v xml:space="preserve">    - xform/〉ahnn/ㆩㆷ〉/</v>
      </c>
      <c r="R9" s="135" t="str">
        <f t="shared" si="3"/>
        <v xml:space="preserve">    - xform/〉uang/ㄨㄤ〉/</v>
      </c>
    </row>
    <row r="10" spans="1:18">
      <c r="A10" s="129"/>
      <c r="B10" s="116" t="str">
        <v>ehnn</v>
      </c>
      <c r="C10" s="116" t="str">
        <v>更</v>
      </c>
      <c r="D10" s="116" t="str">
        <v>ㆥㆷ</v>
      </c>
      <c r="E10" s="116" t="str">
        <v>韻-鼻</v>
      </c>
      <c r="F10" s="116">
        <v>4</v>
      </c>
      <c r="G10" s="129"/>
      <c r="H10" s="116" t="str">
        <v>uann</v>
      </c>
      <c r="I10" s="116" t="str">
        <v>官</v>
      </c>
      <c r="J10" s="116" t="str">
        <v>ㄨㆩ</v>
      </c>
      <c r="K10" s="116">
        <v>0</v>
      </c>
      <c r="L10" s="116">
        <v>4</v>
      </c>
      <c r="N10" s="134" t="str">
        <f t="shared" si="0"/>
        <v xml:space="preserve">    - xform/》ehnn/更》/</v>
      </c>
      <c r="O10" s="134" t="str">
        <f t="shared" si="1"/>
        <v xml:space="preserve">    - xform/》uann/官》/</v>
      </c>
      <c r="Q10" s="135" t="str">
        <f t="shared" si="2"/>
        <v xml:space="preserve">    - xform/〉ehnn/ㆥㆷ〉/</v>
      </c>
      <c r="R10" s="135" t="str">
        <f t="shared" si="3"/>
        <v xml:space="preserve">    - xform/〉uann/ㄨㆩ〉/</v>
      </c>
    </row>
    <row r="11" spans="1:18">
      <c r="A11" s="129"/>
      <c r="B11" s="116" t="str">
        <v>iann</v>
      </c>
      <c r="C11" s="116" t="str">
        <v>驚</v>
      </c>
      <c r="D11" s="116" t="str">
        <v>ㄧㆩ</v>
      </c>
      <c r="E11" s="116" t="str">
        <v>韻-鼻</v>
      </c>
      <c r="F11" s="116">
        <v>4</v>
      </c>
      <c r="G11" s="129"/>
      <c r="H11" s="116" t="str">
        <v>aih</v>
      </c>
      <c r="I11" s="116" t="str">
        <v>皆</v>
      </c>
      <c r="J11" s="116" t="str">
        <v>ㄞㆷ</v>
      </c>
      <c r="K11" s="116">
        <v>0</v>
      </c>
      <c r="L11" s="116">
        <v>3</v>
      </c>
      <c r="N11" s="134" t="str">
        <f t="shared" si="0"/>
        <v xml:space="preserve">    - xform/》iann/驚》/</v>
      </c>
      <c r="O11" s="134" t="str">
        <f t="shared" si="1"/>
        <v xml:space="preserve">    - xform/》aih/皆》/</v>
      </c>
      <c r="Q11" s="135" t="str">
        <f t="shared" si="2"/>
        <v xml:space="preserve">    - xform/〉iann/ㄧㆩ〉/</v>
      </c>
      <c r="R11" s="135" t="str">
        <f t="shared" si="3"/>
        <v xml:space="preserve">    - xform/〉aih/ㄞㆷ〉/</v>
      </c>
    </row>
    <row r="12" spans="1:18">
      <c r="A12" s="129"/>
      <c r="B12" s="116" t="str">
        <v>ionn</v>
      </c>
      <c r="C12" s="116" t="str">
        <v>薑</v>
      </c>
      <c r="D12" s="116" t="str">
        <v>ㄧㆧ</v>
      </c>
      <c r="E12" s="116" t="str">
        <v>韻-鼻</v>
      </c>
      <c r="F12" s="116">
        <v>4</v>
      </c>
      <c r="G12" s="129"/>
      <c r="H12" s="116" t="str">
        <v>ang</v>
      </c>
      <c r="I12" s="116" t="str">
        <v>江</v>
      </c>
      <c r="J12" s="116" t="str">
        <v>ㄤ</v>
      </c>
      <c r="K12" s="116">
        <v>0</v>
      </c>
      <c r="L12" s="116">
        <v>3</v>
      </c>
      <c r="N12" s="134" t="str">
        <f t="shared" si="0"/>
        <v xml:space="preserve">    - xform/》ionn/薑》/</v>
      </c>
      <c r="O12" s="134" t="str">
        <f t="shared" si="1"/>
        <v xml:space="preserve">    - xform/》ang/江》/</v>
      </c>
      <c r="Q12" s="135" t="str">
        <f t="shared" si="2"/>
        <v xml:space="preserve">    - xform/〉ionn/ㄧㆧ〉/</v>
      </c>
      <c r="R12" s="135" t="str">
        <f t="shared" si="3"/>
        <v xml:space="preserve">    - xform/〉ang/ㄤ〉/</v>
      </c>
    </row>
    <row r="13" spans="1:18">
      <c r="A13" s="129"/>
      <c r="B13" s="116" t="str">
        <v>iunn</v>
      </c>
      <c r="C13" s="116" t="str">
        <v>牛</v>
      </c>
      <c r="D13" s="116" t="str">
        <v>ㄧㆫ</v>
      </c>
      <c r="E13" s="116" t="str">
        <v>韻-鼻</v>
      </c>
      <c r="F13" s="116">
        <v>4</v>
      </c>
      <c r="G13" s="129"/>
      <c r="H13" s="116" t="str">
        <v>auh</v>
      </c>
      <c r="I13" s="116" t="str">
        <v>交</v>
      </c>
      <c r="J13" s="116" t="str">
        <v>ㄠㆷ</v>
      </c>
      <c r="K13" s="116">
        <v>0</v>
      </c>
      <c r="L13" s="116">
        <v>3</v>
      </c>
      <c r="N13" s="134" t="str">
        <f t="shared" si="0"/>
        <v xml:space="preserve">    - xform/》iunn/牛》/</v>
      </c>
      <c r="O13" s="134" t="str">
        <f t="shared" si="1"/>
        <v xml:space="preserve">    - xform/》auh/交》/</v>
      </c>
      <c r="Q13" s="135" t="str">
        <f t="shared" si="2"/>
        <v xml:space="preserve">    - xform/〉iunn/ㄧㆫ〉/</v>
      </c>
      <c r="R13" s="135" t="str">
        <f t="shared" si="3"/>
        <v xml:space="preserve">    - xform/〉auh/ㄠㆷ〉/</v>
      </c>
    </row>
    <row r="14" spans="1:18">
      <c r="A14" s="129"/>
      <c r="B14" s="116" t="str">
        <v>ohnn</v>
      </c>
      <c r="C14" s="116" t="str">
        <v>扛</v>
      </c>
      <c r="D14" s="116" t="str">
        <v>ㆧㆷ</v>
      </c>
      <c r="E14" s="116" t="str">
        <v>韻-鼻</v>
      </c>
      <c r="F14" s="116">
        <v>4</v>
      </c>
      <c r="G14" s="129"/>
      <c r="H14" s="116" t="str">
        <v>iah</v>
      </c>
      <c r="I14" s="116" t="str">
        <v>迦</v>
      </c>
      <c r="J14" s="116" t="str">
        <v>ㄧㄚㆷ</v>
      </c>
      <c r="K14" s="116">
        <v>0</v>
      </c>
      <c r="L14" s="116">
        <v>3</v>
      </c>
      <c r="N14" s="134" t="str">
        <f t="shared" si="0"/>
        <v xml:space="preserve">    - xform/》ohnn/扛》/</v>
      </c>
      <c r="O14" s="134" t="str">
        <f t="shared" si="1"/>
        <v xml:space="preserve">    - xform/》iah/迦》/</v>
      </c>
      <c r="Q14" s="135" t="str">
        <f t="shared" si="2"/>
        <v xml:space="preserve">    - xform/〉ohnn/ㆧㆷ〉/</v>
      </c>
      <c r="R14" s="135" t="str">
        <f t="shared" si="3"/>
        <v xml:space="preserve">    - xform/〉iah/ㄧㄚㆷ〉/</v>
      </c>
    </row>
    <row r="15" spans="1:18">
      <c r="A15" s="129"/>
      <c r="B15" s="116" t="str">
        <v>uinn</v>
      </c>
      <c r="C15" s="116" t="str">
        <v>褌</v>
      </c>
      <c r="D15" s="116" t="str">
        <v>ㄨㆪ</v>
      </c>
      <c r="E15" s="116" t="str">
        <v>韻-鼻</v>
      </c>
      <c r="F15" s="116">
        <v>4</v>
      </c>
      <c r="G15" s="129"/>
      <c r="H15" s="116" t="str">
        <v>iak</v>
      </c>
      <c r="I15" s="116" t="str">
        <v>姜</v>
      </c>
      <c r="J15" s="116" t="str">
        <v>ㄧㄚㆻ</v>
      </c>
      <c r="K15" s="116">
        <v>0</v>
      </c>
      <c r="L15" s="116">
        <v>3</v>
      </c>
      <c r="N15" s="134" t="str">
        <f t="shared" si="0"/>
        <v xml:space="preserve">    - xform/》uinn/褌》/</v>
      </c>
      <c r="O15" s="134" t="str">
        <f t="shared" si="1"/>
        <v xml:space="preserve">    - xform/》iak/姜》/</v>
      </c>
      <c r="Q15" s="135" t="str">
        <f t="shared" si="2"/>
        <v xml:space="preserve">    - xform/〉uinn/ㄨㆪ〉/</v>
      </c>
      <c r="R15" s="135" t="str">
        <f t="shared" si="3"/>
        <v xml:space="preserve">    - xform/〉iak/ㄧㄚㆻ〉/</v>
      </c>
    </row>
    <row r="16" spans="1:18">
      <c r="A16" s="129"/>
      <c r="B16" s="116" t="str">
        <v>ann</v>
      </c>
      <c r="C16" s="116" t="str">
        <v>監</v>
      </c>
      <c r="D16" s="116" t="str">
        <v>ㆩ</v>
      </c>
      <c r="E16" s="116" t="str">
        <v>韻-鼻</v>
      </c>
      <c r="F16" s="116">
        <v>3</v>
      </c>
      <c r="G16" s="129"/>
      <c r="H16" s="116" t="str">
        <v>iam</v>
      </c>
      <c r="I16" s="116" t="str">
        <v>兼</v>
      </c>
      <c r="J16" s="116" t="str">
        <v>ㄧㆰ</v>
      </c>
      <c r="K16" s="116">
        <v>0</v>
      </c>
      <c r="L16" s="116">
        <v>3</v>
      </c>
      <c r="N16" s="134" t="str">
        <f t="shared" si="0"/>
        <v xml:space="preserve">    - xform/》ann/監》/</v>
      </c>
      <c r="O16" s="134" t="str">
        <f t="shared" si="1"/>
        <v xml:space="preserve">    - xform/》iam/兼》/</v>
      </c>
      <c r="Q16" s="135" t="str">
        <f t="shared" si="2"/>
        <v xml:space="preserve">    - xform/〉ann/ㆩ〉/</v>
      </c>
      <c r="R16" s="135" t="str">
        <f t="shared" si="3"/>
        <v xml:space="preserve">    - xform/〉iam/ㄧㆰ〉/</v>
      </c>
    </row>
    <row r="17" spans="1:18">
      <c r="A17" s="129"/>
      <c r="B17" s="116" t="str">
        <v>enn</v>
      </c>
      <c r="C17" s="116" t="str">
        <v>更</v>
      </c>
      <c r="D17" s="116" t="str">
        <v>ㆥ</v>
      </c>
      <c r="E17" s="116" t="str">
        <v>韻-鼻</v>
      </c>
      <c r="F17" s="116">
        <v>3</v>
      </c>
      <c r="G17" s="129"/>
      <c r="H17" s="116" t="str">
        <v>ian</v>
      </c>
      <c r="I17" s="116" t="str">
        <v>堅</v>
      </c>
      <c r="J17" s="116" t="str">
        <v>ㄧㄢ</v>
      </c>
      <c r="K17" s="116">
        <v>0</v>
      </c>
      <c r="L17" s="116">
        <v>3</v>
      </c>
      <c r="N17" s="134" t="str">
        <f t="shared" si="0"/>
        <v xml:space="preserve">    - xform/》enn/更》/</v>
      </c>
      <c r="O17" s="134" t="str">
        <f t="shared" si="1"/>
        <v xml:space="preserve">    - xform/》ian/堅》/</v>
      </c>
      <c r="Q17" s="135" t="str">
        <f t="shared" si="2"/>
        <v xml:space="preserve">    - xform/〉enn/ㆥ〉/</v>
      </c>
      <c r="R17" s="135" t="str">
        <f t="shared" si="3"/>
        <v xml:space="preserve">    - xform/〉ian/ㄧㄢ〉/</v>
      </c>
    </row>
    <row r="18" spans="1:18">
      <c r="A18" s="129"/>
      <c r="B18" s="116" t="str">
        <v>inn</v>
      </c>
      <c r="C18" s="116" t="str">
        <v>梔</v>
      </c>
      <c r="D18" s="116" t="str">
        <v>ㆪ</v>
      </c>
      <c r="E18" s="116" t="str">
        <v>韻-鼻</v>
      </c>
      <c r="F18" s="116">
        <v>3</v>
      </c>
      <c r="G18" s="129"/>
      <c r="H18" s="116" t="str">
        <v>iap</v>
      </c>
      <c r="I18" s="116" t="str">
        <v>兼</v>
      </c>
      <c r="J18" s="116" t="str">
        <v>ㄧㄚㆴ</v>
      </c>
      <c r="K18" s="116">
        <v>0</v>
      </c>
      <c r="L18" s="116">
        <v>3</v>
      </c>
      <c r="N18" s="134" t="str">
        <f t="shared" si="0"/>
        <v xml:space="preserve">    - xform/》inn/梔》/</v>
      </c>
      <c r="O18" s="134" t="str">
        <f t="shared" si="1"/>
        <v xml:space="preserve">    - xform/》iap/兼》/</v>
      </c>
      <c r="Q18" s="135" t="str">
        <f t="shared" si="2"/>
        <v xml:space="preserve">    - xform/〉inn/ㆪ〉/</v>
      </c>
      <c r="R18" s="135" t="str">
        <f t="shared" si="3"/>
        <v xml:space="preserve">    - xform/〉iap/ㄧㄚㆴ〉/</v>
      </c>
    </row>
    <row r="19" spans="1:18">
      <c r="A19" s="129"/>
      <c r="B19" s="116" t="str">
        <v>onn</v>
      </c>
      <c r="C19" s="116" t="str">
        <v>姑</v>
      </c>
      <c r="D19" s="116" t="str">
        <v>ㆧ</v>
      </c>
      <c r="E19" s="116" t="str">
        <v>韻-鼻</v>
      </c>
      <c r="F19" s="116">
        <v>3</v>
      </c>
      <c r="G19" s="129"/>
      <c r="H19" s="116" t="str">
        <v>iat</v>
      </c>
      <c r="I19" s="116" t="str">
        <v>堅</v>
      </c>
      <c r="J19" s="116" t="str">
        <v>ㄧㄚㆵ</v>
      </c>
      <c r="K19" s="116">
        <v>0</v>
      </c>
      <c r="L19" s="116">
        <v>3</v>
      </c>
      <c r="N19" s="134" t="str">
        <f t="shared" si="0"/>
        <v xml:space="preserve">    - xform/》onn/姑》/</v>
      </c>
      <c r="O19" s="134" t="str">
        <f t="shared" ref="O19:O67" si="4" xml:space="preserve"> _xlfn.CONCAT("    - xform/", "》", $H19, "/", I19, "》", "/")</f>
        <v xml:space="preserve">    - xform/》iat/堅》/</v>
      </c>
      <c r="R19" s="135" t="str">
        <f t="shared" si="3"/>
        <v xml:space="preserve">    - xform/〉iat/ㄧㄚㆵ〉/</v>
      </c>
    </row>
    <row r="20" spans="1:18">
      <c r="A20" s="129"/>
      <c r="G20" s="129"/>
      <c r="H20" s="116" t="str">
        <v>iau</v>
      </c>
      <c r="I20" s="116" t="str">
        <v>嬌</v>
      </c>
      <c r="J20" s="116" t="str">
        <v>ㄧㄠ</v>
      </c>
      <c r="K20" s="116">
        <v>0</v>
      </c>
      <c r="L20" s="116">
        <v>3</v>
      </c>
      <c r="O20" s="134" t="str">
        <f t="shared" si="4"/>
        <v xml:space="preserve">    - xform/》iau/嬌》/</v>
      </c>
      <c r="R20" s="135" t="str">
        <f t="shared" si="3"/>
        <v xml:space="preserve">    - xform/〉iau/ㄧㄠ〉/</v>
      </c>
    </row>
    <row r="21" spans="1:18">
      <c r="A21" s="129"/>
      <c r="G21" s="129"/>
      <c r="H21" s="116" t="str">
        <v>ing</v>
      </c>
      <c r="I21" s="116" t="str">
        <v>經</v>
      </c>
      <c r="J21" s="116" t="str">
        <v>ㄧㄥ</v>
      </c>
      <c r="K21" s="116">
        <v>0</v>
      </c>
      <c r="L21" s="116">
        <v>3</v>
      </c>
      <c r="O21" s="134" t="str">
        <f t="shared" si="4"/>
        <v xml:space="preserve">    - xform/》ing/經》/</v>
      </c>
      <c r="R21" s="135" t="str">
        <f t="shared" si="3"/>
        <v xml:space="preserve">    - xform/〉ing/ㄧㄥ〉/</v>
      </c>
    </row>
    <row r="22" spans="1:18">
      <c r="A22" s="129"/>
      <c r="G22" s="129"/>
      <c r="H22" s="116" t="str">
        <v>ioh</v>
      </c>
      <c r="I22" s="116" t="str">
        <v>茄</v>
      </c>
      <c r="J22" s="116" t="str">
        <v>ㄧㄜㆷ</v>
      </c>
      <c r="K22" s="116">
        <v>0</v>
      </c>
      <c r="L22" s="116">
        <v>3</v>
      </c>
      <c r="O22" s="134" t="str">
        <f t="shared" si="4"/>
        <v xml:space="preserve">    - xform/》ioh/茄》/</v>
      </c>
      <c r="R22" s="135" t="str">
        <f t="shared" si="3"/>
        <v xml:space="preserve">    - xform/〉ioh/ㄧㄜㆷ〉/</v>
      </c>
    </row>
    <row r="23" spans="1:18">
      <c r="A23" s="129"/>
      <c r="G23" s="129"/>
      <c r="H23" s="116" t="str">
        <v>ioo</v>
      </c>
      <c r="I23" s="116">
        <v>0</v>
      </c>
      <c r="J23" s="116" t="str">
        <v>ㄧㆦ</v>
      </c>
      <c r="K23" s="116">
        <v>0</v>
      </c>
      <c r="L23" s="116">
        <v>3</v>
      </c>
      <c r="O23" s="134" t="str">
        <f t="shared" si="4"/>
        <v xml:space="preserve">    - xform/》ioo/0》/</v>
      </c>
      <c r="R23" s="135" t="str">
        <f t="shared" si="3"/>
        <v xml:space="preserve">    - xform/〉ioo/ㄧㆦ〉/</v>
      </c>
    </row>
    <row r="24" spans="1:18">
      <c r="A24" s="129"/>
      <c r="G24" s="129"/>
      <c r="H24" s="116" t="str">
        <v>iok</v>
      </c>
      <c r="I24" s="116" t="str">
        <v>恭</v>
      </c>
      <c r="J24" s="116" t="str">
        <v>ㄧㆦㆻ</v>
      </c>
      <c r="K24" s="116">
        <v>0</v>
      </c>
      <c r="L24" s="116">
        <v>3</v>
      </c>
      <c r="O24" s="134" t="str">
        <f t="shared" si="4"/>
        <v xml:space="preserve">    - xform/》iok/恭》/</v>
      </c>
      <c r="R24" s="135" t="str">
        <f t="shared" si="3"/>
        <v xml:space="preserve">    - xform/〉iok/ㄧㆦㆻ〉/</v>
      </c>
    </row>
    <row r="25" spans="1:18">
      <c r="A25" s="129"/>
      <c r="G25" s="129"/>
      <c r="H25" s="116" t="str">
        <v>ngh</v>
      </c>
      <c r="I25" s="116" t="str">
        <v>鋼</v>
      </c>
      <c r="J25" s="116" t="str">
        <v>ㆭㆷ</v>
      </c>
      <c r="K25" s="116">
        <v>0</v>
      </c>
      <c r="L25" s="116">
        <v>3</v>
      </c>
      <c r="O25" s="134" t="str">
        <f t="shared" si="4"/>
        <v xml:space="preserve">    - xform/》ngh/鋼》/</v>
      </c>
      <c r="R25" s="135" t="str">
        <f t="shared" si="3"/>
        <v xml:space="preserve">    - xform/〉ngh/ㆭㆷ〉/</v>
      </c>
    </row>
    <row r="26" spans="1:18">
      <c r="A26" s="129"/>
      <c r="G26" s="129"/>
      <c r="H26" s="116" t="str">
        <v>ong</v>
      </c>
      <c r="I26" s="116" t="str">
        <v>公</v>
      </c>
      <c r="J26" s="116" t="str">
        <v>ㆲ</v>
      </c>
      <c r="K26" s="116">
        <v>0</v>
      </c>
      <c r="L26" s="116">
        <v>3</v>
      </c>
      <c r="O26" s="134" t="str">
        <f t="shared" si="4"/>
        <v xml:space="preserve">    - xform/》ong/公》/</v>
      </c>
      <c r="R26" s="135" t="str">
        <f t="shared" si="3"/>
        <v xml:space="preserve">    - xform/〉ong/ㆲ〉/</v>
      </c>
    </row>
    <row r="27" spans="1:18">
      <c r="A27" s="129"/>
      <c r="G27" s="129"/>
      <c r="H27" s="116" t="str">
        <v>ooh</v>
      </c>
      <c r="I27" s="116" t="str">
        <v>沽</v>
      </c>
      <c r="J27" s="116" t="str">
        <v>ㆦㆷ</v>
      </c>
      <c r="K27" s="116">
        <v>0</v>
      </c>
      <c r="L27" s="116">
        <v>3</v>
      </c>
      <c r="O27" s="134" t="str">
        <f t="shared" si="4"/>
        <v xml:space="preserve">    - xform/》ooh/沽》/</v>
      </c>
      <c r="R27" s="135" t="str">
        <f t="shared" si="3"/>
        <v xml:space="preserve">    - xform/〉ooh/ㆦㆷ〉/</v>
      </c>
    </row>
    <row r="28" spans="1:18">
      <c r="A28" s="129"/>
      <c r="G28" s="129"/>
      <c r="H28" s="116" t="str">
        <v>uah</v>
      </c>
      <c r="I28" s="116" t="str">
        <v>瓜</v>
      </c>
      <c r="J28" s="116" t="str">
        <v>ㄨㄚㆷ</v>
      </c>
      <c r="K28" s="116">
        <v>0</v>
      </c>
      <c r="L28" s="116">
        <v>3</v>
      </c>
      <c r="O28" s="134" t="str">
        <f t="shared" si="4"/>
        <v xml:space="preserve">    - xform/》uah/瓜》/</v>
      </c>
      <c r="R28" s="135" t="str">
        <f t="shared" si="3"/>
        <v xml:space="preserve">    - xform/〉uah/ㄨㄚㆷ〉/</v>
      </c>
    </row>
    <row r="29" spans="1:18">
      <c r="A29" s="129"/>
      <c r="G29" s="129"/>
      <c r="H29" s="116" t="str">
        <v>uai</v>
      </c>
      <c r="I29" s="116" t="str">
        <v>乖</v>
      </c>
      <c r="J29" s="116" t="str">
        <v>ㄨㄞ</v>
      </c>
      <c r="K29" s="116">
        <v>0</v>
      </c>
      <c r="L29" s="116">
        <v>3</v>
      </c>
      <c r="O29" s="134" t="str">
        <f t="shared" si="4"/>
        <v xml:space="preserve">    - xform/》uai/乖》/</v>
      </c>
      <c r="R29" s="135" t="str">
        <f t="shared" si="3"/>
        <v xml:space="preserve">    - xform/〉uai/ㄨㄞ〉/</v>
      </c>
    </row>
    <row r="30" spans="1:18">
      <c r="A30" s="129"/>
      <c r="G30" s="129"/>
      <c r="H30" s="116" t="str">
        <v>uan</v>
      </c>
      <c r="I30" s="116" t="str">
        <v>觀</v>
      </c>
      <c r="J30" s="116" t="str">
        <v>ㄨㄢ</v>
      </c>
      <c r="K30" s="116">
        <v>0</v>
      </c>
      <c r="L30" s="116">
        <v>3</v>
      </c>
      <c r="O30" s="134" t="str">
        <f t="shared" si="4"/>
        <v xml:space="preserve">    - xform/》uan/觀》/</v>
      </c>
      <c r="R30" s="135" t="str">
        <f t="shared" si="3"/>
        <v xml:space="preserve">    - xform/〉uan/ㄨㄢ〉/</v>
      </c>
    </row>
    <row r="31" spans="1:18">
      <c r="A31" s="129"/>
      <c r="G31" s="129"/>
      <c r="H31" s="116" t="str">
        <v>uat</v>
      </c>
      <c r="I31" s="116" t="str">
        <v>觀</v>
      </c>
      <c r="J31" s="116" t="str">
        <v>ㄨㄚㆵ</v>
      </c>
      <c r="K31" s="116">
        <v>0</v>
      </c>
      <c r="L31" s="116">
        <v>3</v>
      </c>
      <c r="O31" s="134" t="str">
        <f t="shared" si="4"/>
        <v xml:space="preserve">    - xform/》uat/觀》/</v>
      </c>
      <c r="R31" s="135" t="str">
        <f t="shared" si="3"/>
        <v xml:space="preserve">    - xform/〉uat/ㄨㄚㆵ〉/</v>
      </c>
    </row>
    <row r="32" spans="1:18">
      <c r="A32" s="129"/>
      <c r="G32" s="129"/>
      <c r="H32" s="116" t="str">
        <v>ueh</v>
      </c>
      <c r="I32" s="116" t="str">
        <v>檜</v>
      </c>
      <c r="J32" s="116" t="str">
        <v>ㄨㆤㆷ</v>
      </c>
      <c r="K32" s="116">
        <v>0</v>
      </c>
      <c r="L32" s="116">
        <v>3</v>
      </c>
      <c r="O32" s="134" t="str">
        <f t="shared" si="4"/>
        <v xml:space="preserve">    - xform/》ueh/檜》/</v>
      </c>
      <c r="R32" s="135" t="str">
        <f t="shared" si="3"/>
        <v xml:space="preserve">    - xform/〉ueh/ㄨㆤㆷ〉/</v>
      </c>
    </row>
    <row r="33" spans="1:18">
      <c r="A33" s="129"/>
      <c r="G33" s="129"/>
      <c r="H33" s="116" t="str">
        <v>uih</v>
      </c>
      <c r="I33" s="116" t="str">
        <v>褌</v>
      </c>
      <c r="J33" s="116" t="str">
        <v>ㄨㄧㆷ</v>
      </c>
      <c r="K33" s="116">
        <v>0</v>
      </c>
      <c r="L33" s="116">
        <v>3</v>
      </c>
      <c r="O33" s="134" t="str">
        <f t="shared" si="4"/>
        <v xml:space="preserve">    - xform/》uih/褌》/</v>
      </c>
      <c r="R33" s="135" t="str">
        <f t="shared" si="3"/>
        <v xml:space="preserve">    - xform/〉uih/ㄨㄧㆷ〉/</v>
      </c>
    </row>
    <row r="34" spans="1:18">
      <c r="A34" s="129"/>
      <c r="G34" s="129"/>
      <c r="H34" s="116" t="str">
        <v>unn</v>
      </c>
      <c r="I34" s="116">
        <v>0</v>
      </c>
      <c r="J34" s="116" t="str">
        <v>ㆫ</v>
      </c>
      <c r="K34" s="116">
        <v>0</v>
      </c>
      <c r="L34" s="116">
        <v>3</v>
      </c>
      <c r="O34" s="134" t="str">
        <f t="shared" si="4"/>
        <v xml:space="preserve">    - xform/》unn/0》/</v>
      </c>
      <c r="R34" s="135" t="str">
        <f t="shared" si="3"/>
        <v xml:space="preserve">    - xform/〉unn/ㆫ〉/</v>
      </c>
    </row>
    <row r="35" spans="1:18">
      <c r="A35" s="129"/>
      <c r="G35" s="129"/>
      <c r="H35" s="116" t="str">
        <v>ah</v>
      </c>
      <c r="I35" s="116" t="str">
        <v>膠</v>
      </c>
      <c r="J35" s="116" t="str">
        <v>ㄚㆷ</v>
      </c>
      <c r="K35" s="116">
        <v>0</v>
      </c>
      <c r="L35" s="116">
        <v>2</v>
      </c>
      <c r="O35" s="134" t="str">
        <f t="shared" si="4"/>
        <v xml:space="preserve">    - xform/》ah/膠》/</v>
      </c>
      <c r="R35" s="135" t="str">
        <f t="shared" si="3"/>
        <v xml:space="preserve">    - xform/〉ah/ㄚㆷ〉/</v>
      </c>
    </row>
    <row r="36" spans="1:18">
      <c r="A36" s="129"/>
      <c r="G36" s="129"/>
      <c r="H36" s="116" t="str">
        <v>ai</v>
      </c>
      <c r="I36" s="116" t="str">
        <v>皆</v>
      </c>
      <c r="J36" s="116" t="str">
        <v>ㄞ</v>
      </c>
      <c r="K36" s="116">
        <v>0</v>
      </c>
      <c r="L36" s="116">
        <v>2</v>
      </c>
      <c r="O36" s="134" t="str">
        <f t="shared" si="4"/>
        <v xml:space="preserve">    - xform/》ai/皆》/</v>
      </c>
      <c r="R36" s="135" t="str">
        <f t="shared" si="3"/>
        <v xml:space="preserve">    - xform/〉ai/ㄞ〉/</v>
      </c>
    </row>
    <row r="37" spans="1:18">
      <c r="A37" s="129"/>
      <c r="G37" s="129"/>
      <c r="H37" s="116" t="str">
        <v>ak</v>
      </c>
      <c r="I37" s="116" t="str">
        <v>江</v>
      </c>
      <c r="J37" s="116" t="str">
        <v>ㄚㆻ</v>
      </c>
      <c r="K37" s="116">
        <v>0</v>
      </c>
      <c r="L37" s="116">
        <v>2</v>
      </c>
      <c r="O37" s="134" t="str">
        <f t="shared" si="4"/>
        <v xml:space="preserve">    - xform/》ak/江》/</v>
      </c>
      <c r="R37" s="135" t="str">
        <f t="shared" si="3"/>
        <v xml:space="preserve">    - xform/〉ak/ㄚㆻ〉/</v>
      </c>
    </row>
    <row r="38" spans="1:18">
      <c r="A38" s="129"/>
      <c r="G38" s="129"/>
      <c r="H38" s="116" t="str">
        <v>am</v>
      </c>
      <c r="I38" s="116" t="str">
        <v>甘</v>
      </c>
      <c r="J38" s="116" t="str">
        <v>ㆰ</v>
      </c>
      <c r="K38" s="116">
        <v>0</v>
      </c>
      <c r="L38" s="116">
        <v>2</v>
      </c>
      <c r="O38" s="134" t="str">
        <f t="shared" si="4"/>
        <v xml:space="preserve">    - xform/》am/甘》/</v>
      </c>
      <c r="R38" s="135" t="str">
        <f t="shared" si="3"/>
        <v xml:space="preserve">    - xform/〉am/ㆰ〉/</v>
      </c>
    </row>
    <row r="39" spans="1:18">
      <c r="A39" s="129"/>
      <c r="G39" s="129"/>
      <c r="H39" s="116" t="str">
        <v>an</v>
      </c>
      <c r="I39" s="116" t="str">
        <v>干</v>
      </c>
      <c r="J39" s="116" t="str">
        <v>ㄢ</v>
      </c>
      <c r="K39" s="116">
        <v>0</v>
      </c>
      <c r="L39" s="116">
        <v>2</v>
      </c>
      <c r="O39" s="134" t="str">
        <f t="shared" si="4"/>
        <v xml:space="preserve">    - xform/》an/干》/</v>
      </c>
      <c r="R39" s="135" t="str">
        <f t="shared" si="3"/>
        <v xml:space="preserve">    - xform/〉an/ㄢ〉/</v>
      </c>
    </row>
    <row r="40" spans="1:18">
      <c r="A40" s="129"/>
      <c r="G40" s="129"/>
      <c r="H40" s="116" t="str">
        <v>ap</v>
      </c>
      <c r="I40" s="116" t="str">
        <v>甘</v>
      </c>
      <c r="J40" s="116" t="str">
        <v>ㄚㆴ</v>
      </c>
      <c r="K40" s="116">
        <v>0</v>
      </c>
      <c r="L40" s="116">
        <v>2</v>
      </c>
      <c r="O40" s="134" t="str">
        <f t="shared" si="4"/>
        <v xml:space="preserve">    - xform/》ap/甘》/</v>
      </c>
      <c r="R40" s="135" t="str">
        <f t="shared" si="3"/>
        <v xml:space="preserve">    - xform/〉ap/ㄚㆴ〉/</v>
      </c>
    </row>
    <row r="41" spans="1:18">
      <c r="A41" s="129"/>
      <c r="G41" s="129"/>
      <c r="H41" s="116" t="str">
        <v>at</v>
      </c>
      <c r="I41" s="116" t="str">
        <v>干</v>
      </c>
      <c r="J41" s="116" t="str">
        <v>ㄚㆵ</v>
      </c>
      <c r="K41" s="116">
        <v>0</v>
      </c>
      <c r="L41" s="116">
        <v>2</v>
      </c>
      <c r="O41" s="134" t="str">
        <f t="shared" si="4"/>
        <v xml:space="preserve">    - xform/》at/干》/</v>
      </c>
      <c r="R41" s="135" t="str">
        <f t="shared" si="3"/>
        <v xml:space="preserve">    - xform/〉at/ㄚㆵ〉/</v>
      </c>
    </row>
    <row r="42" spans="1:18">
      <c r="A42" s="129"/>
      <c r="G42" s="129"/>
      <c r="H42" s="116" t="str">
        <v>au</v>
      </c>
      <c r="I42" s="116" t="str">
        <v>交</v>
      </c>
      <c r="J42" s="116" t="str">
        <v>ㄠ</v>
      </c>
      <c r="K42" s="116">
        <v>0</v>
      </c>
      <c r="L42" s="116">
        <v>2</v>
      </c>
      <c r="O42" s="134" t="str">
        <f t="shared" si="4"/>
        <v xml:space="preserve">    - xform/》au/交》/</v>
      </c>
      <c r="R42" s="135" t="str">
        <f t="shared" si="3"/>
        <v xml:space="preserve">    - xform/〉au/ㄠ〉/</v>
      </c>
    </row>
    <row r="43" spans="1:18">
      <c r="A43" s="129"/>
      <c r="G43" s="129"/>
      <c r="H43" s="116" t="str">
        <v>eh</v>
      </c>
      <c r="I43" s="116" t="str">
        <v>伽</v>
      </c>
      <c r="J43" s="116" t="str">
        <v>ㆤㆷ</v>
      </c>
      <c r="K43" s="116">
        <v>0</v>
      </c>
      <c r="L43" s="116">
        <v>2</v>
      </c>
      <c r="O43" s="134" t="str">
        <f t="shared" si="4"/>
        <v xml:space="preserve">    - xform/》eh/伽》/</v>
      </c>
      <c r="R43" s="135" t="str">
        <f t="shared" si="3"/>
        <v xml:space="preserve">    - xform/〉eh/ㆤㆷ〉/</v>
      </c>
    </row>
    <row r="44" spans="1:18">
      <c r="A44" s="129"/>
      <c r="G44" s="129"/>
      <c r="H44" s="116" t="str">
        <v>ia</v>
      </c>
      <c r="I44" s="116" t="str">
        <v>迦</v>
      </c>
      <c r="J44" s="116" t="str">
        <v>ㄧㄚ</v>
      </c>
      <c r="K44" s="116">
        <v>0</v>
      </c>
      <c r="L44" s="116">
        <v>2</v>
      </c>
      <c r="O44" s="134" t="str">
        <f t="shared" si="4"/>
        <v xml:space="preserve">    - xform/》ia/迦》/</v>
      </c>
      <c r="R44" s="135" t="str">
        <f t="shared" si="3"/>
        <v xml:space="preserve">    - xform/〉ia/ㄧㄚ〉/</v>
      </c>
    </row>
    <row r="45" spans="1:18">
      <c r="A45" s="129"/>
      <c r="G45" s="129"/>
      <c r="H45" s="116" t="str">
        <v>ih</v>
      </c>
      <c r="I45" s="116" t="str">
        <v>居</v>
      </c>
      <c r="J45" s="116" t="str">
        <v>ㄧㆷ</v>
      </c>
      <c r="K45" s="116">
        <v>0</v>
      </c>
      <c r="L45" s="116">
        <v>2</v>
      </c>
      <c r="O45" s="134" t="str">
        <f t="shared" si="4"/>
        <v xml:space="preserve">    - xform/》ih/居》/</v>
      </c>
      <c r="R45" s="135" t="str">
        <f t="shared" si="3"/>
        <v xml:space="preserve">    - xform/〉ih/ㄧㆷ〉/</v>
      </c>
    </row>
    <row r="46" spans="1:18">
      <c r="A46" s="129"/>
      <c r="G46" s="129"/>
      <c r="H46" s="116" t="str">
        <v>ik</v>
      </c>
      <c r="I46" s="116" t="str">
        <v>經</v>
      </c>
      <c r="J46" s="116" t="str">
        <v>ㄧㆻ</v>
      </c>
      <c r="K46" s="116">
        <v>0</v>
      </c>
      <c r="L46" s="116">
        <v>2</v>
      </c>
      <c r="O46" s="134" t="str">
        <f t="shared" si="4"/>
        <v xml:space="preserve">    - xform/》ik/經》/</v>
      </c>
      <c r="R46" s="135" t="str">
        <f t="shared" si="3"/>
        <v xml:space="preserve">    - xform/〉ik/ㄧㆻ〉/</v>
      </c>
    </row>
    <row r="47" spans="1:18">
      <c r="A47" s="129"/>
      <c r="G47" s="129"/>
      <c r="H47" s="116" t="str">
        <v>im</v>
      </c>
      <c r="I47" s="116" t="str">
        <v>金</v>
      </c>
      <c r="J47" s="116" t="str">
        <v>ㄧㆬ</v>
      </c>
      <c r="K47" s="116">
        <v>0</v>
      </c>
      <c r="L47" s="116">
        <v>2</v>
      </c>
      <c r="O47" s="134" t="str">
        <f t="shared" si="4"/>
        <v xml:space="preserve">    - xform/》im/金》/</v>
      </c>
      <c r="R47" s="135" t="str">
        <f t="shared" si="3"/>
        <v xml:space="preserve">    - xform/〉im/ㄧㆬ〉/</v>
      </c>
    </row>
    <row r="48" spans="1:18">
      <c r="A48" s="129"/>
      <c r="G48" s="129"/>
      <c r="H48" s="116" t="str">
        <v>in</v>
      </c>
      <c r="I48" s="116" t="str">
        <v>巾</v>
      </c>
      <c r="J48" s="116" t="str">
        <v>ㄧㄣ</v>
      </c>
      <c r="K48" s="116">
        <v>0</v>
      </c>
      <c r="L48" s="116">
        <v>2</v>
      </c>
      <c r="O48" s="134" t="str">
        <f t="shared" si="4"/>
        <v xml:space="preserve">    - xform/》in/巾》/</v>
      </c>
      <c r="R48" s="135" t="str">
        <f t="shared" si="3"/>
        <v xml:space="preserve">    - xform/〉in/ㄧㄣ〉/</v>
      </c>
    </row>
    <row r="49" spans="1:18">
      <c r="A49" s="129"/>
      <c r="G49" s="129"/>
      <c r="H49" s="116" t="str">
        <v>io</v>
      </c>
      <c r="I49" s="116" t="str">
        <v>茄</v>
      </c>
      <c r="J49" s="116" t="str">
        <v>ㄧㄜ</v>
      </c>
      <c r="K49" s="116">
        <v>0</v>
      </c>
      <c r="L49" s="116">
        <v>2</v>
      </c>
      <c r="O49" s="134" t="str">
        <f t="shared" si="4"/>
        <v xml:space="preserve">    - xform/》io/茄》/</v>
      </c>
      <c r="R49" s="135" t="str">
        <f t="shared" si="3"/>
        <v xml:space="preserve">    - xform/〉io/ㄧㄜ〉/</v>
      </c>
    </row>
    <row r="50" spans="1:18">
      <c r="A50" s="129"/>
      <c r="G50" s="129"/>
      <c r="H50" s="116" t="str">
        <v>ip</v>
      </c>
      <c r="I50" s="116" t="str">
        <v>金</v>
      </c>
      <c r="J50" s="116" t="str">
        <v>一ㆴ</v>
      </c>
      <c r="K50" s="116">
        <v>0</v>
      </c>
      <c r="L50" s="116">
        <v>2</v>
      </c>
      <c r="O50" s="134" t="str">
        <f t="shared" si="4"/>
        <v xml:space="preserve">    - xform/》ip/金》/</v>
      </c>
      <c r="R50" s="135" t="str">
        <f t="shared" si="3"/>
        <v xml:space="preserve">    - xform/〉ip/一ㆴ〉/</v>
      </c>
    </row>
    <row r="51" spans="1:18">
      <c r="A51" s="129"/>
      <c r="G51" s="129"/>
      <c r="H51" s="116" t="str">
        <v>it</v>
      </c>
      <c r="I51" s="116" t="str">
        <v>巾</v>
      </c>
      <c r="J51" s="116" t="str">
        <v>ㄧㆵ</v>
      </c>
      <c r="K51" s="116">
        <v>0</v>
      </c>
      <c r="L51" s="116">
        <v>2</v>
      </c>
      <c r="O51" s="134" t="str">
        <f t="shared" si="4"/>
        <v xml:space="preserve">    - xform/》it/巾》/</v>
      </c>
      <c r="R51" s="135" t="str">
        <f t="shared" si="3"/>
        <v xml:space="preserve">    - xform/〉it/ㄧㆵ〉/</v>
      </c>
    </row>
    <row r="52" spans="1:18">
      <c r="A52" s="129"/>
      <c r="G52" s="129"/>
      <c r="H52" s="116" t="str">
        <v>iu</v>
      </c>
      <c r="I52" s="116" t="str">
        <v>丩</v>
      </c>
      <c r="J52" s="116" t="str">
        <v>ㄧㄨ</v>
      </c>
      <c r="K52" s="116">
        <v>0</v>
      </c>
      <c r="L52" s="116">
        <v>2</v>
      </c>
      <c r="O52" s="134" t="str">
        <f t="shared" si="4"/>
        <v xml:space="preserve">    - xform/》iu/丩》/</v>
      </c>
      <c r="R52" s="135" t="str">
        <f t="shared" si="3"/>
        <v xml:space="preserve">    - xform/〉iu/ㄧㄨ〉/</v>
      </c>
    </row>
    <row r="53" spans="1:18">
      <c r="A53" s="129"/>
      <c r="G53" s="129"/>
      <c r="H53" s="116" t="str">
        <v>mh</v>
      </c>
      <c r="I53" s="116" t="str">
        <v>姆</v>
      </c>
      <c r="J53" s="116" t="str">
        <v>ㆬㆷ</v>
      </c>
      <c r="K53" s="116">
        <v>0</v>
      </c>
      <c r="L53" s="116">
        <v>2</v>
      </c>
      <c r="O53" s="134" t="str">
        <f t="shared" si="4"/>
        <v xml:space="preserve">    - xform/》mh/姆》/</v>
      </c>
      <c r="R53" s="135" t="str">
        <f t="shared" si="3"/>
        <v xml:space="preserve">    - xform/〉mh/ㆬㆷ〉/</v>
      </c>
    </row>
    <row r="54" spans="1:18">
      <c r="A54" s="129"/>
      <c r="G54" s="129"/>
      <c r="H54" s="116" t="str">
        <v>ng</v>
      </c>
      <c r="I54" s="116" t="str">
        <v>鋼</v>
      </c>
      <c r="J54" s="116" t="str">
        <v>ㆭ</v>
      </c>
      <c r="K54" s="116">
        <v>0</v>
      </c>
      <c r="L54" s="116">
        <v>2</v>
      </c>
      <c r="O54" s="134" t="str">
        <f t="shared" si="4"/>
        <v xml:space="preserve">    - xform/》ng/鋼》/</v>
      </c>
      <c r="R54" s="135" t="str">
        <f t="shared" si="3"/>
        <v xml:space="preserve">    - xform/〉ng/ㆭ〉/</v>
      </c>
    </row>
    <row r="55" spans="1:18">
      <c r="A55" s="129"/>
      <c r="G55" s="129"/>
      <c r="H55" s="116" t="str">
        <v>oh</v>
      </c>
      <c r="I55" s="116" t="str">
        <v>高</v>
      </c>
      <c r="J55" s="116" t="str">
        <v>ㄜㆷ</v>
      </c>
      <c r="K55" s="116">
        <v>0</v>
      </c>
      <c r="L55" s="116">
        <v>2</v>
      </c>
      <c r="O55" s="134" t="str">
        <f t="shared" si="4"/>
        <v xml:space="preserve">    - xform/》oh/高》/</v>
      </c>
      <c r="R55" s="135" t="str">
        <f t="shared" si="3"/>
        <v xml:space="preserve">    - xform/〉oh/ㄜㆷ〉/</v>
      </c>
    </row>
    <row r="56" spans="1:18">
      <c r="H56" s="116" t="str">
        <v>ok</v>
      </c>
      <c r="I56" s="116" t="str">
        <v>公</v>
      </c>
      <c r="J56" s="116" t="str">
        <v>ㆦㆻ</v>
      </c>
      <c r="K56" s="116">
        <v>0</v>
      </c>
      <c r="L56" s="116">
        <v>2</v>
      </c>
      <c r="O56" s="134" t="str">
        <f t="shared" si="4"/>
        <v xml:space="preserve">    - xform/》ok/公》/</v>
      </c>
      <c r="R56" s="135" t="str">
        <f t="shared" si="3"/>
        <v xml:space="preserve">    - xform/〉ok/ㆦㆻ〉/</v>
      </c>
    </row>
    <row r="57" spans="1:18">
      <c r="H57" s="116" t="str">
        <v>om</v>
      </c>
      <c r="I57" s="116" t="str">
        <v>箴</v>
      </c>
      <c r="J57" s="116" t="str">
        <v>ㆱ</v>
      </c>
      <c r="K57" s="116">
        <v>0</v>
      </c>
      <c r="L57" s="116">
        <v>2</v>
      </c>
      <c r="O57" s="134" t="str">
        <f t="shared" si="4"/>
        <v xml:space="preserve">    - xform/》om/箴》/</v>
      </c>
      <c r="R57" s="135" t="str">
        <f t="shared" si="3"/>
        <v xml:space="preserve">    - xform/〉om/ㆱ〉/</v>
      </c>
    </row>
    <row r="58" spans="1:18">
      <c r="H58" s="116" t="str">
        <v>oo</v>
      </c>
      <c r="I58" s="116" t="str">
        <v>沽</v>
      </c>
      <c r="J58" s="116" t="str">
        <v>ㆦ</v>
      </c>
      <c r="K58" s="116">
        <v>0</v>
      </c>
      <c r="L58" s="116">
        <v>2</v>
      </c>
      <c r="O58" s="134" t="str">
        <f t="shared" si="4"/>
        <v xml:space="preserve">    - xform/》oo/沽》/</v>
      </c>
      <c r="R58" s="135" t="str">
        <f t="shared" si="3"/>
        <v xml:space="preserve">    - xform/〉oo/ㆦ〉/</v>
      </c>
    </row>
    <row r="59" spans="1:18">
      <c r="H59" s="116" t="str">
        <v>op</v>
      </c>
      <c r="I59" s="116" t="str">
        <v>箴</v>
      </c>
      <c r="J59" s="116" t="str">
        <v>ㆦㆴ</v>
      </c>
      <c r="K59" s="116">
        <v>0</v>
      </c>
      <c r="L59" s="116">
        <v>2</v>
      </c>
      <c r="O59" s="134" t="str">
        <f t="shared" si="4"/>
        <v xml:space="preserve">    - xform/》op/箴》/</v>
      </c>
      <c r="R59" s="135" t="str">
        <f t="shared" si="3"/>
        <v xml:space="preserve">    - xform/〉op/ㆦㆴ〉/</v>
      </c>
    </row>
    <row r="60" spans="1:18">
      <c r="A60" s="129"/>
      <c r="G60" s="129"/>
      <c r="H60" s="116" t="str">
        <v>ua</v>
      </c>
      <c r="I60" s="116" t="str">
        <v>瓜</v>
      </c>
      <c r="J60" s="116" t="str">
        <v>ㄨㄚ</v>
      </c>
      <c r="K60" s="116">
        <v>0</v>
      </c>
      <c r="L60" s="116">
        <v>2</v>
      </c>
      <c r="O60" s="134" t="str">
        <f t="shared" si="4"/>
        <v xml:space="preserve">    - xform/》ua/瓜》/</v>
      </c>
      <c r="R60" s="135" t="str">
        <f t="shared" si="3"/>
        <v xml:space="preserve">    - xform/〉ua/ㄨㄚ〉/</v>
      </c>
    </row>
    <row r="61" spans="1:18">
      <c r="A61" s="129"/>
      <c r="G61" s="129"/>
      <c r="H61" s="116" t="str">
        <v>ue</v>
      </c>
      <c r="I61" s="116" t="str">
        <v>檜</v>
      </c>
      <c r="J61" s="116" t="str">
        <v>ㄨㆤ</v>
      </c>
      <c r="K61" s="116">
        <v>0</v>
      </c>
      <c r="L61" s="116">
        <v>2</v>
      </c>
      <c r="O61" s="134" t="str">
        <f t="shared" si="4"/>
        <v xml:space="preserve">    - xform/》ue/檜》/</v>
      </c>
      <c r="R61" s="135" t="str">
        <f t="shared" si="3"/>
        <v xml:space="preserve">    - xform/〉ue/ㄨㆤ〉/</v>
      </c>
    </row>
    <row r="62" spans="1:18">
      <c r="A62" s="129"/>
      <c r="G62" s="129"/>
      <c r="H62" s="116" t="str">
        <v>uh</v>
      </c>
      <c r="I62" s="116" t="str">
        <v>艍</v>
      </c>
      <c r="J62" s="116" t="str">
        <v>ㄨㆷ</v>
      </c>
      <c r="K62" s="116">
        <v>0</v>
      </c>
      <c r="L62" s="116">
        <v>2</v>
      </c>
      <c r="O62" s="134" t="str">
        <f t="shared" si="4"/>
        <v xml:space="preserve">    - xform/》uh/艍》/</v>
      </c>
      <c r="R62" s="135" t="str">
        <f t="shared" si="3"/>
        <v xml:space="preserve">    - xform/〉uh/ㄨㆷ〉/</v>
      </c>
    </row>
    <row r="63" spans="1:18">
      <c r="A63" s="129"/>
      <c r="G63" s="129"/>
      <c r="H63" s="116" t="str">
        <v>ui</v>
      </c>
      <c r="I63" s="116" t="str">
        <v>規</v>
      </c>
      <c r="J63" s="116" t="str">
        <v>ㄨㄧ</v>
      </c>
      <c r="K63" s="116">
        <v>0</v>
      </c>
      <c r="L63" s="116">
        <v>2</v>
      </c>
      <c r="O63" s="134" t="str">
        <f t="shared" si="4"/>
        <v xml:space="preserve">    - xform/》ui/規》/</v>
      </c>
      <c r="R63" s="135" t="str">
        <f t="shared" si="3"/>
        <v xml:space="preserve">    - xform/〉ui/ㄨㄧ〉/</v>
      </c>
    </row>
    <row r="64" spans="1:18">
      <c r="A64" s="129"/>
      <c r="G64" s="129"/>
      <c r="H64" s="116" t="str">
        <v>un</v>
      </c>
      <c r="I64" s="116" t="str">
        <v>君</v>
      </c>
      <c r="J64" s="116" t="str">
        <v>ㄨㄣ</v>
      </c>
      <c r="K64" s="116">
        <v>0</v>
      </c>
      <c r="L64" s="116">
        <v>2</v>
      </c>
      <c r="O64" s="134" t="str">
        <f t="shared" si="4"/>
        <v xml:space="preserve">    - xform/》un/君》/</v>
      </c>
      <c r="R64" s="135" t="str">
        <f t="shared" si="3"/>
        <v xml:space="preserve">    - xform/〉un/ㄨㄣ〉/</v>
      </c>
    </row>
    <row r="65" spans="1:32">
      <c r="A65" s="129"/>
      <c r="G65" s="129"/>
      <c r="H65" s="116" t="str">
        <v>ut</v>
      </c>
      <c r="I65" s="116" t="str">
        <v>君</v>
      </c>
      <c r="J65" s="116" t="str">
        <v>ㄨㆵ</v>
      </c>
      <c r="K65" s="116">
        <v>0</v>
      </c>
      <c r="L65" s="116">
        <v>2</v>
      </c>
      <c r="O65" s="134" t="str">
        <f t="shared" si="4"/>
        <v xml:space="preserve">    - xform/》ut/君》/</v>
      </c>
      <c r="R65" s="135" t="str">
        <f t="shared" si="3"/>
        <v xml:space="preserve">    - xform/〉ut/ㄨㆵ〉/</v>
      </c>
    </row>
    <row r="66" spans="1:32">
      <c r="A66" s="129"/>
      <c r="G66" s="129"/>
      <c r="H66" s="116" t="str">
        <v>a</v>
      </c>
      <c r="I66" s="116" t="str">
        <v>膠</v>
      </c>
      <c r="J66" s="116" t="str">
        <v>ㄚ</v>
      </c>
      <c r="K66" s="116">
        <v>0</v>
      </c>
      <c r="L66" s="116">
        <v>1</v>
      </c>
      <c r="O66" s="134" t="str">
        <f t="shared" si="4"/>
        <v xml:space="preserve">    - xform/》a/膠》/</v>
      </c>
      <c r="R66" s="135" t="str">
        <f t="shared" si="3"/>
        <v xml:space="preserve">    - xform/〉a/ㄚ〉/</v>
      </c>
    </row>
    <row r="67" spans="1:32">
      <c r="A67" s="129"/>
      <c r="G67" s="129"/>
      <c r="H67" s="116" t="str">
        <v>e</v>
      </c>
      <c r="I67" s="116" t="str">
        <v>伽</v>
      </c>
      <c r="J67" s="116" t="str">
        <v>ㆤ</v>
      </c>
      <c r="K67" s="116">
        <v>0</v>
      </c>
      <c r="L67" s="116">
        <v>1</v>
      </c>
      <c r="O67" s="134" t="str">
        <f t="shared" si="4"/>
        <v xml:space="preserve">    - xform/》e/伽》/</v>
      </c>
      <c r="R67" s="135" t="str">
        <f t="shared" si="3"/>
        <v xml:space="preserve">    - xform/〉e/ㆤ〉/</v>
      </c>
    </row>
    <row r="68" spans="1:32">
      <c r="A68" s="129"/>
      <c r="G68" s="129"/>
      <c r="H68" s="116" t="str">
        <v>i</v>
      </c>
      <c r="I68" s="116" t="str">
        <v>居</v>
      </c>
      <c r="J68" s="116" t="str">
        <v>ㄧ</v>
      </c>
      <c r="K68" s="116">
        <v>0</v>
      </c>
      <c r="L68" s="116">
        <v>1</v>
      </c>
      <c r="R68" s="135" t="str">
        <f t="shared" ref="R68" si="5" xml:space="preserve"> _xlfn.CONCAT("    - xform/", "〉", $H68, "/", J68, "〉", "/")</f>
        <v xml:space="preserve">    - xform/〉i/ㄧ〉/</v>
      </c>
    </row>
    <row r="69" spans="1:32">
      <c r="A69" s="129"/>
      <c r="G69" s="129"/>
      <c r="H69" s="116" t="str">
        <v>m</v>
      </c>
      <c r="I69" s="116" t="str">
        <v>姆</v>
      </c>
      <c r="J69" s="116" t="str">
        <v>ㆬ</v>
      </c>
      <c r="K69" s="116">
        <v>0</v>
      </c>
      <c r="L69" s="116">
        <v>1</v>
      </c>
    </row>
    <row r="70" spans="1:32">
      <c r="A70" s="129"/>
      <c r="G70" s="129"/>
      <c r="H70" s="116" t="str">
        <v>o</v>
      </c>
      <c r="I70" s="116" t="str">
        <v>高</v>
      </c>
      <c r="J70" s="116" t="str">
        <v>ㄜ</v>
      </c>
      <c r="K70" s="116">
        <v>0</v>
      </c>
      <c r="L70" s="116">
        <v>1</v>
      </c>
    </row>
    <row r="71" spans="1:32">
      <c r="A71" s="129"/>
      <c r="G71" s="129"/>
      <c r="H71" s="116" t="str">
        <v>u</v>
      </c>
      <c r="I71" s="116" t="str">
        <v>艍</v>
      </c>
      <c r="J71" s="116" t="str">
        <v>ㄨ</v>
      </c>
      <c r="K71" s="116">
        <v>0</v>
      </c>
      <c r="L71" s="116">
        <v>1</v>
      </c>
    </row>
    <row r="72" spans="1:32">
      <c r="A72" s="129"/>
      <c r="G72" s="129"/>
    </row>
    <row r="73" spans="1:32">
      <c r="A73" s="129"/>
      <c r="G73" s="129"/>
    </row>
    <row r="74" spans="1:32">
      <c r="A74" s="129"/>
      <c r="G74" s="129"/>
    </row>
    <row r="75" spans="1:32">
      <c r="A75" s="129"/>
      <c r="G75" s="129"/>
    </row>
    <row r="76" spans="1:32">
      <c r="A76" s="129"/>
      <c r="G76" s="129"/>
    </row>
    <row r="77" spans="1:32">
      <c r="A77" s="129"/>
      <c r="G77" s="129"/>
    </row>
    <row r="78" spans="1:32">
      <c r="A78" s="129"/>
      <c r="G78" s="129"/>
    </row>
    <row r="79" spans="1:32">
      <c r="A79" s="129"/>
      <c r="G79" s="129"/>
    </row>
    <row r="80" spans="1:32" s="116" customFormat="1">
      <c r="A80" s="129"/>
      <c r="B80" s="115"/>
      <c r="C80" s="115"/>
      <c r="D80" s="115"/>
      <c r="E80" s="115"/>
      <c r="F80" s="115"/>
      <c r="G80" s="129"/>
      <c r="M80" s="115"/>
      <c r="N80" s="134"/>
      <c r="O80" s="134"/>
      <c r="P80" s="115"/>
      <c r="Q80" s="135"/>
      <c r="R80" s="13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</row>
    <row r="81" spans="1:32" s="116" customFormat="1">
      <c r="A81" s="129"/>
      <c r="B81" s="115"/>
      <c r="C81" s="115"/>
      <c r="D81" s="115"/>
      <c r="E81" s="115"/>
      <c r="F81" s="115"/>
      <c r="G81" s="129"/>
      <c r="M81" s="115"/>
      <c r="N81" s="134"/>
      <c r="O81" s="134"/>
      <c r="P81" s="115"/>
      <c r="Q81" s="135"/>
      <c r="R81" s="13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</row>
    <row r="82" spans="1:32" s="116" customFormat="1">
      <c r="A82" s="129"/>
      <c r="B82" s="115"/>
      <c r="C82" s="115"/>
      <c r="D82" s="115"/>
      <c r="E82" s="115"/>
      <c r="F82" s="115"/>
      <c r="G82" s="129"/>
      <c r="M82" s="115"/>
      <c r="N82" s="134"/>
      <c r="O82" s="134"/>
      <c r="P82" s="115"/>
      <c r="Q82" s="135"/>
      <c r="R82" s="13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</row>
    <row r="83" spans="1:32" s="116" customFormat="1">
      <c r="A83" s="129"/>
      <c r="B83" s="115"/>
      <c r="C83" s="115"/>
      <c r="D83" s="115"/>
      <c r="E83" s="115"/>
      <c r="F83" s="115"/>
      <c r="G83" s="129"/>
      <c r="M83" s="115"/>
      <c r="N83" s="134"/>
      <c r="O83" s="134"/>
      <c r="P83" s="115"/>
      <c r="Q83" s="135"/>
      <c r="R83" s="13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</row>
    <row r="84" spans="1:32" s="116" customFormat="1">
      <c r="A84" s="129"/>
      <c r="B84" s="115"/>
      <c r="C84" s="115"/>
      <c r="D84" s="115"/>
      <c r="E84" s="115"/>
      <c r="F84" s="115"/>
      <c r="G84" s="129"/>
      <c r="M84" s="115"/>
      <c r="N84" s="134"/>
      <c r="O84" s="134"/>
      <c r="P84" s="115"/>
      <c r="Q84" s="135"/>
      <c r="R84" s="13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</row>
    <row r="85" spans="1:32" s="116" customFormat="1">
      <c r="A85" s="129"/>
      <c r="B85" s="115"/>
      <c r="C85" s="115"/>
      <c r="D85" s="115"/>
      <c r="E85" s="115"/>
      <c r="F85" s="115"/>
      <c r="G85" s="129"/>
      <c r="M85" s="115"/>
      <c r="N85" s="134"/>
      <c r="O85" s="134"/>
      <c r="P85" s="115"/>
      <c r="Q85" s="135"/>
      <c r="R85" s="13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</row>
    <row r="86" spans="1:32" s="116" customFormat="1">
      <c r="A86" s="129"/>
      <c r="B86" s="115"/>
      <c r="C86" s="115"/>
      <c r="D86" s="115"/>
      <c r="E86" s="115"/>
      <c r="F86" s="115"/>
      <c r="G86" s="129"/>
      <c r="M86" s="115"/>
      <c r="N86" s="134"/>
      <c r="O86" s="134"/>
      <c r="P86" s="115"/>
      <c r="Q86" s="135"/>
      <c r="R86" s="13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</row>
    <row r="87" spans="1:32" s="116" customFormat="1">
      <c r="A87" s="129"/>
      <c r="B87" s="115"/>
      <c r="C87" s="115"/>
      <c r="D87" s="115"/>
      <c r="E87" s="115"/>
      <c r="F87" s="115"/>
      <c r="G87" s="129"/>
      <c r="M87" s="115"/>
      <c r="N87" s="134"/>
      <c r="O87" s="134"/>
      <c r="P87" s="115"/>
      <c r="Q87" s="135"/>
      <c r="R87" s="13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</row>
    <row r="88" spans="1:32" s="116" customFormat="1">
      <c r="A88" s="129"/>
      <c r="B88" s="115"/>
      <c r="C88" s="115"/>
      <c r="D88" s="115"/>
      <c r="E88" s="115"/>
      <c r="F88" s="115"/>
      <c r="G88" s="129"/>
      <c r="M88" s="115"/>
      <c r="N88" s="134"/>
      <c r="O88" s="134"/>
      <c r="P88" s="115"/>
      <c r="Q88" s="135"/>
      <c r="R88" s="13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</row>
    <row r="89" spans="1:32" s="116" customFormat="1">
      <c r="A89" s="115"/>
      <c r="B89" s="115"/>
      <c r="C89" s="115"/>
      <c r="D89" s="115"/>
      <c r="E89" s="115"/>
      <c r="F89" s="115"/>
      <c r="G89" s="115"/>
      <c r="M89" s="115"/>
      <c r="N89" s="134"/>
      <c r="O89" s="134"/>
      <c r="P89" s="115"/>
      <c r="Q89" s="135"/>
      <c r="R89" s="13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</row>
    <row r="90" spans="1:32" s="116" customFormat="1">
      <c r="A90" s="115"/>
      <c r="B90" s="115"/>
      <c r="C90" s="115"/>
      <c r="D90" s="115"/>
      <c r="E90" s="115"/>
      <c r="F90" s="115"/>
      <c r="G90" s="115"/>
      <c r="M90" s="115"/>
      <c r="N90" s="134"/>
      <c r="O90" s="134"/>
      <c r="P90" s="115"/>
      <c r="Q90" s="135"/>
      <c r="R90" s="13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</row>
    <row r="91" spans="1:32" s="116" customFormat="1">
      <c r="A91" s="115"/>
      <c r="B91" s="115"/>
      <c r="C91" s="115"/>
      <c r="D91" s="115"/>
      <c r="E91" s="115"/>
      <c r="F91" s="115"/>
      <c r="G91" s="115"/>
      <c r="M91" s="115"/>
      <c r="N91" s="134"/>
      <c r="O91" s="134"/>
      <c r="P91" s="115"/>
      <c r="Q91" s="135"/>
      <c r="R91" s="13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</row>
    <row r="92" spans="1:32" s="116" customFormat="1">
      <c r="A92" s="115"/>
      <c r="B92" s="115"/>
      <c r="C92" s="115"/>
      <c r="D92" s="115"/>
      <c r="E92" s="115"/>
      <c r="F92" s="115"/>
      <c r="G92" s="115"/>
      <c r="M92" s="115"/>
      <c r="N92" s="134"/>
      <c r="O92" s="134"/>
      <c r="P92" s="115"/>
      <c r="Q92" s="135"/>
      <c r="R92" s="13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</row>
    <row r="93" spans="1:32" s="116" customFormat="1">
      <c r="A93" s="115"/>
      <c r="B93" s="115"/>
      <c r="C93" s="115"/>
      <c r="D93" s="115"/>
      <c r="E93" s="115"/>
      <c r="F93" s="115"/>
      <c r="G93" s="115"/>
      <c r="M93" s="115"/>
      <c r="N93" s="134"/>
      <c r="O93" s="134"/>
      <c r="P93" s="115"/>
      <c r="Q93" s="135"/>
      <c r="R93" s="13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</row>
    <row r="94" spans="1:32" s="116" customFormat="1">
      <c r="A94" s="115"/>
      <c r="B94" s="115"/>
      <c r="C94" s="115"/>
      <c r="D94" s="115"/>
      <c r="E94" s="115"/>
      <c r="F94" s="115"/>
      <c r="G94" s="115"/>
      <c r="M94" s="115"/>
      <c r="N94" s="134"/>
      <c r="O94" s="134"/>
      <c r="P94" s="115"/>
      <c r="Q94" s="135"/>
      <c r="R94" s="13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</row>
    <row r="95" spans="1:32" s="116" customFormat="1">
      <c r="A95" s="115"/>
      <c r="B95" s="115"/>
      <c r="C95" s="115"/>
      <c r="D95" s="115"/>
      <c r="E95" s="115"/>
      <c r="F95" s="115"/>
      <c r="G95" s="115"/>
      <c r="M95" s="115"/>
      <c r="N95" s="134"/>
      <c r="O95" s="134"/>
      <c r="P95" s="115"/>
      <c r="Q95" s="135"/>
      <c r="R95" s="13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70A0-99F5-4FF7-A4CE-8386296B15EA}">
  <dimension ref="B1:CZ58"/>
  <sheetViews>
    <sheetView zoomScale="50" zoomScaleNormal="50" workbookViewId="0">
      <selection activeCell="BV21" sqref="BV21"/>
    </sheetView>
  </sheetViews>
  <sheetFormatPr defaultRowHeight="25.5" outlineLevelRow="1"/>
  <cols>
    <col min="1" max="1" width="4.19921875" style="1" customWidth="1"/>
    <col min="2" max="2" width="6.5" style="3" bestFit="1" customWidth="1"/>
    <col min="3" max="3" width="11.19921875" style="3" bestFit="1" customWidth="1"/>
    <col min="4" max="5" width="11.19921875" style="27" bestFit="1" customWidth="1"/>
    <col min="6" max="6" width="11.19921875" style="3" bestFit="1" customWidth="1"/>
    <col min="7" max="7" width="11.19921875" style="3" customWidth="1"/>
    <col min="8" max="8" width="8.796875" style="1"/>
    <col min="9" max="9" width="6.5" style="3" bestFit="1" customWidth="1"/>
    <col min="10" max="10" width="11.19921875" style="12" bestFit="1" customWidth="1"/>
    <col min="11" max="12" width="11.19921875" style="27" bestFit="1" customWidth="1"/>
    <col min="13" max="13" width="11.19921875" style="12" bestFit="1" customWidth="1"/>
    <col min="14" max="14" width="11.19921875" style="12" customWidth="1"/>
    <col min="15" max="15" width="8.796875" style="1"/>
    <col min="16" max="16" width="6.5" style="3" bestFit="1" customWidth="1"/>
    <col min="17" max="17" width="11.19921875" style="12" bestFit="1" customWidth="1"/>
    <col min="18" max="19" width="11.19921875" style="27" bestFit="1" customWidth="1"/>
    <col min="20" max="20" width="11.19921875" style="12" bestFit="1" customWidth="1"/>
    <col min="21" max="23" width="11.19921875" style="12" customWidth="1"/>
    <col min="24" max="24" width="8.796875" style="1"/>
    <col min="25" max="25" width="16.3984375" style="1" customWidth="1"/>
    <col min="26" max="26" width="6" style="137" customWidth="1"/>
    <col min="27" max="86" width="3.69921875" style="137" customWidth="1"/>
    <col min="87" max="87" width="8.796875" style="3"/>
    <col min="88" max="88" width="6.5" style="3" bestFit="1" customWidth="1"/>
    <col min="89" max="90" width="11.19921875" style="3" bestFit="1" customWidth="1"/>
    <col min="91" max="91" width="6.5" style="3" bestFit="1" customWidth="1"/>
    <col min="92" max="92" width="11.19921875" style="3" bestFit="1" customWidth="1"/>
    <col min="93" max="93" width="8.796875" style="3"/>
    <col min="94" max="94" width="6.5" style="3" bestFit="1" customWidth="1"/>
    <col min="95" max="96" width="11.19921875" style="3" bestFit="1" customWidth="1"/>
    <col min="97" max="97" width="6.5" style="3" bestFit="1" customWidth="1"/>
    <col min="98" max="98" width="11.19921875" style="3" bestFit="1" customWidth="1"/>
    <col min="99" max="99" width="8.796875" style="3"/>
    <col min="100" max="100" width="6.5" style="3" bestFit="1" customWidth="1"/>
    <col min="101" max="102" width="11.19921875" style="3" bestFit="1" customWidth="1"/>
    <col min="103" max="103" width="6.5" style="3" bestFit="1" customWidth="1"/>
    <col min="104" max="104" width="11.19921875" style="3" bestFit="1" customWidth="1"/>
    <col min="105" max="16384" width="8.796875" style="1"/>
  </cols>
  <sheetData>
    <row r="1" spans="2:104">
      <c r="B1" s="24" t="s">
        <v>1</v>
      </c>
      <c r="C1" s="24" t="s">
        <v>230</v>
      </c>
      <c r="D1" s="24" t="s">
        <v>4</v>
      </c>
      <c r="E1" s="24" t="s">
        <v>741</v>
      </c>
      <c r="F1" s="24" t="s">
        <v>740</v>
      </c>
      <c r="G1" s="66" t="s">
        <v>569</v>
      </c>
      <c r="I1" s="24" t="s">
        <v>1</v>
      </c>
      <c r="J1" s="24" t="s">
        <v>230</v>
      </c>
      <c r="K1" s="24" t="s">
        <v>4</v>
      </c>
      <c r="L1" s="24" t="s">
        <v>741</v>
      </c>
      <c r="M1" s="24" t="s">
        <v>740</v>
      </c>
      <c r="N1" s="66" t="s">
        <v>569</v>
      </c>
      <c r="P1" s="24" t="s">
        <v>1</v>
      </c>
      <c r="Q1" s="24" t="s">
        <v>230</v>
      </c>
      <c r="R1" s="24" t="s">
        <v>4</v>
      </c>
      <c r="S1" s="24" t="s">
        <v>741</v>
      </c>
      <c r="T1" s="24" t="s">
        <v>1147</v>
      </c>
      <c r="U1" s="24" t="s">
        <v>740</v>
      </c>
      <c r="V1" s="24" t="s">
        <v>569</v>
      </c>
      <c r="Y1" s="1" t="s">
        <v>0</v>
      </c>
      <c r="CJ1" s="2" t="s">
        <v>2</v>
      </c>
      <c r="CK1" s="2" t="s">
        <v>3</v>
      </c>
      <c r="CL1" s="2" t="s">
        <v>4</v>
      </c>
      <c r="CM1" s="2" t="s">
        <v>5</v>
      </c>
      <c r="CN1" s="2" t="s">
        <v>6</v>
      </c>
      <c r="CP1" s="2" t="s">
        <v>2</v>
      </c>
      <c r="CQ1" s="2" t="s">
        <v>3</v>
      </c>
      <c r="CR1" s="2" t="s">
        <v>4</v>
      </c>
      <c r="CS1" s="2" t="s">
        <v>5</v>
      </c>
      <c r="CT1" s="2" t="s">
        <v>6</v>
      </c>
      <c r="CV1" s="2" t="s">
        <v>2</v>
      </c>
      <c r="CW1" s="2" t="s">
        <v>3</v>
      </c>
      <c r="CX1" s="2" t="s">
        <v>4</v>
      </c>
      <c r="CY1" s="2" t="s">
        <v>5</v>
      </c>
      <c r="CZ1" s="2" t="s">
        <v>6</v>
      </c>
    </row>
    <row r="2" spans="2:104">
      <c r="B2" s="5">
        <v>1</v>
      </c>
      <c r="C2" s="6" t="s">
        <v>232</v>
      </c>
      <c r="D2" s="6" t="s">
        <v>179</v>
      </c>
      <c r="E2" s="25"/>
      <c r="F2" s="6"/>
      <c r="G2" s="6"/>
      <c r="I2" s="5">
        <v>1</v>
      </c>
      <c r="J2" s="18" t="s">
        <v>11</v>
      </c>
      <c r="K2" s="14" t="s">
        <v>10</v>
      </c>
      <c r="L2" s="25" t="s">
        <v>10</v>
      </c>
      <c r="M2" s="6" t="s">
        <v>12</v>
      </c>
      <c r="N2" s="6" t="s">
        <v>12</v>
      </c>
      <c r="P2" s="5">
        <v>1</v>
      </c>
      <c r="Q2" s="6" t="s">
        <v>130</v>
      </c>
      <c r="R2" s="26">
        <v>1</v>
      </c>
      <c r="S2" s="25">
        <v>1</v>
      </c>
      <c r="T2" s="6" t="s">
        <v>1148</v>
      </c>
      <c r="U2" s="6"/>
      <c r="V2" s="6" t="s">
        <v>603</v>
      </c>
      <c r="AA2" s="138" cm="1">
        <f t="array" ref="AA2" xml:space="preserve"> COLUMN() - COLUMN($Z:$Z)</f>
        <v>1</v>
      </c>
      <c r="AB2" s="138" cm="1">
        <f t="array" ref="AB2" xml:space="preserve"> COLUMN() - COLUMN($Z:$Z)</f>
        <v>2</v>
      </c>
      <c r="AC2" s="138" cm="1">
        <f t="array" ref="AC2" xml:space="preserve"> COLUMN() - COLUMN($Z:$Z)</f>
        <v>3</v>
      </c>
      <c r="AD2" s="138" cm="1">
        <f t="array" ref="AD2" xml:space="preserve"> COLUMN() - COLUMN($Z:$Z)</f>
        <v>4</v>
      </c>
      <c r="AE2" s="138" cm="1">
        <f t="array" ref="AE2" xml:space="preserve"> COLUMN() - COLUMN($Z:$Z)</f>
        <v>5</v>
      </c>
      <c r="AF2" s="138" cm="1">
        <f t="array" ref="AF2" xml:space="preserve"> COLUMN() - COLUMN($Z:$Z)</f>
        <v>6</v>
      </c>
      <c r="AG2" s="138" cm="1">
        <f t="array" ref="AG2" xml:space="preserve"> COLUMN() - COLUMN($Z:$Z)</f>
        <v>7</v>
      </c>
      <c r="AH2" s="138" cm="1">
        <f t="array" ref="AH2" xml:space="preserve"> COLUMN() - COLUMN($Z:$Z)</f>
        <v>8</v>
      </c>
      <c r="AI2" s="138" cm="1">
        <f t="array" ref="AI2" xml:space="preserve"> COLUMN() - COLUMN($Z:$Z)</f>
        <v>9</v>
      </c>
      <c r="AJ2" s="138" cm="1">
        <f t="array" ref="AJ2" xml:space="preserve"> COLUMN() - COLUMN($Z:$Z)</f>
        <v>10</v>
      </c>
      <c r="AK2" s="138" cm="1">
        <f t="array" ref="AK2" xml:space="preserve"> COLUMN() - COLUMN($Z:$Z)</f>
        <v>11</v>
      </c>
      <c r="AL2" s="138" cm="1">
        <f t="array" ref="AL2" xml:space="preserve"> COLUMN() - COLUMN($Z:$Z)</f>
        <v>12</v>
      </c>
      <c r="AM2" s="138" cm="1">
        <f t="array" ref="AM2" xml:space="preserve"> COLUMN() - COLUMN($Z:$Z)</f>
        <v>13</v>
      </c>
      <c r="AN2" s="138" cm="1">
        <f t="array" ref="AN2" xml:space="preserve"> COLUMN() - COLUMN($Z:$Z)</f>
        <v>14</v>
      </c>
      <c r="AO2" s="138" cm="1">
        <f t="array" ref="AO2" xml:space="preserve"> COLUMN() - COLUMN($Z:$Z)</f>
        <v>15</v>
      </c>
      <c r="AP2" s="138" cm="1">
        <f t="array" ref="AP2" xml:space="preserve"> COLUMN() - COLUMN($Z:$Z)</f>
        <v>16</v>
      </c>
      <c r="AQ2" s="138" cm="1">
        <f t="array" ref="AQ2" xml:space="preserve"> COLUMN() - COLUMN($Z:$Z)</f>
        <v>17</v>
      </c>
      <c r="AR2" s="138" cm="1">
        <f t="array" ref="AR2" xml:space="preserve"> COLUMN() - COLUMN($Z:$Z)</f>
        <v>18</v>
      </c>
      <c r="AS2" s="138" cm="1">
        <f t="array" ref="AS2" xml:space="preserve"> COLUMN() - COLUMN($Z:$Z)</f>
        <v>19</v>
      </c>
      <c r="AT2" s="138" cm="1">
        <f t="array" ref="AT2" xml:space="preserve"> COLUMN() - COLUMN($Z:$Z)</f>
        <v>20</v>
      </c>
      <c r="AU2" s="138" cm="1">
        <f t="array" ref="AU2" xml:space="preserve"> COLUMN() - COLUMN($Z:$Z)</f>
        <v>21</v>
      </c>
      <c r="AV2" s="138" cm="1">
        <f t="array" ref="AV2" xml:space="preserve"> COLUMN() - COLUMN($Z:$Z)</f>
        <v>22</v>
      </c>
      <c r="AW2" s="138" cm="1">
        <f t="array" ref="AW2" xml:space="preserve"> COLUMN() - COLUMN($Z:$Z)</f>
        <v>23</v>
      </c>
      <c r="AX2" s="138" cm="1">
        <f t="array" ref="AX2" xml:space="preserve"> COLUMN() - COLUMN($Z:$Z)</f>
        <v>24</v>
      </c>
      <c r="AY2" s="138" cm="1">
        <f t="array" ref="AY2" xml:space="preserve"> COLUMN() - COLUMN($Z:$Z)</f>
        <v>25</v>
      </c>
      <c r="AZ2" s="138" cm="1">
        <f t="array" ref="AZ2" xml:space="preserve"> COLUMN() - COLUMN($Z:$Z)</f>
        <v>26</v>
      </c>
      <c r="BA2" s="138" cm="1">
        <f t="array" ref="BA2" xml:space="preserve"> COLUMN() - COLUMN($Z:$Z)</f>
        <v>27</v>
      </c>
      <c r="BB2" s="138" cm="1">
        <f t="array" ref="BB2" xml:space="preserve"> COLUMN() - COLUMN($Z:$Z)</f>
        <v>28</v>
      </c>
      <c r="BC2" s="138" cm="1">
        <f t="array" ref="BC2" xml:space="preserve"> COLUMN() - COLUMN($Z:$Z)</f>
        <v>29</v>
      </c>
      <c r="BD2" s="138" cm="1">
        <f t="array" ref="BD2" xml:space="preserve"> COLUMN() - COLUMN($Z:$Z)</f>
        <v>30</v>
      </c>
      <c r="BE2" s="138" cm="1">
        <f t="array" ref="BE2" xml:space="preserve"> COLUMN() - COLUMN($Z:$Z)</f>
        <v>31</v>
      </c>
      <c r="BF2" s="138" cm="1">
        <f t="array" ref="BF2" xml:space="preserve"> COLUMN() - COLUMN($Z:$Z)</f>
        <v>32</v>
      </c>
      <c r="BG2" s="138" cm="1">
        <f t="array" ref="BG2" xml:space="preserve"> COLUMN() - COLUMN($Z:$Z)</f>
        <v>33</v>
      </c>
      <c r="BH2" s="138" cm="1">
        <f t="array" ref="BH2" xml:space="preserve"> COLUMN() - COLUMN($Z:$Z)</f>
        <v>34</v>
      </c>
      <c r="BI2" s="138" cm="1">
        <f t="array" ref="BI2" xml:space="preserve"> COLUMN() - COLUMN($Z:$Z)</f>
        <v>35</v>
      </c>
      <c r="BJ2" s="138" cm="1">
        <f t="array" ref="BJ2" xml:space="preserve"> COLUMN() - COLUMN($Z:$Z)</f>
        <v>36</v>
      </c>
      <c r="BK2" s="138" cm="1">
        <f t="array" ref="BK2" xml:space="preserve"> COLUMN() - COLUMN($Z:$Z)</f>
        <v>37</v>
      </c>
      <c r="BL2" s="138" cm="1">
        <f t="array" ref="BL2" xml:space="preserve"> COLUMN() - COLUMN($Z:$Z)</f>
        <v>38</v>
      </c>
      <c r="BM2" s="138" cm="1">
        <f t="array" ref="BM2" xml:space="preserve"> COLUMN() - COLUMN($Z:$Z)</f>
        <v>39</v>
      </c>
      <c r="BN2" s="138" cm="1">
        <f t="array" ref="BN2" xml:space="preserve"> COLUMN() - COLUMN($Z:$Z)</f>
        <v>40</v>
      </c>
      <c r="BO2" s="138" cm="1">
        <f t="array" ref="BO2" xml:space="preserve"> COLUMN() - COLUMN($Z:$Z)</f>
        <v>41</v>
      </c>
      <c r="BP2" s="138" cm="1">
        <f t="array" ref="BP2" xml:space="preserve"> COLUMN() - COLUMN($Z:$Z)</f>
        <v>42</v>
      </c>
      <c r="BQ2" s="138" cm="1">
        <f t="array" ref="BQ2" xml:space="preserve"> COLUMN() - COLUMN($Z:$Z)</f>
        <v>43</v>
      </c>
      <c r="BR2" s="138" cm="1">
        <f t="array" ref="BR2" xml:space="preserve"> COLUMN() - COLUMN($Z:$Z)</f>
        <v>44</v>
      </c>
      <c r="BS2" s="138" cm="1">
        <f t="array" ref="BS2" xml:space="preserve"> COLUMN() - COLUMN($Z:$Z)</f>
        <v>45</v>
      </c>
      <c r="BT2" s="138" cm="1">
        <f t="array" ref="BT2" xml:space="preserve"> COLUMN() - COLUMN($Z:$Z)</f>
        <v>46</v>
      </c>
      <c r="BU2" s="138" cm="1">
        <f t="array" ref="BU2" xml:space="preserve"> COLUMN() - COLUMN($Z:$Z)</f>
        <v>47</v>
      </c>
      <c r="BV2" s="138" cm="1">
        <f t="array" ref="BV2" xml:space="preserve"> COLUMN() - COLUMN($Z:$Z)</f>
        <v>48</v>
      </c>
      <c r="BW2" s="138" cm="1">
        <f t="array" ref="BW2" xml:space="preserve"> COLUMN() - COLUMN($Z:$Z)</f>
        <v>49</v>
      </c>
      <c r="BX2" s="138" cm="1">
        <f t="array" ref="BX2" xml:space="preserve"> COLUMN() - COLUMN($Z:$Z)</f>
        <v>50</v>
      </c>
      <c r="BY2" s="138" cm="1">
        <f t="array" ref="BY2" xml:space="preserve"> COLUMN() - COLUMN($Z:$Z)</f>
        <v>51</v>
      </c>
      <c r="BZ2" s="138" cm="1">
        <f t="array" ref="BZ2" xml:space="preserve"> COLUMN() - COLUMN($Z:$Z)</f>
        <v>52</v>
      </c>
      <c r="CA2" s="138" cm="1">
        <f t="array" ref="CA2" xml:space="preserve"> COLUMN() - COLUMN($Z:$Z)</f>
        <v>53</v>
      </c>
      <c r="CB2" s="138" cm="1">
        <f t="array" ref="CB2" xml:space="preserve"> COLUMN() - COLUMN($Z:$Z)</f>
        <v>54</v>
      </c>
      <c r="CC2" s="138" cm="1">
        <f t="array" ref="CC2" xml:space="preserve"> COLUMN() - COLUMN($Z:$Z)</f>
        <v>55</v>
      </c>
      <c r="CD2" s="138" cm="1">
        <f t="array" ref="CD2" xml:space="preserve"> COLUMN() - COLUMN($Z:$Z)</f>
        <v>56</v>
      </c>
      <c r="CE2" s="138" cm="1">
        <f t="array" ref="CE2" xml:space="preserve"> COLUMN() - COLUMN($Z:$Z)</f>
        <v>57</v>
      </c>
      <c r="CF2" s="138" cm="1">
        <f t="array" ref="CF2" xml:space="preserve"> COLUMN() - COLUMN($Z:$Z)</f>
        <v>58</v>
      </c>
      <c r="CG2" s="138" cm="1">
        <f t="array" ref="CG2" xml:space="preserve"> COLUMN() - COLUMN($Z:$Z)</f>
        <v>59</v>
      </c>
      <c r="CH2" s="138" cm="1">
        <f t="array" ref="CH2" xml:space="preserve"> COLUMN() - COLUMN($Z:$Z)</f>
        <v>60</v>
      </c>
      <c r="CJ2" s="5">
        <v>1</v>
      </c>
      <c r="CK2" s="5" t="s">
        <v>7</v>
      </c>
      <c r="CL2" s="5" t="s">
        <v>7</v>
      </c>
      <c r="CM2" s="5" t="s">
        <v>8</v>
      </c>
      <c r="CN2" s="5" t="s">
        <v>9</v>
      </c>
      <c r="CP2" s="5">
        <v>1</v>
      </c>
      <c r="CQ2" s="5" t="s">
        <v>10</v>
      </c>
      <c r="CR2" s="5" t="s">
        <v>10</v>
      </c>
      <c r="CS2" s="5" t="s">
        <v>11</v>
      </c>
      <c r="CT2" s="5" t="s">
        <v>12</v>
      </c>
      <c r="CV2" s="5">
        <v>1</v>
      </c>
      <c r="CW2" s="6">
        <v>1</v>
      </c>
      <c r="CX2" s="6">
        <v>1</v>
      </c>
      <c r="CY2" s="6" t="s">
        <v>13</v>
      </c>
      <c r="CZ2" s="6" t="s">
        <v>14</v>
      </c>
    </row>
    <row r="3" spans="2:104">
      <c r="B3" s="5">
        <v>2</v>
      </c>
      <c r="C3" s="18" t="s">
        <v>8</v>
      </c>
      <c r="D3" s="14" t="s">
        <v>738</v>
      </c>
      <c r="E3" s="25" t="s">
        <v>742</v>
      </c>
      <c r="F3" s="6" t="s">
        <v>9</v>
      </c>
      <c r="G3" s="155" t="s">
        <v>260</v>
      </c>
      <c r="I3" s="5">
        <v>2</v>
      </c>
      <c r="J3" s="18" t="s">
        <v>63</v>
      </c>
      <c r="K3" s="14" t="s">
        <v>62</v>
      </c>
      <c r="L3" s="25" t="s">
        <v>62</v>
      </c>
      <c r="M3" s="6" t="s">
        <v>64</v>
      </c>
      <c r="N3" s="6" t="s">
        <v>64</v>
      </c>
      <c r="P3" s="5">
        <v>2</v>
      </c>
      <c r="Q3" s="6">
        <v>5</v>
      </c>
      <c r="R3" s="25">
        <v>7</v>
      </c>
      <c r="S3" s="25">
        <v>7</v>
      </c>
      <c r="T3" s="6" t="s">
        <v>1149</v>
      </c>
      <c r="U3" s="6" t="s">
        <v>724</v>
      </c>
      <c r="V3" s="6" t="s">
        <v>609</v>
      </c>
      <c r="Y3" s="7" t="s">
        <v>751</v>
      </c>
      <c r="AA3" s="139" t="s">
        <v>742</v>
      </c>
      <c r="AB3" s="139" t="s">
        <v>16</v>
      </c>
      <c r="AC3" s="139" t="s">
        <v>17</v>
      </c>
      <c r="AD3" s="139" t="s">
        <v>19</v>
      </c>
      <c r="AE3" s="139" t="s">
        <v>20</v>
      </c>
      <c r="AF3" s="139" t="s">
        <v>99</v>
      </c>
      <c r="AG3" s="139" t="s">
        <v>21</v>
      </c>
      <c r="AH3" s="139" t="s">
        <v>23</v>
      </c>
      <c r="AI3" s="139" t="s">
        <v>743</v>
      </c>
      <c r="AJ3" s="139" t="s">
        <v>24</v>
      </c>
      <c r="AK3" s="139" t="s">
        <v>25</v>
      </c>
      <c r="AL3" s="139" t="s">
        <v>27</v>
      </c>
      <c r="AM3" s="139" t="s">
        <v>744</v>
      </c>
      <c r="AN3" s="139" t="s">
        <v>77</v>
      </c>
      <c r="AO3" s="139" t="s">
        <v>745</v>
      </c>
      <c r="AP3" s="139" t="s">
        <v>31</v>
      </c>
      <c r="AQ3" s="139" t="s">
        <v>32</v>
      </c>
      <c r="AR3" s="139" t="s">
        <v>746</v>
      </c>
      <c r="AS3" s="139" t="s">
        <v>28</v>
      </c>
      <c r="AT3" s="139" t="s">
        <v>747</v>
      </c>
      <c r="AU3" s="139" t="s">
        <v>748</v>
      </c>
      <c r="AV3" s="139" t="s">
        <v>37</v>
      </c>
      <c r="AW3" s="139" t="s">
        <v>38</v>
      </c>
      <c r="AX3" s="139" t="s">
        <v>39</v>
      </c>
      <c r="AY3" s="139" t="s">
        <v>40</v>
      </c>
      <c r="AZ3" s="139" t="s">
        <v>41</v>
      </c>
      <c r="BA3" s="139" t="s">
        <v>42</v>
      </c>
      <c r="BB3" s="139" t="s">
        <v>43</v>
      </c>
      <c r="BC3" s="139" t="s">
        <v>51</v>
      </c>
      <c r="BD3" s="139" t="s">
        <v>52</v>
      </c>
      <c r="BE3" s="140" t="s">
        <v>222</v>
      </c>
      <c r="BF3" s="140" t="s">
        <v>223</v>
      </c>
      <c r="BG3" s="140" t="s">
        <v>224</v>
      </c>
      <c r="BH3" s="140" t="s">
        <v>225</v>
      </c>
      <c r="BI3" s="140" t="s">
        <v>1208</v>
      </c>
      <c r="BJ3" s="139" t="s">
        <v>51</v>
      </c>
      <c r="BK3" s="139" t="s">
        <v>52</v>
      </c>
      <c r="BL3" s="139" t="s">
        <v>188</v>
      </c>
      <c r="BM3" s="139" t="s">
        <v>192</v>
      </c>
      <c r="BN3" s="139" t="s">
        <v>190</v>
      </c>
      <c r="BO3" s="139" t="s">
        <v>53</v>
      </c>
      <c r="BP3" s="139" t="s">
        <v>54</v>
      </c>
      <c r="BQ3" s="139" t="s">
        <v>55</v>
      </c>
      <c r="BR3" s="139" t="s">
        <v>56</v>
      </c>
      <c r="BS3" s="139" t="s">
        <v>57</v>
      </c>
      <c r="BT3" s="139" t="s">
        <v>196</v>
      </c>
      <c r="BU3" s="139" t="s">
        <v>199</v>
      </c>
      <c r="BV3" s="139" t="s">
        <v>200</v>
      </c>
      <c r="BW3" s="139" t="s">
        <v>203</v>
      </c>
      <c r="BX3" s="142" t="s">
        <v>58</v>
      </c>
      <c r="BY3" s="141" t="str">
        <f xml:space="preserve"> _xlfn.UNICHAR(HEX2DEC(RIGHT("U+207F",4)))</f>
        <v>ⁿ</v>
      </c>
      <c r="BZ3" s="139" t="s">
        <v>1209</v>
      </c>
      <c r="CA3" s="139">
        <v>1</v>
      </c>
      <c r="CB3" s="139">
        <v>7</v>
      </c>
      <c r="CC3" s="139">
        <v>3</v>
      </c>
      <c r="CD3" s="139">
        <v>2</v>
      </c>
      <c r="CE3" s="139">
        <v>5</v>
      </c>
      <c r="CF3" s="139">
        <v>8</v>
      </c>
      <c r="CG3" s="139">
        <v>0</v>
      </c>
      <c r="CH3" s="139" t="s">
        <v>1242</v>
      </c>
      <c r="CJ3" s="5">
        <v>2</v>
      </c>
      <c r="CK3" s="5" t="s">
        <v>59</v>
      </c>
      <c r="CL3" s="5" t="s">
        <v>59</v>
      </c>
      <c r="CM3" s="5" t="s">
        <v>60</v>
      </c>
      <c r="CN3" s="5" t="s">
        <v>61</v>
      </c>
      <c r="CP3" s="5">
        <v>2</v>
      </c>
      <c r="CQ3" s="5" t="s">
        <v>62</v>
      </c>
      <c r="CR3" s="5" t="s">
        <v>62</v>
      </c>
      <c r="CS3" s="5" t="s">
        <v>63</v>
      </c>
      <c r="CT3" s="5" t="s">
        <v>64</v>
      </c>
      <c r="CV3" s="5">
        <v>2</v>
      </c>
      <c r="CW3" s="6">
        <v>7</v>
      </c>
      <c r="CX3" s="6">
        <v>7</v>
      </c>
      <c r="CY3" s="6">
        <v>5</v>
      </c>
      <c r="CZ3" s="6" t="s">
        <v>65</v>
      </c>
    </row>
    <row r="4" spans="2:104">
      <c r="B4" s="5">
        <v>3</v>
      </c>
      <c r="C4" s="18" t="s">
        <v>60</v>
      </c>
      <c r="D4" s="14" t="s">
        <v>7</v>
      </c>
      <c r="E4" s="25" t="s">
        <v>16</v>
      </c>
      <c r="F4" s="6" t="s">
        <v>61</v>
      </c>
      <c r="G4" s="6" t="s">
        <v>61</v>
      </c>
      <c r="I4" s="5">
        <v>3</v>
      </c>
      <c r="J4" s="18" t="s">
        <v>74</v>
      </c>
      <c r="K4" s="14" t="s">
        <v>84</v>
      </c>
      <c r="L4" s="25" t="s">
        <v>106</v>
      </c>
      <c r="M4" s="6" t="s">
        <v>107</v>
      </c>
      <c r="N4" s="114"/>
      <c r="P4" s="5">
        <v>3</v>
      </c>
      <c r="Q4" s="6">
        <v>3</v>
      </c>
      <c r="R4" s="25">
        <v>3</v>
      </c>
      <c r="S4" s="25">
        <v>3</v>
      </c>
      <c r="T4" s="6" t="s">
        <v>1150</v>
      </c>
      <c r="U4" s="6" t="s">
        <v>725</v>
      </c>
      <c r="V4" s="6" t="s">
        <v>617</v>
      </c>
      <c r="Y4" s="13" t="s">
        <v>66</v>
      </c>
      <c r="AA4" s="143" t="str">
        <f t="shared" ref="AA4:BF4" si="0">AA45</f>
        <v>B</v>
      </c>
      <c r="AB4" s="143" t="str">
        <f t="shared" si="0"/>
        <v>b</v>
      </c>
      <c r="AC4" s="143" t="str">
        <f t="shared" si="0"/>
        <v>p</v>
      </c>
      <c r="AD4" s="143" t="str">
        <f t="shared" si="0"/>
        <v>m</v>
      </c>
      <c r="AE4" s="143" t="str">
        <f t="shared" si="0"/>
        <v>d</v>
      </c>
      <c r="AF4" s="143" t="str">
        <f t="shared" si="0"/>
        <v>t</v>
      </c>
      <c r="AG4" s="143" t="str">
        <f t="shared" si="0"/>
        <v>n</v>
      </c>
      <c r="AH4" s="143" t="str">
        <f t="shared" si="0"/>
        <v>l</v>
      </c>
      <c r="AI4" s="143" t="str">
        <f t="shared" si="0"/>
        <v>Ğ</v>
      </c>
      <c r="AJ4" s="143" t="str">
        <f t="shared" si="0"/>
        <v>g</v>
      </c>
      <c r="AK4" s="143" t="str">
        <f t="shared" si="0"/>
        <v>k</v>
      </c>
      <c r="AL4" s="143" t="str">
        <f t="shared" si="0"/>
        <v>ŋ</v>
      </c>
      <c r="AM4" s="143" t="str">
        <f t="shared" si="0"/>
        <v>h</v>
      </c>
      <c r="AN4" s="143" t="str">
        <f t="shared" si="0"/>
        <v>Z</v>
      </c>
      <c r="AO4" s="143" t="str">
        <f t="shared" si="0"/>
        <v>z</v>
      </c>
      <c r="AP4" s="143" t="str">
        <f t="shared" si="0"/>
        <v>c</v>
      </c>
      <c r="AQ4" s="143" t="str">
        <f t="shared" si="0"/>
        <v>s</v>
      </c>
      <c r="AR4" s="143" t="str">
        <f t="shared" si="0"/>
        <v>J</v>
      </c>
      <c r="AS4" s="143" t="str">
        <f t="shared" si="0"/>
        <v>j</v>
      </c>
      <c r="AT4" s="143" t="str">
        <f t="shared" si="0"/>
        <v>C</v>
      </c>
      <c r="AU4" s="143" t="str">
        <f t="shared" si="0"/>
        <v>S</v>
      </c>
      <c r="AV4" s="143" t="str">
        <f t="shared" si="0"/>
        <v>a</v>
      </c>
      <c r="AW4" s="143" t="str">
        <f t="shared" si="0"/>
        <v>i</v>
      </c>
      <c r="AX4" s="143" t="str">
        <f t="shared" si="0"/>
        <v>w</v>
      </c>
      <c r="AY4" s="143" t="str">
        <f t="shared" si="0"/>
        <v>u</v>
      </c>
      <c r="AZ4" s="143" t="str">
        <f t="shared" si="0"/>
        <v>e</v>
      </c>
      <c r="BA4" s="144" t="str">
        <f t="shared" si="0"/>
        <v>O</v>
      </c>
      <c r="BB4" s="144" t="str">
        <f t="shared" si="0"/>
        <v>ə</v>
      </c>
      <c r="BC4" s="143" t="str">
        <f t="shared" si="0"/>
        <v>I</v>
      </c>
      <c r="BD4" s="143" t="str">
        <f t="shared" si="0"/>
        <v>U</v>
      </c>
      <c r="BE4" s="143" t="str">
        <f t="shared" si="0"/>
        <v>D</v>
      </c>
      <c r="BF4" s="143" t="str">
        <f t="shared" si="0"/>
        <v>f</v>
      </c>
      <c r="BG4" s="143" t="str">
        <f t="shared" ref="BG4:CH4" si="1">BG45</f>
        <v>q</v>
      </c>
      <c r="BH4" s="144" t="str">
        <f t="shared" si="1"/>
        <v>r</v>
      </c>
      <c r="BI4" s="143" t="str">
        <f t="shared" si="1"/>
        <v>v</v>
      </c>
      <c r="BJ4" s="143" t="str">
        <f t="shared" si="1"/>
        <v>x</v>
      </c>
      <c r="BK4" s="143" t="str">
        <f t="shared" si="1"/>
        <v>y</v>
      </c>
      <c r="BL4" s="143" t="str">
        <f t="shared" si="1"/>
        <v>M</v>
      </c>
      <c r="BM4" s="143" t="str">
        <f t="shared" si="1"/>
        <v>G</v>
      </c>
      <c r="BN4" s="143" t="str">
        <f t="shared" si="1"/>
        <v>N</v>
      </c>
      <c r="BO4" s="143" t="str">
        <f t="shared" si="1"/>
        <v>Y</v>
      </c>
      <c r="BP4" s="143" t="str">
        <f t="shared" si="1"/>
        <v>@</v>
      </c>
      <c r="BQ4" s="143" t="str">
        <f t="shared" si="1"/>
        <v>A</v>
      </c>
      <c r="BR4" s="143" t="str">
        <f t="shared" si="1"/>
        <v>W</v>
      </c>
      <c r="BS4" s="143" t="str">
        <f t="shared" si="1"/>
        <v>H</v>
      </c>
      <c r="BT4" s="143" t="str">
        <f t="shared" si="1"/>
        <v>R</v>
      </c>
      <c r="BU4" s="143" t="str">
        <f t="shared" si="1"/>
        <v>F</v>
      </c>
      <c r="BV4" s="143" t="str">
        <f t="shared" si="1"/>
        <v>Q</v>
      </c>
      <c r="BW4" s="143" t="str">
        <f t="shared" si="1"/>
        <v>V</v>
      </c>
      <c r="BX4" s="145" t="str">
        <f t="shared" si="1"/>
        <v>Ø</v>
      </c>
      <c r="BY4" s="145" t="str">
        <f t="shared" si="1"/>
        <v>L</v>
      </c>
      <c r="BZ4" s="143" t="str">
        <f t="shared" si="1"/>
        <v>1</v>
      </c>
      <c r="CA4" s="143" t="str">
        <f t="shared" si="1"/>
        <v>7</v>
      </c>
      <c r="CB4" s="143" t="str">
        <f t="shared" si="1"/>
        <v>3</v>
      </c>
      <c r="CC4" s="143" t="str">
        <f t="shared" si="1"/>
        <v>2</v>
      </c>
      <c r="CD4" s="143" t="str">
        <f t="shared" si="1"/>
        <v>5</v>
      </c>
      <c r="CE4" s="143" t="str">
        <f t="shared" si="1"/>
        <v>4</v>
      </c>
      <c r="CF4" s="143" t="str">
        <f t="shared" si="1"/>
        <v>8</v>
      </c>
      <c r="CG4" s="144" t="str">
        <f t="shared" si="1"/>
        <v>0</v>
      </c>
      <c r="CH4" s="143" t="str">
        <f t="shared" si="1"/>
        <v>6</v>
      </c>
      <c r="CJ4" s="5">
        <v>3</v>
      </c>
      <c r="CK4" s="5" t="s">
        <v>103</v>
      </c>
      <c r="CL4" s="5" t="s">
        <v>67</v>
      </c>
      <c r="CM4" s="5" t="s">
        <v>104</v>
      </c>
      <c r="CN4" s="5" t="s">
        <v>105</v>
      </c>
      <c r="CP4" s="5">
        <v>3</v>
      </c>
      <c r="CQ4" s="5" t="s">
        <v>106</v>
      </c>
      <c r="CR4" s="5" t="s">
        <v>84</v>
      </c>
      <c r="CS4" s="5" t="s">
        <v>74</v>
      </c>
      <c r="CT4" s="5" t="s">
        <v>107</v>
      </c>
      <c r="CV4" s="5">
        <v>3</v>
      </c>
      <c r="CW4" s="6">
        <v>3</v>
      </c>
      <c r="CX4" s="6">
        <v>3</v>
      </c>
      <c r="CY4" s="6">
        <v>3</v>
      </c>
      <c r="CZ4" s="6" t="s">
        <v>108</v>
      </c>
    </row>
    <row r="5" spans="2:104">
      <c r="B5" s="5">
        <v>4</v>
      </c>
      <c r="C5" s="18" t="s">
        <v>104</v>
      </c>
      <c r="D5" s="14" t="s">
        <v>59</v>
      </c>
      <c r="E5" s="25" t="s">
        <v>17</v>
      </c>
      <c r="F5" s="6" t="s">
        <v>105</v>
      </c>
      <c r="G5" s="6" t="s">
        <v>105</v>
      </c>
      <c r="I5" s="5">
        <v>4</v>
      </c>
      <c r="J5" s="18" t="s">
        <v>76</v>
      </c>
      <c r="K5" s="14" t="s">
        <v>63</v>
      </c>
      <c r="L5" s="25" t="s">
        <v>63</v>
      </c>
      <c r="M5" s="6" t="s">
        <v>134</v>
      </c>
      <c r="N5" s="6" t="s">
        <v>134</v>
      </c>
      <c r="P5" s="5">
        <v>4</v>
      </c>
      <c r="Q5" s="6">
        <v>4</v>
      </c>
      <c r="R5" s="25">
        <v>2</v>
      </c>
      <c r="S5" s="25">
        <v>2</v>
      </c>
      <c r="T5" s="6" t="s">
        <v>1151</v>
      </c>
      <c r="U5" s="6" t="s">
        <v>723</v>
      </c>
      <c r="V5" s="6" t="s">
        <v>622</v>
      </c>
      <c r="Y5" s="17" t="s">
        <v>109</v>
      </c>
      <c r="AA5" s="146" t="str">
        <f t="shared" ref="AA5:BF5" si="2">AA46</f>
        <v>!</v>
      </c>
      <c r="AB5" s="146" t="str">
        <f t="shared" si="2"/>
        <v>1</v>
      </c>
      <c r="AC5" s="146" t="str">
        <f t="shared" si="2"/>
        <v>q</v>
      </c>
      <c r="AD5" s="146" t="str">
        <f t="shared" si="2"/>
        <v>a</v>
      </c>
      <c r="AE5" s="146" t="str">
        <f t="shared" si="2"/>
        <v>2</v>
      </c>
      <c r="AF5" s="146" t="str">
        <f t="shared" si="2"/>
        <v>w</v>
      </c>
      <c r="AG5" s="146" t="str">
        <f t="shared" si="2"/>
        <v>s</v>
      </c>
      <c r="AH5" s="146" t="str">
        <f t="shared" si="2"/>
        <v>x</v>
      </c>
      <c r="AI5" s="146" t="str">
        <f t="shared" si="2"/>
        <v>E</v>
      </c>
      <c r="AJ5" s="146" t="str">
        <f t="shared" si="2"/>
        <v>e</v>
      </c>
      <c r="AK5" s="146" t="str">
        <f t="shared" si="2"/>
        <v>d</v>
      </c>
      <c r="AL5" s="147" t="str">
        <f t="shared" si="2"/>
        <v>N</v>
      </c>
      <c r="AM5" s="146" t="str">
        <f t="shared" si="2"/>
        <v>c</v>
      </c>
      <c r="AN5" s="146" t="str">
        <f t="shared" si="2"/>
        <v>Y</v>
      </c>
      <c r="AO5" s="146" t="str">
        <f t="shared" si="2"/>
        <v>y</v>
      </c>
      <c r="AP5" s="146" t="str">
        <f t="shared" si="2"/>
        <v>h</v>
      </c>
      <c r="AQ5" s="146" t="str">
        <f t="shared" si="2"/>
        <v>n</v>
      </c>
      <c r="AR5" s="146" t="str">
        <f t="shared" si="2"/>
        <v>R</v>
      </c>
      <c r="AS5" s="146" t="str">
        <f t="shared" si="2"/>
        <v>r</v>
      </c>
      <c r="AT5" s="146" t="str">
        <f t="shared" si="2"/>
        <v>f</v>
      </c>
      <c r="AU5" s="146" t="str">
        <f t="shared" si="2"/>
        <v>v</v>
      </c>
      <c r="AV5" s="146" t="str">
        <f t="shared" si="2"/>
        <v>8</v>
      </c>
      <c r="AW5" s="146" t="str">
        <f t="shared" si="2"/>
        <v>u</v>
      </c>
      <c r="AX5" s="146" t="str">
        <f t="shared" si="2"/>
        <v>K</v>
      </c>
      <c r="AY5" s="146" t="str">
        <f t="shared" si="2"/>
        <v>j</v>
      </c>
      <c r="AZ5" s="146" t="str">
        <f t="shared" si="2"/>
        <v>,</v>
      </c>
      <c r="BA5" s="146" t="str">
        <f t="shared" si="2"/>
        <v>i</v>
      </c>
      <c r="BB5" s="146" t="str">
        <f t="shared" si="2"/>
        <v>k</v>
      </c>
      <c r="BC5" s="146" t="str">
        <f t="shared" si="2"/>
        <v>9</v>
      </c>
      <c r="BD5" s="146" t="str">
        <f t="shared" si="2"/>
        <v>l</v>
      </c>
      <c r="BE5" s="146" t="str">
        <f t="shared" si="2"/>
        <v>*</v>
      </c>
      <c r="BF5" s="146" t="str">
        <f t="shared" si="2"/>
        <v>U</v>
      </c>
      <c r="BG5" s="146" t="str">
        <f t="shared" ref="BG5:CH5" si="3">BG46</f>
        <v>J</v>
      </c>
      <c r="BH5" s="146" t="str">
        <f t="shared" si="3"/>
        <v>&lt;</v>
      </c>
      <c r="BI5" s="146" t="str">
        <f t="shared" si="3"/>
        <v>I</v>
      </c>
      <c r="BJ5" s="146" t="str">
        <f t="shared" si="3"/>
        <v>(</v>
      </c>
      <c r="BK5" s="146" t="str">
        <f t="shared" si="3"/>
        <v>L</v>
      </c>
      <c r="BL5" s="146" t="str">
        <f t="shared" si="3"/>
        <v>m</v>
      </c>
      <c r="BM5" s="146" t="str">
        <f t="shared" si="3"/>
        <v>/</v>
      </c>
      <c r="BN5" s="146" t="str">
        <f t="shared" si="3"/>
        <v>p</v>
      </c>
      <c r="BO5" s="146" t="str">
        <f t="shared" si="3"/>
        <v>M</v>
      </c>
      <c r="BP5" s="146" t="str">
        <f t="shared" si="3"/>
        <v>0</v>
      </c>
      <c r="BQ5" s="146" t="str">
        <f t="shared" si="3"/>
        <v>;</v>
      </c>
      <c r="BR5" s="146" t="str">
        <f t="shared" si="3"/>
        <v>O</v>
      </c>
      <c r="BS5" s="146" t="str">
        <f t="shared" si="3"/>
        <v>o</v>
      </c>
      <c r="BT5" s="146" t="str">
        <f t="shared" si="3"/>
        <v>b</v>
      </c>
      <c r="BU5" s="146" t="str">
        <f t="shared" si="3"/>
        <v>t</v>
      </c>
      <c r="BV5" s="146" t="str">
        <f t="shared" si="3"/>
        <v>g</v>
      </c>
      <c r="BW5" s="146" t="str">
        <f t="shared" si="3"/>
        <v>z</v>
      </c>
      <c r="BX5" s="148" t="str">
        <f t="shared" si="3"/>
        <v>=</v>
      </c>
      <c r="BY5" s="148" t="str">
        <f t="shared" si="3"/>
        <v>-</v>
      </c>
      <c r="BZ5" s="146" t="str">
        <f t="shared" si="3"/>
        <v>"</v>
      </c>
      <c r="CA5" s="146" t="str">
        <f t="shared" si="3"/>
        <v>5</v>
      </c>
      <c r="CB5" s="146" t="str">
        <f t="shared" si="3"/>
        <v>3</v>
      </c>
      <c r="CC5" s="146" t="str">
        <f t="shared" si="3"/>
        <v>4</v>
      </c>
      <c r="CD5" s="146" t="str">
        <f t="shared" si="3"/>
        <v>6</v>
      </c>
      <c r="CE5" s="146" t="str">
        <f t="shared" si="3"/>
        <v>[</v>
      </c>
      <c r="CF5" s="146" t="str">
        <f t="shared" si="3"/>
        <v>]</v>
      </c>
      <c r="CG5" s="146" t="str">
        <f t="shared" si="3"/>
        <v>.</v>
      </c>
      <c r="CH5" s="146" t="str">
        <f t="shared" si="3"/>
        <v>7</v>
      </c>
      <c r="CJ5" s="5">
        <v>4</v>
      </c>
      <c r="CK5" s="5" t="s">
        <v>68</v>
      </c>
      <c r="CL5" s="5" t="s">
        <v>68</v>
      </c>
      <c r="CM5" s="5" t="s">
        <v>10</v>
      </c>
      <c r="CN5" s="5" t="s">
        <v>133</v>
      </c>
      <c r="CP5" s="5">
        <v>4</v>
      </c>
      <c r="CQ5" s="5" t="s">
        <v>63</v>
      </c>
      <c r="CR5" s="5" t="s">
        <v>63</v>
      </c>
      <c r="CS5" s="5" t="s">
        <v>76</v>
      </c>
      <c r="CT5" s="5" t="s">
        <v>134</v>
      </c>
      <c r="CV5" s="5">
        <v>4</v>
      </c>
      <c r="CW5" s="6">
        <v>2</v>
      </c>
      <c r="CX5" s="6">
        <v>2</v>
      </c>
      <c r="CY5" s="6">
        <v>4</v>
      </c>
      <c r="CZ5" s="6" t="s">
        <v>135</v>
      </c>
    </row>
    <row r="6" spans="2:104">
      <c r="B6" s="5">
        <v>5</v>
      </c>
      <c r="C6" s="18" t="s">
        <v>10</v>
      </c>
      <c r="D6" s="14" t="s">
        <v>68</v>
      </c>
      <c r="E6" s="25" t="s">
        <v>68</v>
      </c>
      <c r="F6" s="6" t="s">
        <v>133</v>
      </c>
      <c r="G6" s="6" t="str" cm="1">
        <f t="array" ref="G6" xml:space="preserve"> INDEX(聲母對照表[台語注音], MATCH(TRUE,  EXACT(' 【BPM2】鍵盤對映表'!E6, 聲母對照表[台羅拼音]), 0))</f>
        <v>ㄇ</v>
      </c>
      <c r="I6" s="5">
        <v>5</v>
      </c>
      <c r="J6" s="18" t="s">
        <v>118</v>
      </c>
      <c r="K6" s="14" t="s">
        <v>85</v>
      </c>
      <c r="L6" s="25" t="s">
        <v>85</v>
      </c>
      <c r="M6" s="6" t="s">
        <v>154</v>
      </c>
      <c r="N6" s="155" t="s">
        <v>409</v>
      </c>
      <c r="P6" s="5">
        <v>5</v>
      </c>
      <c r="Q6" s="6">
        <v>6</v>
      </c>
      <c r="R6" s="25">
        <v>5</v>
      </c>
      <c r="S6" s="25">
        <v>5</v>
      </c>
      <c r="T6" s="6" t="s">
        <v>1152</v>
      </c>
      <c r="U6" s="6" t="s">
        <v>722</v>
      </c>
      <c r="V6" s="6" t="s">
        <v>616</v>
      </c>
      <c r="Y6" s="21" t="s">
        <v>136</v>
      </c>
      <c r="AA6" s="149" t="str">
        <f t="shared" ref="AA6:BF6" si="4">AA47</f>
        <v>ㆠ</v>
      </c>
      <c r="AB6" s="149" t="str">
        <f t="shared" si="4"/>
        <v>ㄅ</v>
      </c>
      <c r="AC6" s="149" t="str">
        <f t="shared" si="4"/>
        <v>ㄆ</v>
      </c>
      <c r="AD6" s="149" t="str">
        <f t="shared" si="4"/>
        <v>ㄇ</v>
      </c>
      <c r="AE6" s="149" t="str">
        <f t="shared" si="4"/>
        <v>ㄉ</v>
      </c>
      <c r="AF6" s="149" t="str">
        <f t="shared" si="4"/>
        <v>ㄊ</v>
      </c>
      <c r="AG6" s="149" t="str">
        <f t="shared" si="4"/>
        <v>ㄋ</v>
      </c>
      <c r="AH6" s="149" t="str">
        <f t="shared" si="4"/>
        <v>ㄌ</v>
      </c>
      <c r="AI6" s="149" t="str">
        <f t="shared" si="4"/>
        <v>ㆣ</v>
      </c>
      <c r="AJ6" s="149" t="str">
        <f t="shared" si="4"/>
        <v>ㄍ</v>
      </c>
      <c r="AK6" s="149" t="str">
        <f t="shared" si="4"/>
        <v>ㄎ</v>
      </c>
      <c r="AL6" s="149" t="str">
        <f t="shared" si="4"/>
        <v>ㄫ</v>
      </c>
      <c r="AM6" s="149" t="str">
        <f t="shared" si="4"/>
        <v>ㄏ</v>
      </c>
      <c r="AN6" s="149" t="str">
        <f t="shared" si="4"/>
        <v>ㆡ</v>
      </c>
      <c r="AO6" s="149" t="str">
        <f t="shared" si="4"/>
        <v>ㄗ</v>
      </c>
      <c r="AP6" s="149" t="str">
        <f t="shared" si="4"/>
        <v>ㄘ</v>
      </c>
      <c r="AQ6" s="149" t="str">
        <f t="shared" si="4"/>
        <v>ㄙ</v>
      </c>
      <c r="AR6" s="149" t="str">
        <f t="shared" si="4"/>
        <v>ㆢ</v>
      </c>
      <c r="AS6" s="149" t="str">
        <f t="shared" si="4"/>
        <v>ㄐ</v>
      </c>
      <c r="AT6" s="149" t="str">
        <f t="shared" si="4"/>
        <v>ㄑ</v>
      </c>
      <c r="AU6" s="149" t="str">
        <f t="shared" si="4"/>
        <v>ㄒ</v>
      </c>
      <c r="AV6" s="149" t="str">
        <f t="shared" si="4"/>
        <v>ㄚ</v>
      </c>
      <c r="AW6" s="149" t="str">
        <f t="shared" si="4"/>
        <v>ㄧ</v>
      </c>
      <c r="AX6" s="149" t="str">
        <f t="shared" si="4"/>
        <v>ㆨ</v>
      </c>
      <c r="AY6" s="149" t="str">
        <f t="shared" si="4"/>
        <v>ㄨ</v>
      </c>
      <c r="AZ6" s="149" t="str">
        <f t="shared" si="4"/>
        <v>ㆤ</v>
      </c>
      <c r="BA6" s="149" t="str">
        <f t="shared" si="4"/>
        <v>ㆦ</v>
      </c>
      <c r="BB6" s="149" t="str">
        <f t="shared" si="4"/>
        <v>ㄜ</v>
      </c>
      <c r="BC6" s="149" t="str">
        <f t="shared" si="4"/>
        <v>ㄞ</v>
      </c>
      <c r="BD6" s="149" t="str">
        <f t="shared" si="4"/>
        <v>ㄠ</v>
      </c>
      <c r="BE6" s="149" t="str">
        <f t="shared" si="4"/>
        <v>ㆩ</v>
      </c>
      <c r="BF6" s="149" t="str">
        <f t="shared" si="4"/>
        <v>ㆪ</v>
      </c>
      <c r="BG6" s="149" t="str">
        <f t="shared" ref="BG6:CH6" si="5">BG47</f>
        <v>ㆫ</v>
      </c>
      <c r="BH6" s="149" t="str">
        <f t="shared" si="5"/>
        <v>ㆥ</v>
      </c>
      <c r="BI6" s="149" t="str">
        <f t="shared" si="5"/>
        <v>ㆧ</v>
      </c>
      <c r="BJ6" s="149" t="str">
        <f t="shared" si="5"/>
        <v>ㆮ</v>
      </c>
      <c r="BK6" s="149" t="str">
        <f t="shared" si="5"/>
        <v>ㆯ</v>
      </c>
      <c r="BL6" s="149" t="str">
        <f t="shared" si="5"/>
        <v>ㆬ</v>
      </c>
      <c r="BM6" s="149" t="str">
        <f t="shared" si="5"/>
        <v>ㆭ</v>
      </c>
      <c r="BN6" s="149" t="str">
        <f t="shared" si="5"/>
        <v>ㄣ</v>
      </c>
      <c r="BO6" s="149" t="str">
        <f t="shared" si="5"/>
        <v>ㆰ</v>
      </c>
      <c r="BP6" s="149" t="str">
        <f t="shared" si="5"/>
        <v>ㄢ</v>
      </c>
      <c r="BQ6" s="149" t="str">
        <f t="shared" si="5"/>
        <v>ㄤ</v>
      </c>
      <c r="BR6" s="149" t="str">
        <f t="shared" si="5"/>
        <v>ㆱ</v>
      </c>
      <c r="BS6" s="149" t="str">
        <f t="shared" si="5"/>
        <v>ㆲ</v>
      </c>
      <c r="BT6" s="149" t="str">
        <f t="shared" si="5"/>
        <v>ㆴ</v>
      </c>
      <c r="BU6" s="149" t="str">
        <f t="shared" si="5"/>
        <v>ㆵ</v>
      </c>
      <c r="BV6" s="149" t="str">
        <f t="shared" si="5"/>
        <v>ㆻ</v>
      </c>
      <c r="BW6" s="149" t="str">
        <f t="shared" si="5"/>
        <v>ㆷ</v>
      </c>
      <c r="BX6" s="150" t="str">
        <f t="shared" si="5"/>
        <v>Ø</v>
      </c>
      <c r="BY6" s="150" t="str">
        <f t="shared" si="5"/>
        <v>ㄥ</v>
      </c>
      <c r="BZ6" s="149" t="str">
        <f t="shared" si="5"/>
        <v>一</v>
      </c>
      <c r="CA6" s="149" t="str">
        <f t="shared" si="5"/>
        <v>七</v>
      </c>
      <c r="CB6" s="149" t="str">
        <f t="shared" si="5"/>
        <v>三</v>
      </c>
      <c r="CC6" s="149" t="str">
        <f t="shared" si="5"/>
        <v>二</v>
      </c>
      <c r="CD6" s="149" t="str">
        <f t="shared" si="5"/>
        <v>五</v>
      </c>
      <c r="CE6" s="149" t="str">
        <f t="shared" si="5"/>
        <v>四</v>
      </c>
      <c r="CF6" s="149" t="str">
        <f t="shared" si="5"/>
        <v>八</v>
      </c>
      <c r="CG6" s="149" t="str">
        <f t="shared" si="5"/>
        <v>輕</v>
      </c>
      <c r="CH6" s="149" t="str">
        <f t="shared" si="5"/>
        <v>ʔ</v>
      </c>
      <c r="CJ6" s="5">
        <v>5</v>
      </c>
      <c r="CK6" s="5" t="s">
        <v>69</v>
      </c>
      <c r="CL6" s="5" t="s">
        <v>69</v>
      </c>
      <c r="CM6" s="5" t="s">
        <v>79</v>
      </c>
      <c r="CN6" s="5" t="s">
        <v>137</v>
      </c>
      <c r="CP6" s="5">
        <v>5</v>
      </c>
      <c r="CQ6" s="5" t="s">
        <v>85</v>
      </c>
      <c r="CR6" s="5" t="s">
        <v>85</v>
      </c>
      <c r="CS6" s="5" t="s">
        <v>118</v>
      </c>
      <c r="CT6" s="5" t="s">
        <v>154</v>
      </c>
      <c r="CV6" s="5">
        <v>5</v>
      </c>
      <c r="CW6" s="6">
        <v>5</v>
      </c>
      <c r="CX6" s="6">
        <v>5</v>
      </c>
      <c r="CY6" s="6">
        <v>6</v>
      </c>
      <c r="CZ6" s="6" t="s">
        <v>180</v>
      </c>
    </row>
    <row r="7" spans="2:104">
      <c r="B7" s="5">
        <v>6</v>
      </c>
      <c r="C7" s="18" t="s">
        <v>110</v>
      </c>
      <c r="D7" s="14" t="s">
        <v>112</v>
      </c>
      <c r="E7" s="25" t="s">
        <v>99</v>
      </c>
      <c r="F7" s="6" t="s">
        <v>138</v>
      </c>
      <c r="G7" s="6" t="s">
        <v>138</v>
      </c>
      <c r="I7" s="5">
        <v>6</v>
      </c>
      <c r="J7" s="18" t="s">
        <v>62</v>
      </c>
      <c r="K7" s="14" t="s">
        <v>86</v>
      </c>
      <c r="L7" s="25" t="s">
        <v>184</v>
      </c>
      <c r="M7" s="6" t="s">
        <v>155</v>
      </c>
      <c r="N7" s="155" t="s">
        <v>503</v>
      </c>
      <c r="P7" s="5">
        <v>6</v>
      </c>
      <c r="Q7" s="6" t="s">
        <v>132</v>
      </c>
      <c r="R7" s="25">
        <v>4</v>
      </c>
      <c r="S7" s="25">
        <v>4</v>
      </c>
      <c r="T7" s="6" t="s">
        <v>1153</v>
      </c>
      <c r="U7" s="6"/>
      <c r="V7" s="6" t="s">
        <v>629</v>
      </c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2"/>
      <c r="BF7" s="142"/>
      <c r="BG7" s="142"/>
      <c r="BH7" s="142"/>
      <c r="BI7" s="142"/>
      <c r="BJ7" s="142"/>
      <c r="BK7" s="142"/>
      <c r="BL7" s="142"/>
      <c r="BM7" s="142"/>
      <c r="BN7" s="142"/>
      <c r="BO7" s="142"/>
      <c r="BP7" s="142"/>
      <c r="BQ7" s="142"/>
      <c r="BR7" s="142"/>
      <c r="BS7" s="142"/>
      <c r="BT7" s="142"/>
      <c r="BU7" s="142"/>
      <c r="BV7" s="142"/>
      <c r="BW7" s="142"/>
      <c r="BX7" s="142"/>
      <c r="BY7" s="142"/>
      <c r="BZ7" s="142"/>
      <c r="CA7" s="142"/>
      <c r="CB7" s="142"/>
      <c r="CC7" s="142"/>
      <c r="CD7" s="142"/>
      <c r="CE7" s="142"/>
      <c r="CF7" s="142"/>
      <c r="CG7" s="142"/>
      <c r="CH7" s="142"/>
      <c r="CJ7" s="5">
        <v>6</v>
      </c>
      <c r="CK7" s="5" t="s">
        <v>70</v>
      </c>
      <c r="CL7" s="5" t="s">
        <v>70</v>
      </c>
      <c r="CM7" s="5" t="s">
        <v>110</v>
      </c>
      <c r="CN7" s="5" t="s">
        <v>138</v>
      </c>
      <c r="CP7" s="5">
        <v>6</v>
      </c>
      <c r="CQ7" s="5" t="s">
        <v>184</v>
      </c>
      <c r="CR7" s="5" t="s">
        <v>86</v>
      </c>
      <c r="CS7" s="5" t="s">
        <v>62</v>
      </c>
      <c r="CT7" s="5" t="s">
        <v>155</v>
      </c>
      <c r="CV7" s="5">
        <v>6</v>
      </c>
      <c r="CW7" s="6">
        <v>8</v>
      </c>
      <c r="CX7" s="6">
        <v>8</v>
      </c>
      <c r="CY7" s="6" t="s">
        <v>131</v>
      </c>
      <c r="CZ7" s="6" t="s">
        <v>181</v>
      </c>
    </row>
    <row r="8" spans="2:104">
      <c r="B8" s="5">
        <v>7</v>
      </c>
      <c r="C8" s="18" t="s">
        <v>84</v>
      </c>
      <c r="D8" s="14" t="s">
        <v>70</v>
      </c>
      <c r="E8" s="25" t="s">
        <v>70</v>
      </c>
      <c r="F8" s="6" t="s">
        <v>139</v>
      </c>
      <c r="G8" s="6" t="s">
        <v>139</v>
      </c>
      <c r="I8" s="5">
        <v>7</v>
      </c>
      <c r="J8" s="18" t="s">
        <v>119</v>
      </c>
      <c r="K8" s="14" t="s">
        <v>87</v>
      </c>
      <c r="L8" s="25" t="s">
        <v>125</v>
      </c>
      <c r="M8" s="6" t="s">
        <v>156</v>
      </c>
      <c r="N8" s="6" t="s">
        <v>156</v>
      </c>
      <c r="P8" s="5">
        <v>7</v>
      </c>
      <c r="Q8" s="6" t="s">
        <v>131</v>
      </c>
      <c r="R8" s="25">
        <v>8</v>
      </c>
      <c r="S8" s="25">
        <v>8</v>
      </c>
      <c r="T8" s="6" t="s">
        <v>181</v>
      </c>
      <c r="U8" s="6" t="s">
        <v>726</v>
      </c>
      <c r="V8" s="6" t="s">
        <v>635</v>
      </c>
      <c r="Y8" s="1" t="s">
        <v>185</v>
      </c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J8" s="5">
        <v>7</v>
      </c>
      <c r="CK8" s="5" t="s">
        <v>186</v>
      </c>
      <c r="CL8" s="5" t="s">
        <v>71</v>
      </c>
      <c r="CM8" s="5" t="s">
        <v>84</v>
      </c>
      <c r="CN8" s="5" t="s">
        <v>139</v>
      </c>
      <c r="CP8" s="5">
        <v>7</v>
      </c>
      <c r="CQ8" s="5" t="s">
        <v>125</v>
      </c>
      <c r="CR8" s="5" t="s">
        <v>87</v>
      </c>
      <c r="CS8" s="5" t="s">
        <v>119</v>
      </c>
      <c r="CT8" s="5" t="s">
        <v>156</v>
      </c>
      <c r="CV8" s="5">
        <v>7</v>
      </c>
      <c r="CW8" s="6">
        <v>4</v>
      </c>
      <c r="CX8" s="6">
        <v>4</v>
      </c>
      <c r="CY8" s="6" t="s">
        <v>132</v>
      </c>
      <c r="CZ8" s="6" t="s">
        <v>182</v>
      </c>
    </row>
    <row r="9" spans="2:104">
      <c r="B9" s="5">
        <v>8</v>
      </c>
      <c r="C9" s="18" t="s">
        <v>79</v>
      </c>
      <c r="D9" s="14" t="s">
        <v>69</v>
      </c>
      <c r="E9" s="25" t="s">
        <v>20</v>
      </c>
      <c r="F9" s="6" t="s">
        <v>137</v>
      </c>
      <c r="G9" s="6" t="s">
        <v>137</v>
      </c>
      <c r="I9" s="5">
        <v>8</v>
      </c>
      <c r="J9" s="18" t="s">
        <v>122</v>
      </c>
      <c r="K9" s="14" t="s">
        <v>94</v>
      </c>
      <c r="L9" s="25" t="s">
        <v>51</v>
      </c>
      <c r="M9" s="6" t="s">
        <v>164</v>
      </c>
      <c r="N9" s="6" t="s">
        <v>164</v>
      </c>
      <c r="P9" s="5">
        <v>8</v>
      </c>
      <c r="Q9" s="6" t="s">
        <v>1206</v>
      </c>
      <c r="R9" s="25">
        <v>0</v>
      </c>
      <c r="S9" s="25">
        <v>0</v>
      </c>
      <c r="T9" s="6" t="s">
        <v>1241</v>
      </c>
      <c r="U9" s="6" t="s">
        <v>726</v>
      </c>
      <c r="V9" s="6" t="s">
        <v>1207</v>
      </c>
      <c r="Y9" s="1" t="s">
        <v>187</v>
      </c>
      <c r="AA9" s="151" t="str">
        <f xml:space="preserve"> _xlfn.CONCAT("  alphabet: ","""", AA5:BY5, BZ5:CH5, """")</f>
        <v xml:space="preserve">  alphabet: "!1qa2wsxEedNcYyhnRrfv8uKj,ik9l*UJ&lt;I(Lm/pM0;Oobtgz=-"5346[].7"</v>
      </c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J9" s="5">
        <v>8</v>
      </c>
      <c r="CK9" s="5" t="s">
        <v>72</v>
      </c>
      <c r="CL9" s="5" t="s">
        <v>72</v>
      </c>
      <c r="CM9" s="5" t="s">
        <v>101</v>
      </c>
      <c r="CN9" s="5" t="s">
        <v>140</v>
      </c>
      <c r="CP9" s="5">
        <v>8</v>
      </c>
      <c r="CQ9" s="5" t="s">
        <v>188</v>
      </c>
      <c r="CR9" s="5" t="s">
        <v>88</v>
      </c>
      <c r="CS9" s="5" t="s">
        <v>68</v>
      </c>
      <c r="CT9" s="5" t="s">
        <v>157</v>
      </c>
      <c r="CV9" s="5">
        <v>8</v>
      </c>
      <c r="CW9" s="6">
        <v>0</v>
      </c>
      <c r="CX9" s="6">
        <v>0</v>
      </c>
      <c r="CY9" s="6">
        <v>7</v>
      </c>
      <c r="CZ9" s="6" t="s">
        <v>183</v>
      </c>
    </row>
    <row r="10" spans="2:104">
      <c r="B10" s="5">
        <v>9</v>
      </c>
      <c r="C10" s="18" t="s">
        <v>101</v>
      </c>
      <c r="D10" s="14" t="s">
        <v>72</v>
      </c>
      <c r="E10" s="25" t="s">
        <v>72</v>
      </c>
      <c r="F10" s="6" t="s">
        <v>140</v>
      </c>
      <c r="G10" s="6" t="s">
        <v>140</v>
      </c>
      <c r="I10" s="5">
        <v>9</v>
      </c>
      <c r="J10" s="18" t="s">
        <v>72</v>
      </c>
      <c r="K10" s="14" t="s">
        <v>95</v>
      </c>
      <c r="L10" s="25" t="s">
        <v>52</v>
      </c>
      <c r="M10" s="6" t="s">
        <v>165</v>
      </c>
      <c r="N10" s="6" t="s">
        <v>165</v>
      </c>
      <c r="P10" s="5">
        <v>9</v>
      </c>
      <c r="Q10" s="6">
        <v>7</v>
      </c>
      <c r="R10" s="25">
        <v>6</v>
      </c>
      <c r="S10" s="25" t="s">
        <v>1242</v>
      </c>
      <c r="T10" s="6" t="s">
        <v>1178</v>
      </c>
      <c r="U10" s="6"/>
      <c r="V10" s="25" t="s">
        <v>1242</v>
      </c>
      <c r="Y10" s="1" t="s">
        <v>189</v>
      </c>
      <c r="AA10" s="137" t="str">
        <f xml:space="preserve"> _xlfn.CONCAT("  initials: ","""", AA5:BZ5, """")</f>
        <v xml:space="preserve">  initials: "!1qa2wsxEedNcYyhnRrfv8uKj,ik9l*UJ&lt;I(Lm/pM0;Oobtgz=-""</v>
      </c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J10" s="5">
        <v>9</v>
      </c>
      <c r="CK10" s="5" t="s">
        <v>141</v>
      </c>
      <c r="CL10" s="5" t="s">
        <v>73</v>
      </c>
      <c r="CM10" s="5" t="s">
        <v>111</v>
      </c>
      <c r="CN10" s="5" t="s">
        <v>141</v>
      </c>
      <c r="CP10" s="5">
        <v>9</v>
      </c>
      <c r="CQ10" s="5" t="s">
        <v>190</v>
      </c>
      <c r="CR10" s="5" t="s">
        <v>89</v>
      </c>
      <c r="CS10" s="5" t="s">
        <v>59</v>
      </c>
      <c r="CT10" s="5" t="s">
        <v>158</v>
      </c>
      <c r="CV10" s="5">
        <v>9</v>
      </c>
      <c r="CW10" s="6" t="s">
        <v>102</v>
      </c>
      <c r="CX10" s="6" t="s">
        <v>102</v>
      </c>
      <c r="CY10" s="6" t="s">
        <v>89</v>
      </c>
      <c r="CZ10" s="6" t="s">
        <v>178</v>
      </c>
    </row>
    <row r="11" spans="2:104">
      <c r="B11" s="5">
        <v>10</v>
      </c>
      <c r="C11" s="18" t="s">
        <v>111</v>
      </c>
      <c r="D11" s="14" t="s">
        <v>739</v>
      </c>
      <c r="E11" s="25" t="s">
        <v>743</v>
      </c>
      <c r="F11" s="6" t="s">
        <v>141</v>
      </c>
      <c r="G11" s="155" t="s">
        <v>144</v>
      </c>
      <c r="I11" s="5">
        <v>10</v>
      </c>
      <c r="J11" s="18" t="s">
        <v>126</v>
      </c>
      <c r="K11" s="14" t="s">
        <v>749</v>
      </c>
      <c r="L11" s="25" t="s">
        <v>570</v>
      </c>
      <c r="M11" s="6" t="s">
        <v>171</v>
      </c>
      <c r="N11" s="155" t="s">
        <v>395</v>
      </c>
      <c r="Y11" s="1" t="s">
        <v>191</v>
      </c>
      <c r="AA11" s="137" t="str">
        <f xml:space="preserve"> _xlfn.CONCAT("  finals: ","""", CA5:CH5, """")</f>
        <v xml:space="preserve">  finals: "5346[].7"</v>
      </c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J11" s="5">
        <v>10</v>
      </c>
      <c r="CK11" s="5" t="s">
        <v>119</v>
      </c>
      <c r="CL11" s="5" t="s">
        <v>119</v>
      </c>
      <c r="CM11" s="5" t="s">
        <v>85</v>
      </c>
      <c r="CN11" s="5" t="s">
        <v>142</v>
      </c>
      <c r="CP11" s="5">
        <v>10</v>
      </c>
      <c r="CQ11" s="5" t="s">
        <v>192</v>
      </c>
      <c r="CR11" s="5" t="s">
        <v>90</v>
      </c>
      <c r="CS11" s="5" t="s">
        <v>120</v>
      </c>
      <c r="CT11" s="5" t="s">
        <v>159</v>
      </c>
    </row>
    <row r="12" spans="2:104" outlineLevel="1">
      <c r="B12" s="5">
        <v>11</v>
      </c>
      <c r="C12" s="18" t="s">
        <v>85</v>
      </c>
      <c r="D12" s="14" t="s">
        <v>73</v>
      </c>
      <c r="E12" s="25" t="s">
        <v>24</v>
      </c>
      <c r="F12" s="6" t="s">
        <v>142</v>
      </c>
      <c r="G12" s="6" t="s">
        <v>142</v>
      </c>
      <c r="I12" s="5">
        <v>11</v>
      </c>
      <c r="J12" s="18" t="s">
        <v>95</v>
      </c>
      <c r="K12" s="14" t="s">
        <v>116</v>
      </c>
      <c r="L12" s="25" t="s">
        <v>571</v>
      </c>
      <c r="M12" s="6" t="s">
        <v>172</v>
      </c>
      <c r="N12" s="156" t="s">
        <v>456</v>
      </c>
      <c r="BP12" s="152"/>
      <c r="CJ12" s="5">
        <v>11</v>
      </c>
      <c r="CK12" s="5" t="s">
        <v>195</v>
      </c>
      <c r="CL12" s="5" t="s">
        <v>74</v>
      </c>
      <c r="CM12" s="5" t="s">
        <v>112</v>
      </c>
      <c r="CN12" s="5" t="s">
        <v>143</v>
      </c>
      <c r="CP12" s="5">
        <v>11</v>
      </c>
      <c r="CQ12" s="5" t="s">
        <v>196</v>
      </c>
      <c r="CR12" s="5" t="s">
        <v>91</v>
      </c>
      <c r="CS12" s="5" t="s">
        <v>7</v>
      </c>
      <c r="CT12" s="5" t="s">
        <v>160</v>
      </c>
    </row>
    <row r="13" spans="2:104" outlineLevel="1">
      <c r="B13" s="5">
        <v>12</v>
      </c>
      <c r="C13" s="18" t="s">
        <v>112</v>
      </c>
      <c r="D13" s="14" t="s">
        <v>119</v>
      </c>
      <c r="E13" s="25" t="s">
        <v>25</v>
      </c>
      <c r="F13" s="6" t="s">
        <v>143</v>
      </c>
      <c r="G13" s="6" t="s">
        <v>143</v>
      </c>
      <c r="I13" s="5">
        <v>12</v>
      </c>
      <c r="J13" s="18" t="s">
        <v>81</v>
      </c>
      <c r="K13" s="14" t="s">
        <v>104</v>
      </c>
      <c r="L13" s="25" t="s">
        <v>572</v>
      </c>
      <c r="M13" s="6" t="s">
        <v>173</v>
      </c>
      <c r="N13" s="156" t="s">
        <v>736</v>
      </c>
      <c r="P13" s="24" t="s">
        <v>1</v>
      </c>
      <c r="Q13" s="24" t="s">
        <v>230</v>
      </c>
      <c r="R13" s="24" t="s">
        <v>4</v>
      </c>
      <c r="S13" s="24" t="s">
        <v>741</v>
      </c>
      <c r="T13" s="24" t="s">
        <v>740</v>
      </c>
      <c r="U13" s="24" t="s">
        <v>569</v>
      </c>
      <c r="Y13" s="1" t="s">
        <v>197</v>
      </c>
      <c r="CJ13" s="5">
        <v>12</v>
      </c>
      <c r="CK13" s="5" t="s">
        <v>198</v>
      </c>
      <c r="CL13" s="5" t="s">
        <v>75</v>
      </c>
      <c r="CM13" s="5" t="s">
        <v>90</v>
      </c>
      <c r="CN13" s="5" t="s">
        <v>144</v>
      </c>
      <c r="CP13" s="5">
        <v>12</v>
      </c>
      <c r="CQ13" s="5" t="s">
        <v>199</v>
      </c>
      <c r="CR13" s="5" t="s">
        <v>92</v>
      </c>
      <c r="CS13" s="5" t="s">
        <v>70</v>
      </c>
      <c r="CT13" s="5" t="s">
        <v>161</v>
      </c>
    </row>
    <row r="14" spans="2:104" outlineLevel="1">
      <c r="B14" s="5">
        <v>13</v>
      </c>
      <c r="C14" s="18" t="s">
        <v>113</v>
      </c>
      <c r="D14" s="14" t="s">
        <v>75</v>
      </c>
      <c r="E14" s="25" t="s">
        <v>198</v>
      </c>
      <c r="F14" s="6" t="s">
        <v>144</v>
      </c>
      <c r="G14" s="156" t="str" cm="1">
        <f t="array" ref="G14" xml:space="preserve"> INDEX(聲母對照表[台語注音], MATCH(TRUE,  EXACT(' 【BPM2】鍵盤對映表'!E14, 聲母對照表[台羅拼音]), 0))</f>
        <v xml:space="preserve">⁰ㄫ </v>
      </c>
      <c r="I14" s="5">
        <v>13</v>
      </c>
      <c r="J14" s="18" t="s">
        <v>127</v>
      </c>
      <c r="K14" s="14" t="s">
        <v>100</v>
      </c>
      <c r="L14" s="25" t="s">
        <v>573</v>
      </c>
      <c r="M14" s="6" t="s">
        <v>174</v>
      </c>
      <c r="N14" s="156" t="s">
        <v>420</v>
      </c>
      <c r="P14" s="5">
        <v>1</v>
      </c>
      <c r="Q14" s="6" t="s">
        <v>124</v>
      </c>
      <c r="R14" s="26">
        <v>1</v>
      </c>
      <c r="S14" s="25">
        <v>1</v>
      </c>
      <c r="T14" s="6"/>
      <c r="U14" s="6" t="s">
        <v>603</v>
      </c>
      <c r="Z14" s="154">
        <f xml:space="preserve"> LEN(AA14)</f>
        <v>60</v>
      </c>
      <c r="AA14" s="137" t="str" cm="1">
        <f t="array" ref="AA14" xml:space="preserve"> _xlfn.CONCAT( TRANSPOSE(D3:D23), TRANSPOSE(K2:K29), TRANSPOSE(K33:K34), TRANSPOSE(R2:R10))</f>
        <v>BbpmdtnlĞgkŋhZzcsJjCSaiwueOəIUDfqrvxyMGNY@AWHRFQVØL173254806</v>
      </c>
      <c r="CJ14" s="5">
        <v>13</v>
      </c>
      <c r="CK14" s="5" t="s">
        <v>76</v>
      </c>
      <c r="CL14" s="5" t="s">
        <v>76</v>
      </c>
      <c r="CM14" s="5" t="s">
        <v>114</v>
      </c>
      <c r="CN14" s="5" t="s">
        <v>145</v>
      </c>
      <c r="CP14" s="5">
        <v>13</v>
      </c>
      <c r="CQ14" s="5" t="s">
        <v>200</v>
      </c>
      <c r="CR14" s="5" t="s">
        <v>201</v>
      </c>
      <c r="CS14" s="5" t="s">
        <v>73</v>
      </c>
      <c r="CT14" s="5" t="s">
        <v>162</v>
      </c>
    </row>
    <row r="15" spans="2:104" outlineLevel="1">
      <c r="B15" s="5">
        <v>14</v>
      </c>
      <c r="C15" s="18" t="s">
        <v>78</v>
      </c>
      <c r="D15" s="14" t="s">
        <v>80</v>
      </c>
      <c r="E15" s="25" t="s">
        <v>32</v>
      </c>
      <c r="F15" s="6" t="s">
        <v>149</v>
      </c>
      <c r="G15" s="6" t="s">
        <v>149</v>
      </c>
      <c r="I15" s="5">
        <v>14</v>
      </c>
      <c r="J15" s="18" t="s">
        <v>94</v>
      </c>
      <c r="K15" s="14" t="s">
        <v>117</v>
      </c>
      <c r="L15" s="25" t="s">
        <v>750</v>
      </c>
      <c r="M15" s="6" t="s">
        <v>175</v>
      </c>
      <c r="N15" s="156" t="s">
        <v>497</v>
      </c>
      <c r="P15" s="5">
        <v>2</v>
      </c>
      <c r="Q15" s="6" t="s">
        <v>231</v>
      </c>
      <c r="R15" s="25">
        <v>7</v>
      </c>
      <c r="S15" s="25">
        <v>7</v>
      </c>
      <c r="T15" s="6" t="s">
        <v>724</v>
      </c>
      <c r="U15" s="6" t="s">
        <v>609</v>
      </c>
      <c r="Z15" s="154">
        <f xml:space="preserve"> LEN(AA15)</f>
        <v>60</v>
      </c>
      <c r="AA15" s="137" t="str" cm="1">
        <f t="array" ref="AA15" xml:space="preserve"> _xlfn.CONCAT( TRANSPOSE(C3:C23), TRANSPOSE(J2:J29), TRANSPOSE(J33:J34), TRANSPOSE(Q2:Q10))</f>
        <v>!1qa2wsxEedNcYyhnRrfv8uKj,ik9l*UJ&lt;I(Lm/pM0;Oobtgz=-"5346[].7</v>
      </c>
      <c r="CJ15" s="5">
        <v>14</v>
      </c>
      <c r="CK15" s="5" t="s">
        <v>202</v>
      </c>
      <c r="CL15" s="5" t="s">
        <v>121</v>
      </c>
      <c r="CM15" s="5" t="s">
        <v>115</v>
      </c>
      <c r="CN15" s="5" t="s">
        <v>146</v>
      </c>
      <c r="CP15" s="5">
        <v>14</v>
      </c>
      <c r="CQ15" s="5" t="s">
        <v>203</v>
      </c>
      <c r="CR15" s="5" t="s">
        <v>93</v>
      </c>
      <c r="CS15" s="5" t="s">
        <v>121</v>
      </c>
      <c r="CT15" s="5" t="s">
        <v>163</v>
      </c>
    </row>
    <row r="16" spans="2:104" outlineLevel="1">
      <c r="B16" s="5">
        <v>15</v>
      </c>
      <c r="C16" s="18" t="s">
        <v>114</v>
      </c>
      <c r="D16" s="14" t="s">
        <v>214</v>
      </c>
      <c r="E16" s="25" t="s">
        <v>744</v>
      </c>
      <c r="F16" s="6" t="s">
        <v>145</v>
      </c>
      <c r="G16" s="155" t="s">
        <v>306</v>
      </c>
      <c r="I16" s="5">
        <v>15</v>
      </c>
      <c r="J16" s="18" t="s">
        <v>128</v>
      </c>
      <c r="K16" s="14" t="s">
        <v>101</v>
      </c>
      <c r="L16" s="25" t="s">
        <v>575</v>
      </c>
      <c r="M16" s="6" t="s">
        <v>176</v>
      </c>
      <c r="N16" s="156" t="s">
        <v>386</v>
      </c>
      <c r="P16" s="5">
        <v>3</v>
      </c>
      <c r="Q16" s="6" t="s">
        <v>615</v>
      </c>
      <c r="R16" s="25">
        <v>3</v>
      </c>
      <c r="S16" s="25">
        <v>3</v>
      </c>
      <c r="T16" s="6" t="s">
        <v>725</v>
      </c>
      <c r="U16" s="6" t="s">
        <v>617</v>
      </c>
      <c r="AA16" s="158" t="str">
        <f xml:space="preserve"> _xlfn.CONCAT("    - xlit|", AA14, "|", AA15, "|")</f>
        <v xml:space="preserve">    - xlit|BbpmdtnlĞgkŋhZzcsJjCSaiwueOəIUDfqrvxyMGNY@AWHRFQVØL173254806|!1qa2wsxEedNcYyhnRrfv8uKj,ik9l*UJ&lt;I(Lm/pM0;Oobtgz=-"5346[].7|</v>
      </c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59"/>
      <c r="BP16" s="159"/>
      <c r="BQ16" s="159"/>
      <c r="BR16" s="159"/>
      <c r="BS16" s="159"/>
      <c r="BT16" s="159"/>
      <c r="BU16" s="159"/>
      <c r="BV16" s="159"/>
      <c r="BW16" s="159"/>
      <c r="BX16" s="159"/>
      <c r="BY16" s="159"/>
      <c r="BZ16" s="159"/>
      <c r="CA16" s="159"/>
      <c r="CB16" s="159"/>
      <c r="CC16" s="159"/>
      <c r="CD16" s="159"/>
      <c r="CE16" s="159"/>
      <c r="CF16" s="159"/>
      <c r="CG16" s="159"/>
      <c r="CH16" s="159"/>
      <c r="CJ16" s="5">
        <v>15</v>
      </c>
      <c r="CK16" s="5" t="s">
        <v>205</v>
      </c>
      <c r="CL16" s="5" t="s">
        <v>78</v>
      </c>
      <c r="CM16" s="5" t="s">
        <v>80</v>
      </c>
      <c r="CN16" s="5" t="s">
        <v>147</v>
      </c>
      <c r="CP16" s="5">
        <v>15</v>
      </c>
      <c r="CQ16" s="5" t="s">
        <v>206</v>
      </c>
      <c r="CR16" s="5" t="s">
        <v>94</v>
      </c>
      <c r="CS16" s="5" t="s">
        <v>122</v>
      </c>
      <c r="CT16" s="5" t="s">
        <v>164</v>
      </c>
    </row>
    <row r="17" spans="2:98" outlineLevel="1">
      <c r="B17" s="5">
        <v>16</v>
      </c>
      <c r="C17" s="18" t="s">
        <v>115</v>
      </c>
      <c r="D17" s="14" t="s">
        <v>121</v>
      </c>
      <c r="E17" s="25" t="s">
        <v>77</v>
      </c>
      <c r="F17" s="6" t="s">
        <v>146</v>
      </c>
      <c r="G17" s="6" t="s">
        <v>146</v>
      </c>
      <c r="I17" s="5">
        <v>16</v>
      </c>
      <c r="J17" s="18" t="s">
        <v>102</v>
      </c>
      <c r="K17" s="14" t="s">
        <v>115</v>
      </c>
      <c r="L17" s="25" t="s">
        <v>576</v>
      </c>
      <c r="M17" s="6" t="s">
        <v>177</v>
      </c>
      <c r="N17" s="156" t="s">
        <v>737</v>
      </c>
      <c r="P17" s="5">
        <v>4</v>
      </c>
      <c r="Q17" s="6" t="s">
        <v>621</v>
      </c>
      <c r="R17" s="25">
        <v>2</v>
      </c>
      <c r="S17" s="25">
        <v>2</v>
      </c>
      <c r="T17" s="6" t="s">
        <v>723</v>
      </c>
      <c r="U17" s="6" t="s">
        <v>622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J17" s="5">
        <v>16</v>
      </c>
      <c r="CK17" s="5" t="s">
        <v>79</v>
      </c>
      <c r="CL17" s="5" t="s">
        <v>79</v>
      </c>
      <c r="CM17" s="5" t="s">
        <v>69</v>
      </c>
      <c r="CN17" s="5" t="s">
        <v>148</v>
      </c>
      <c r="CP17" s="5">
        <v>16</v>
      </c>
      <c r="CQ17" s="5" t="s">
        <v>208</v>
      </c>
      <c r="CR17" s="5" t="s">
        <v>95</v>
      </c>
      <c r="CS17" s="5" t="s">
        <v>72</v>
      </c>
      <c r="CT17" s="5" t="s">
        <v>165</v>
      </c>
    </row>
    <row r="18" spans="2:98" outlineLevel="1">
      <c r="B18" s="5">
        <v>17</v>
      </c>
      <c r="C18" s="18" t="s">
        <v>80</v>
      </c>
      <c r="D18" s="14" t="s">
        <v>78</v>
      </c>
      <c r="E18" s="25" t="s">
        <v>745</v>
      </c>
      <c r="F18" s="6" t="s">
        <v>147</v>
      </c>
      <c r="G18" s="6" t="s">
        <v>147</v>
      </c>
      <c r="I18" s="5">
        <v>17</v>
      </c>
      <c r="J18" s="18" t="s">
        <v>68</v>
      </c>
      <c r="K18" s="14" t="s">
        <v>88</v>
      </c>
      <c r="L18" s="25" t="s">
        <v>19</v>
      </c>
      <c r="M18" s="6" t="s">
        <v>157</v>
      </c>
      <c r="N18" s="155" t="s">
        <v>133</v>
      </c>
      <c r="P18" s="5">
        <v>5</v>
      </c>
      <c r="Q18" s="6" t="s">
        <v>120</v>
      </c>
      <c r="R18" s="25">
        <v>5</v>
      </c>
      <c r="S18" s="25">
        <v>5</v>
      </c>
      <c r="T18" s="6" t="s">
        <v>722</v>
      </c>
      <c r="U18" s="6" t="s">
        <v>616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J18" s="5">
        <v>17</v>
      </c>
      <c r="CK18" s="5" t="s">
        <v>80</v>
      </c>
      <c r="CL18" s="5" t="s">
        <v>80</v>
      </c>
      <c r="CM18" s="5" t="s">
        <v>78</v>
      </c>
      <c r="CN18" s="5" t="s">
        <v>149</v>
      </c>
      <c r="CP18" s="5">
        <v>17</v>
      </c>
      <c r="CQ18" s="5" t="s">
        <v>210</v>
      </c>
      <c r="CR18" s="5" t="s">
        <v>114</v>
      </c>
      <c r="CS18" s="5" t="s">
        <v>88</v>
      </c>
      <c r="CT18" s="5" t="s">
        <v>166</v>
      </c>
    </row>
    <row r="19" spans="2:98" outlineLevel="1">
      <c r="B19" s="5">
        <v>18</v>
      </c>
      <c r="C19" s="18" t="s">
        <v>69</v>
      </c>
      <c r="D19" s="14" t="s">
        <v>79</v>
      </c>
      <c r="E19" s="25" t="s">
        <v>79</v>
      </c>
      <c r="F19" s="6" t="s">
        <v>148</v>
      </c>
      <c r="G19" s="6" t="s">
        <v>148</v>
      </c>
      <c r="I19" s="5">
        <v>18</v>
      </c>
      <c r="J19" s="18" t="s">
        <v>120</v>
      </c>
      <c r="K19" s="14" t="s">
        <v>90</v>
      </c>
      <c r="L19" s="25" t="s">
        <v>27</v>
      </c>
      <c r="M19" s="6" t="s">
        <v>159</v>
      </c>
      <c r="N19" s="156" t="s">
        <v>178</v>
      </c>
      <c r="P19" s="5">
        <v>6</v>
      </c>
      <c r="Q19" s="6" t="s">
        <v>132</v>
      </c>
      <c r="R19" s="25">
        <v>4</v>
      </c>
      <c r="S19" s="25">
        <v>4</v>
      </c>
      <c r="T19" s="6"/>
      <c r="U19" s="6" t="s">
        <v>629</v>
      </c>
      <c r="Y19" s="1" t="s">
        <v>204</v>
      </c>
      <c r="Z19" s="137">
        <f xml:space="preserve"> SEARCH("|", $AA$16)</f>
        <v>11</v>
      </c>
      <c r="CJ19" s="5">
        <v>18</v>
      </c>
      <c r="CK19" s="5" t="s">
        <v>211</v>
      </c>
      <c r="CL19" s="5" t="s">
        <v>81</v>
      </c>
      <c r="CM19" s="5" t="s">
        <v>91</v>
      </c>
      <c r="CN19" s="5" t="s">
        <v>150</v>
      </c>
      <c r="CP19" s="5">
        <v>18</v>
      </c>
      <c r="CQ19" s="5" t="s">
        <v>212</v>
      </c>
      <c r="CR19" s="5" t="s">
        <v>96</v>
      </c>
      <c r="CS19" s="5" t="s">
        <v>123</v>
      </c>
      <c r="CT19" s="5" t="s">
        <v>167</v>
      </c>
    </row>
    <row r="20" spans="2:98">
      <c r="B20" s="5">
        <v>19</v>
      </c>
      <c r="C20" s="18" t="s">
        <v>91</v>
      </c>
      <c r="D20" s="14" t="s">
        <v>81</v>
      </c>
      <c r="E20" s="25" t="s">
        <v>746</v>
      </c>
      <c r="F20" s="6" t="s">
        <v>150</v>
      </c>
      <c r="G20" s="155" t="s">
        <v>306</v>
      </c>
      <c r="I20" s="5">
        <v>19</v>
      </c>
      <c r="J20" s="18" t="s">
        <v>59</v>
      </c>
      <c r="K20" s="14" t="s">
        <v>89</v>
      </c>
      <c r="L20" s="25" t="s">
        <v>20</v>
      </c>
      <c r="M20" s="6" t="s">
        <v>158</v>
      </c>
      <c r="N20" s="6" t="s">
        <v>158</v>
      </c>
      <c r="P20" s="5">
        <v>7</v>
      </c>
      <c r="Q20" s="6" t="s">
        <v>131</v>
      </c>
      <c r="R20" s="25">
        <v>8</v>
      </c>
      <c r="S20" s="25">
        <v>8</v>
      </c>
      <c r="T20" s="6" t="s">
        <v>726</v>
      </c>
      <c r="U20" s="6" t="s">
        <v>635</v>
      </c>
      <c r="Y20" s="1" t="s">
        <v>207</v>
      </c>
      <c r="Z20" s="137">
        <f xml:space="preserve"> SEARCH("|", $AA$16, Z19+1)</f>
        <v>72</v>
      </c>
      <c r="CJ20" s="5">
        <v>19</v>
      </c>
      <c r="CK20" s="5" t="s">
        <v>213</v>
      </c>
      <c r="CL20" s="5" t="s">
        <v>214</v>
      </c>
      <c r="CM20" s="5" t="s">
        <v>100</v>
      </c>
      <c r="CN20" s="5" t="s">
        <v>151</v>
      </c>
      <c r="CP20" s="5">
        <v>19</v>
      </c>
      <c r="CQ20" s="5" t="s">
        <v>215</v>
      </c>
      <c r="CR20" s="5" t="s">
        <v>97</v>
      </c>
      <c r="CS20" s="5" t="s">
        <v>124</v>
      </c>
      <c r="CT20" s="5" t="s">
        <v>168</v>
      </c>
    </row>
    <row r="21" spans="2:98">
      <c r="B21" s="5">
        <v>20</v>
      </c>
      <c r="C21" s="18" t="s">
        <v>100</v>
      </c>
      <c r="D21" s="14" t="s">
        <v>76</v>
      </c>
      <c r="E21" s="25" t="s">
        <v>28</v>
      </c>
      <c r="F21" s="6" t="s">
        <v>151</v>
      </c>
      <c r="G21" s="6" t="s">
        <v>151</v>
      </c>
      <c r="I21" s="5">
        <v>20</v>
      </c>
      <c r="J21" s="18" t="s">
        <v>88</v>
      </c>
      <c r="K21" s="14" t="s">
        <v>114</v>
      </c>
      <c r="L21" s="25" t="s">
        <v>53</v>
      </c>
      <c r="M21" s="6" t="s">
        <v>166</v>
      </c>
      <c r="N21" s="155" t="s">
        <v>390</v>
      </c>
      <c r="P21" s="12"/>
      <c r="R21" s="12"/>
      <c r="S21" s="12"/>
      <c r="Y21" s="1" t="s">
        <v>209</v>
      </c>
      <c r="Z21" s="137">
        <f xml:space="preserve"> SEARCH("|", $AA$16, Z20+1)</f>
        <v>133</v>
      </c>
      <c r="CJ21" s="5">
        <v>20</v>
      </c>
      <c r="CK21" s="5" t="s">
        <v>217</v>
      </c>
      <c r="CL21" s="5" t="s">
        <v>82</v>
      </c>
      <c r="CM21" s="5" t="s">
        <v>116</v>
      </c>
      <c r="CN21" s="5" t="s">
        <v>152</v>
      </c>
      <c r="CP21" s="5">
        <v>20</v>
      </c>
      <c r="CQ21" s="5" t="s">
        <v>218</v>
      </c>
      <c r="CR21" s="5" t="s">
        <v>98</v>
      </c>
      <c r="CS21" s="5" t="s">
        <v>86</v>
      </c>
      <c r="CT21" s="5" t="s">
        <v>169</v>
      </c>
    </row>
    <row r="22" spans="2:98">
      <c r="B22" s="5">
        <v>21</v>
      </c>
      <c r="C22" s="18" t="s">
        <v>116</v>
      </c>
      <c r="D22" s="14" t="s">
        <v>82</v>
      </c>
      <c r="E22" s="25" t="s">
        <v>747</v>
      </c>
      <c r="F22" s="6" t="s">
        <v>152</v>
      </c>
      <c r="G22" s="6" t="s">
        <v>152</v>
      </c>
      <c r="I22" s="5">
        <v>21</v>
      </c>
      <c r="J22" s="18" t="s">
        <v>123</v>
      </c>
      <c r="K22" s="14" t="s">
        <v>96</v>
      </c>
      <c r="L22" s="25" t="s">
        <v>54</v>
      </c>
      <c r="M22" s="6" t="s">
        <v>167</v>
      </c>
      <c r="N22" s="6" t="s">
        <v>167</v>
      </c>
      <c r="P22" s="12"/>
      <c r="R22" s="12"/>
      <c r="S22" s="12"/>
      <c r="CJ22" s="5">
        <v>21</v>
      </c>
      <c r="CK22" s="5" t="s">
        <v>219</v>
      </c>
      <c r="CL22" s="5" t="s">
        <v>83</v>
      </c>
      <c r="CM22" s="5" t="s">
        <v>117</v>
      </c>
      <c r="CN22" s="5" t="s">
        <v>153</v>
      </c>
      <c r="CP22" s="5">
        <v>21</v>
      </c>
      <c r="CQ22" s="5" t="s">
        <v>220</v>
      </c>
      <c r="CR22" s="5" t="s">
        <v>221</v>
      </c>
      <c r="CS22" s="5" t="s">
        <v>125</v>
      </c>
      <c r="CT22" s="5" t="s">
        <v>170</v>
      </c>
    </row>
    <row r="23" spans="2:98">
      <c r="B23" s="5">
        <v>22</v>
      </c>
      <c r="C23" s="18" t="s">
        <v>117</v>
      </c>
      <c r="D23" s="14" t="s">
        <v>83</v>
      </c>
      <c r="E23" s="25" t="s">
        <v>748</v>
      </c>
      <c r="F23" s="6" t="s">
        <v>153</v>
      </c>
      <c r="G23" s="6" t="s">
        <v>153</v>
      </c>
      <c r="I23" s="5">
        <v>22</v>
      </c>
      <c r="J23" s="18" t="s">
        <v>124</v>
      </c>
      <c r="K23" s="14" t="s">
        <v>97</v>
      </c>
      <c r="L23" s="25" t="s">
        <v>55</v>
      </c>
      <c r="M23" s="6" t="s">
        <v>168</v>
      </c>
      <c r="N23" s="6" t="s">
        <v>168</v>
      </c>
      <c r="P23" s="12"/>
      <c r="R23" s="12"/>
      <c r="S23" s="12"/>
      <c r="Y23" s="1" t="s">
        <v>66</v>
      </c>
      <c r="Z23" s="137">
        <f xml:space="preserve"> LEN(AA23)</f>
        <v>60</v>
      </c>
      <c r="AA23" s="137" t="str">
        <f xml:space="preserve"> MID($AA$16, Z19+1, (Z20-Z19-1))</f>
        <v>BbpmdtnlĞgkŋhZzcsJjCSaiwueOəIUDfqrvxyMGNY@AWHRFQVØL173254806</v>
      </c>
      <c r="CP23" s="5">
        <v>22</v>
      </c>
      <c r="CQ23" s="5" t="s">
        <v>222</v>
      </c>
      <c r="CR23" s="5" t="s">
        <v>112</v>
      </c>
      <c r="CS23" s="5" t="s">
        <v>126</v>
      </c>
      <c r="CT23" s="5" t="s">
        <v>171</v>
      </c>
    </row>
    <row r="24" spans="2:98">
      <c r="I24" s="5">
        <v>23</v>
      </c>
      <c r="J24" s="18" t="s">
        <v>86</v>
      </c>
      <c r="K24" s="14" t="s">
        <v>98</v>
      </c>
      <c r="L24" s="25" t="s">
        <v>56</v>
      </c>
      <c r="M24" s="6" t="s">
        <v>169</v>
      </c>
      <c r="N24" s="155" t="s">
        <v>492</v>
      </c>
      <c r="P24" s="24" t="s">
        <v>1</v>
      </c>
      <c r="Q24" s="24" t="s">
        <v>230</v>
      </c>
      <c r="R24" s="24" t="s">
        <v>4</v>
      </c>
      <c r="S24" s="24" t="s">
        <v>727</v>
      </c>
      <c r="T24" s="24" t="s">
        <v>728</v>
      </c>
      <c r="U24" s="113" t="s">
        <v>729</v>
      </c>
      <c r="V24" s="66" t="s">
        <v>735</v>
      </c>
      <c r="Y24" s="1" t="s">
        <v>216</v>
      </c>
      <c r="Z24" s="137">
        <f xml:space="preserve"> LEN(AA24)</f>
        <v>60</v>
      </c>
      <c r="AA24" s="137" t="str">
        <f xml:space="preserve"> MID($AA$16, Z20+1, (Z21-Z20-1))</f>
        <v>!1qa2wsxEedNcYyhnRrfv8uKj,ik9l*UJ&lt;I(Lm/pM0;Oobtgz=-"5346[].7</v>
      </c>
      <c r="CP24" s="5">
        <v>23</v>
      </c>
      <c r="CQ24" s="5" t="s">
        <v>223</v>
      </c>
      <c r="CR24" s="5" t="s">
        <v>116</v>
      </c>
      <c r="CS24" s="5" t="s">
        <v>95</v>
      </c>
      <c r="CT24" s="5" t="s">
        <v>172</v>
      </c>
    </row>
    <row r="25" spans="2:98">
      <c r="I25" s="5">
        <v>24</v>
      </c>
      <c r="J25" s="18" t="s">
        <v>125</v>
      </c>
      <c r="K25" s="14" t="s">
        <v>221</v>
      </c>
      <c r="L25" s="25" t="s">
        <v>57</v>
      </c>
      <c r="M25" s="6" t="s">
        <v>170</v>
      </c>
      <c r="N25" s="156" t="s">
        <v>493</v>
      </c>
      <c r="P25" s="5">
        <v>1</v>
      </c>
      <c r="Q25" s="6" t="s">
        <v>124</v>
      </c>
      <c r="R25" s="26">
        <v>1</v>
      </c>
      <c r="S25" s="25">
        <v>1</v>
      </c>
      <c r="T25" s="6" t="s">
        <v>603</v>
      </c>
      <c r="U25" s="6" t="s">
        <v>710</v>
      </c>
      <c r="V25" s="6" t="s">
        <v>371</v>
      </c>
      <c r="CP25" s="5">
        <v>24</v>
      </c>
      <c r="CQ25" s="5" t="s">
        <v>224</v>
      </c>
      <c r="CR25" s="5" t="s">
        <v>104</v>
      </c>
      <c r="CS25" s="5" t="s">
        <v>81</v>
      </c>
      <c r="CT25" s="5" t="s">
        <v>173</v>
      </c>
    </row>
    <row r="26" spans="2:98">
      <c r="I26" s="5">
        <v>25</v>
      </c>
      <c r="J26" s="18" t="s">
        <v>7</v>
      </c>
      <c r="K26" s="14" t="s">
        <v>91</v>
      </c>
      <c r="L26" s="25" t="s">
        <v>17</v>
      </c>
      <c r="M26" s="6" t="s">
        <v>160</v>
      </c>
      <c r="N26" s="156" t="s">
        <v>61</v>
      </c>
      <c r="P26" s="5">
        <v>2</v>
      </c>
      <c r="Q26" s="6" t="s">
        <v>231</v>
      </c>
      <c r="R26" s="25">
        <v>7</v>
      </c>
      <c r="S26" s="25">
        <v>6</v>
      </c>
      <c r="T26" s="6" t="s">
        <v>608</v>
      </c>
      <c r="U26" s="6" t="s">
        <v>733</v>
      </c>
      <c r="V26" s="6" t="s">
        <v>732</v>
      </c>
      <c r="AA26" s="138" cm="1">
        <f t="array" ref="AA26" xml:space="preserve"> COLUMN() - COLUMN($Z:$Z)</f>
        <v>1</v>
      </c>
      <c r="AB26" s="138" cm="1">
        <f t="array" ref="AB26" xml:space="preserve"> COLUMN() - COLUMN($Z:$Z)</f>
        <v>2</v>
      </c>
      <c r="AC26" s="138" cm="1">
        <f t="array" ref="AC26" xml:space="preserve"> COLUMN() - COLUMN($Z:$Z)</f>
        <v>3</v>
      </c>
      <c r="AD26" s="138" cm="1">
        <f t="array" ref="AD26" xml:space="preserve"> COLUMN() - COLUMN($Z:$Z)</f>
        <v>4</v>
      </c>
      <c r="AE26" s="138" cm="1">
        <f t="array" ref="AE26" xml:space="preserve"> COLUMN() - COLUMN($Z:$Z)</f>
        <v>5</v>
      </c>
      <c r="AF26" s="138" cm="1">
        <f t="array" ref="AF26" xml:space="preserve"> COLUMN() - COLUMN($Z:$Z)</f>
        <v>6</v>
      </c>
      <c r="AG26" s="138" cm="1">
        <f t="array" ref="AG26" xml:space="preserve"> COLUMN() - COLUMN($Z:$Z)</f>
        <v>7</v>
      </c>
      <c r="AH26" s="138" cm="1">
        <f t="array" ref="AH26" xml:space="preserve"> COLUMN() - COLUMN($Z:$Z)</f>
        <v>8</v>
      </c>
      <c r="AI26" s="138" cm="1">
        <f t="array" ref="AI26" xml:space="preserve"> COLUMN() - COLUMN($Z:$Z)</f>
        <v>9</v>
      </c>
      <c r="AJ26" s="138" cm="1">
        <f t="array" ref="AJ26" xml:space="preserve"> COLUMN() - COLUMN($Z:$Z)</f>
        <v>10</v>
      </c>
      <c r="AK26" s="138" cm="1">
        <f t="array" ref="AK26" xml:space="preserve"> COLUMN() - COLUMN($Z:$Z)</f>
        <v>11</v>
      </c>
      <c r="AL26" s="138" cm="1">
        <f t="array" ref="AL26" xml:space="preserve"> COLUMN() - COLUMN($Z:$Z)</f>
        <v>12</v>
      </c>
      <c r="AM26" s="138" cm="1">
        <f t="array" ref="AM26" xml:space="preserve"> COLUMN() - COLUMN($Z:$Z)</f>
        <v>13</v>
      </c>
      <c r="AN26" s="138" cm="1">
        <f t="array" ref="AN26" xml:space="preserve"> COLUMN() - COLUMN($Z:$Z)</f>
        <v>14</v>
      </c>
      <c r="AO26" s="138" cm="1">
        <f t="array" ref="AO26" xml:space="preserve"> COLUMN() - COLUMN($Z:$Z)</f>
        <v>15</v>
      </c>
      <c r="AP26" s="138" cm="1">
        <f t="array" ref="AP26" xml:space="preserve"> COLUMN() - COLUMN($Z:$Z)</f>
        <v>16</v>
      </c>
      <c r="AQ26" s="138" cm="1">
        <f t="array" ref="AQ26" xml:space="preserve"> COLUMN() - COLUMN($Z:$Z)</f>
        <v>17</v>
      </c>
      <c r="AR26" s="138" cm="1">
        <f t="array" ref="AR26" xml:space="preserve"> COLUMN() - COLUMN($Z:$Z)</f>
        <v>18</v>
      </c>
      <c r="AS26" s="138" cm="1">
        <f t="array" ref="AS26" xml:space="preserve"> COLUMN() - COLUMN($Z:$Z)</f>
        <v>19</v>
      </c>
      <c r="AT26" s="138" cm="1">
        <f t="array" ref="AT26" xml:space="preserve"> COLUMN() - COLUMN($Z:$Z)</f>
        <v>20</v>
      </c>
      <c r="AU26" s="138" cm="1">
        <f t="array" ref="AU26" xml:space="preserve"> COLUMN() - COLUMN($Z:$Z)</f>
        <v>21</v>
      </c>
      <c r="AV26" s="138" cm="1">
        <f t="array" ref="AV26" xml:space="preserve"> COLUMN() - COLUMN($Z:$Z)</f>
        <v>22</v>
      </c>
      <c r="AW26" s="138" cm="1">
        <f t="array" ref="AW26" xml:space="preserve"> COLUMN() - COLUMN($Z:$Z)</f>
        <v>23</v>
      </c>
      <c r="AX26" s="138" cm="1">
        <f t="array" ref="AX26" xml:space="preserve"> COLUMN() - COLUMN($Z:$Z)</f>
        <v>24</v>
      </c>
      <c r="AY26" s="138" cm="1">
        <f t="array" ref="AY26" xml:space="preserve"> COLUMN() - COLUMN($Z:$Z)</f>
        <v>25</v>
      </c>
      <c r="AZ26" s="138" cm="1">
        <f t="array" ref="AZ26" xml:space="preserve"> COLUMN() - COLUMN($Z:$Z)</f>
        <v>26</v>
      </c>
      <c r="BA26" s="138" cm="1">
        <f t="array" ref="BA26" xml:space="preserve"> COLUMN() - COLUMN($Z:$Z)</f>
        <v>27</v>
      </c>
      <c r="BB26" s="138" cm="1">
        <f t="array" ref="BB26" xml:space="preserve"> COLUMN() - COLUMN($Z:$Z)</f>
        <v>28</v>
      </c>
      <c r="BC26" s="138" cm="1">
        <f t="array" ref="BC26" xml:space="preserve"> COLUMN() - COLUMN($Z:$Z)</f>
        <v>29</v>
      </c>
      <c r="BD26" s="138" cm="1">
        <f t="array" ref="BD26" xml:space="preserve"> COLUMN() - COLUMN($Z:$Z)</f>
        <v>30</v>
      </c>
      <c r="BE26" s="138" cm="1">
        <f t="array" ref="BE26" xml:space="preserve"> COLUMN() - COLUMN($Z:$Z)</f>
        <v>31</v>
      </c>
      <c r="BF26" s="138" cm="1">
        <f t="array" ref="BF26" xml:space="preserve"> COLUMN() - COLUMN($Z:$Z)</f>
        <v>32</v>
      </c>
      <c r="BG26" s="138" cm="1">
        <f t="array" ref="BG26" xml:space="preserve"> COLUMN() - COLUMN($Z:$Z)</f>
        <v>33</v>
      </c>
      <c r="BH26" s="138" cm="1">
        <f t="array" ref="BH26" xml:space="preserve"> COLUMN() - COLUMN($Z:$Z)</f>
        <v>34</v>
      </c>
      <c r="BI26" s="138" cm="1">
        <f t="array" ref="BI26" xml:space="preserve"> COLUMN() - COLUMN($Z:$Z)</f>
        <v>35</v>
      </c>
      <c r="BJ26" s="138" cm="1">
        <f t="array" ref="BJ26" xml:space="preserve"> COLUMN() - COLUMN($Z:$Z)</f>
        <v>36</v>
      </c>
      <c r="BK26" s="138" cm="1">
        <f t="array" ref="BK26" xml:space="preserve"> COLUMN() - COLUMN($Z:$Z)</f>
        <v>37</v>
      </c>
      <c r="BL26" s="138" cm="1">
        <f t="array" ref="BL26" xml:space="preserve"> COLUMN() - COLUMN($Z:$Z)</f>
        <v>38</v>
      </c>
      <c r="BM26" s="138" cm="1">
        <f t="array" ref="BM26" xml:space="preserve"> COLUMN() - COLUMN($Z:$Z)</f>
        <v>39</v>
      </c>
      <c r="BN26" s="138" cm="1">
        <f t="array" ref="BN26" xml:space="preserve"> COLUMN() - COLUMN($Z:$Z)</f>
        <v>40</v>
      </c>
      <c r="BO26" s="138" cm="1">
        <f t="array" ref="BO26" xml:space="preserve"> COLUMN() - COLUMN($Z:$Z)</f>
        <v>41</v>
      </c>
      <c r="BP26" s="138" cm="1">
        <f t="array" ref="BP26" xml:space="preserve"> COLUMN() - COLUMN($Z:$Z)</f>
        <v>42</v>
      </c>
      <c r="BQ26" s="138" cm="1">
        <f t="array" ref="BQ26" xml:space="preserve"> COLUMN() - COLUMN($Z:$Z)</f>
        <v>43</v>
      </c>
      <c r="BR26" s="138" cm="1">
        <f t="array" ref="BR26" xml:space="preserve"> COLUMN() - COLUMN($Z:$Z)</f>
        <v>44</v>
      </c>
      <c r="BS26" s="138" cm="1">
        <f t="array" ref="BS26" xml:space="preserve"> COLUMN() - COLUMN($Z:$Z)</f>
        <v>45</v>
      </c>
      <c r="BT26" s="138" cm="1">
        <f t="array" ref="BT26" xml:space="preserve"> COLUMN() - COLUMN($Z:$Z)</f>
        <v>46</v>
      </c>
      <c r="BU26" s="138" cm="1">
        <f t="array" ref="BU26" xml:space="preserve"> COLUMN() - COLUMN($Z:$Z)</f>
        <v>47</v>
      </c>
      <c r="BV26" s="138" cm="1">
        <f t="array" ref="BV26" xml:space="preserve"> COLUMN() - COLUMN($Z:$Z)</f>
        <v>48</v>
      </c>
      <c r="BW26" s="138" cm="1">
        <f t="array" ref="BW26" xml:space="preserve"> COLUMN() - COLUMN($Z:$Z)</f>
        <v>49</v>
      </c>
      <c r="BX26" s="138" cm="1">
        <f t="array" ref="BX26" xml:space="preserve"> COLUMN() - COLUMN($Z:$Z)</f>
        <v>50</v>
      </c>
      <c r="BY26" s="138" cm="1">
        <f t="array" ref="BY26" xml:space="preserve"> COLUMN() - COLUMN($Z:$Z)</f>
        <v>51</v>
      </c>
      <c r="BZ26" s="138" cm="1">
        <f t="array" ref="BZ26" xml:space="preserve"> COLUMN() - COLUMN($Z:$Z)</f>
        <v>52</v>
      </c>
      <c r="CA26" s="138" cm="1">
        <f t="array" ref="CA26" xml:space="preserve"> COLUMN() - COLUMN($Z:$Z)</f>
        <v>53</v>
      </c>
      <c r="CB26" s="138" cm="1">
        <f t="array" ref="CB26" xml:space="preserve"> COLUMN() - COLUMN($Z:$Z)</f>
        <v>54</v>
      </c>
      <c r="CC26" s="138" cm="1">
        <f t="array" ref="CC26" xml:space="preserve"> COLUMN() - COLUMN($Z:$Z)</f>
        <v>55</v>
      </c>
      <c r="CD26" s="138" cm="1">
        <f t="array" ref="CD26" xml:space="preserve"> COLUMN() - COLUMN($Z:$Z)</f>
        <v>56</v>
      </c>
      <c r="CE26" s="138" cm="1">
        <f t="array" ref="CE26" xml:space="preserve"> COLUMN() - COLUMN($Z:$Z)</f>
        <v>57</v>
      </c>
      <c r="CF26" s="138" cm="1">
        <f t="array" ref="CF26" xml:space="preserve"> COLUMN() - COLUMN($Z:$Z)</f>
        <v>58</v>
      </c>
      <c r="CG26" s="138" cm="1">
        <f t="array" ref="CG26" xml:space="preserve"> COLUMN() - COLUMN($Z:$Z)</f>
        <v>59</v>
      </c>
      <c r="CH26" s="138" cm="1">
        <f t="array" ref="CH26" xml:space="preserve"> COLUMN() - COLUMN($Z:$Z)</f>
        <v>60</v>
      </c>
      <c r="CP26" s="5">
        <v>25</v>
      </c>
      <c r="CQ26" s="5" t="s">
        <v>225</v>
      </c>
      <c r="CR26" s="5" t="s">
        <v>100</v>
      </c>
      <c r="CS26" s="5" t="s">
        <v>127</v>
      </c>
      <c r="CT26" s="5" t="s">
        <v>174</v>
      </c>
    </row>
    <row r="27" spans="2:98" outlineLevel="1">
      <c r="I27" s="5">
        <v>26</v>
      </c>
      <c r="J27" s="18" t="s">
        <v>70</v>
      </c>
      <c r="K27" s="14" t="s">
        <v>92</v>
      </c>
      <c r="L27" s="25" t="s">
        <v>21</v>
      </c>
      <c r="M27" s="6" t="s">
        <v>161</v>
      </c>
      <c r="N27" s="156" t="s">
        <v>138</v>
      </c>
      <c r="P27" s="5">
        <v>3</v>
      </c>
      <c r="Q27" s="6" t="s">
        <v>615</v>
      </c>
      <c r="R27" s="25">
        <v>3</v>
      </c>
      <c r="S27" s="25">
        <v>5</v>
      </c>
      <c r="T27" s="6" t="s">
        <v>616</v>
      </c>
      <c r="U27" s="6" t="s">
        <v>712</v>
      </c>
      <c r="V27" s="6" t="s">
        <v>368</v>
      </c>
      <c r="Y27" s="13" t="s">
        <v>66</v>
      </c>
      <c r="AA27" s="143" t="str">
        <f t="shared" ref="AA27:BF27" si="6" xml:space="preserve"> MID($AA$23,AA$26,1)</f>
        <v>B</v>
      </c>
      <c r="AB27" s="143" t="str">
        <f t="shared" si="6"/>
        <v>b</v>
      </c>
      <c r="AC27" s="143" t="str">
        <f t="shared" si="6"/>
        <v>p</v>
      </c>
      <c r="AD27" s="143" t="str">
        <f t="shared" si="6"/>
        <v>m</v>
      </c>
      <c r="AE27" s="143" t="str">
        <f t="shared" si="6"/>
        <v>d</v>
      </c>
      <c r="AF27" s="143" t="str">
        <f t="shared" si="6"/>
        <v>t</v>
      </c>
      <c r="AG27" s="143" t="str">
        <f t="shared" si="6"/>
        <v>n</v>
      </c>
      <c r="AH27" s="143" t="str">
        <f t="shared" si="6"/>
        <v>l</v>
      </c>
      <c r="AI27" s="143" t="str">
        <f t="shared" si="6"/>
        <v>Ğ</v>
      </c>
      <c r="AJ27" s="143" t="str">
        <f t="shared" si="6"/>
        <v>g</v>
      </c>
      <c r="AK27" s="143" t="str">
        <f t="shared" si="6"/>
        <v>k</v>
      </c>
      <c r="AL27" s="143" t="str">
        <f t="shared" si="6"/>
        <v>ŋ</v>
      </c>
      <c r="AM27" s="143" t="str">
        <f t="shared" si="6"/>
        <v>h</v>
      </c>
      <c r="AN27" s="143" t="str">
        <f t="shared" si="6"/>
        <v>Z</v>
      </c>
      <c r="AO27" s="143" t="str">
        <f t="shared" si="6"/>
        <v>z</v>
      </c>
      <c r="AP27" s="143" t="str">
        <f t="shared" si="6"/>
        <v>c</v>
      </c>
      <c r="AQ27" s="143" t="str">
        <f t="shared" si="6"/>
        <v>s</v>
      </c>
      <c r="AR27" s="143" t="str">
        <f t="shared" si="6"/>
        <v>J</v>
      </c>
      <c r="AS27" s="143" t="str">
        <f t="shared" si="6"/>
        <v>j</v>
      </c>
      <c r="AT27" s="143" t="str">
        <f t="shared" si="6"/>
        <v>C</v>
      </c>
      <c r="AU27" s="143" t="str">
        <f t="shared" si="6"/>
        <v>S</v>
      </c>
      <c r="AV27" s="143" t="str">
        <f t="shared" si="6"/>
        <v>a</v>
      </c>
      <c r="AW27" s="143" t="str">
        <f t="shared" si="6"/>
        <v>i</v>
      </c>
      <c r="AX27" s="143" t="str">
        <f t="shared" si="6"/>
        <v>w</v>
      </c>
      <c r="AY27" s="143" t="str">
        <f t="shared" si="6"/>
        <v>u</v>
      </c>
      <c r="AZ27" s="143" t="str">
        <f t="shared" si="6"/>
        <v>e</v>
      </c>
      <c r="BA27" s="143" t="str">
        <f t="shared" si="6"/>
        <v>O</v>
      </c>
      <c r="BB27" s="143" t="str">
        <f t="shared" si="6"/>
        <v>ə</v>
      </c>
      <c r="BC27" s="143" t="str">
        <f t="shared" si="6"/>
        <v>I</v>
      </c>
      <c r="BD27" s="143" t="str">
        <f t="shared" si="6"/>
        <v>U</v>
      </c>
      <c r="BE27" s="143" t="str">
        <f t="shared" si="6"/>
        <v>D</v>
      </c>
      <c r="BF27" s="143" t="str">
        <f t="shared" si="6"/>
        <v>f</v>
      </c>
      <c r="BG27" s="143" t="str">
        <f t="shared" ref="BG27:CH27" si="7" xml:space="preserve"> MID($AA$23,BG$26,1)</f>
        <v>q</v>
      </c>
      <c r="BH27" s="143" t="str">
        <f t="shared" si="7"/>
        <v>r</v>
      </c>
      <c r="BI27" s="143" t="str">
        <f t="shared" si="7"/>
        <v>v</v>
      </c>
      <c r="BJ27" s="143" t="str">
        <f t="shared" si="7"/>
        <v>x</v>
      </c>
      <c r="BK27" s="143" t="str">
        <f t="shared" si="7"/>
        <v>y</v>
      </c>
      <c r="BL27" s="143" t="str">
        <f t="shared" si="7"/>
        <v>M</v>
      </c>
      <c r="BM27" s="143" t="str">
        <f t="shared" si="7"/>
        <v>G</v>
      </c>
      <c r="BN27" s="143" t="str">
        <f t="shared" si="7"/>
        <v>N</v>
      </c>
      <c r="BO27" s="143" t="str">
        <f t="shared" si="7"/>
        <v>Y</v>
      </c>
      <c r="BP27" s="143" t="str">
        <f t="shared" si="7"/>
        <v>@</v>
      </c>
      <c r="BQ27" s="143" t="str">
        <f t="shared" si="7"/>
        <v>A</v>
      </c>
      <c r="BR27" s="143" t="str">
        <f t="shared" si="7"/>
        <v>W</v>
      </c>
      <c r="BS27" s="143" t="str">
        <f t="shared" si="7"/>
        <v>H</v>
      </c>
      <c r="BT27" s="143" t="str">
        <f t="shared" si="7"/>
        <v>R</v>
      </c>
      <c r="BU27" s="143" t="str">
        <f t="shared" si="7"/>
        <v>F</v>
      </c>
      <c r="BV27" s="143" t="str">
        <f t="shared" si="7"/>
        <v>Q</v>
      </c>
      <c r="BW27" s="143" t="str">
        <f t="shared" si="7"/>
        <v>V</v>
      </c>
      <c r="BX27" s="143" t="str">
        <f t="shared" si="7"/>
        <v>Ø</v>
      </c>
      <c r="BY27" s="143" t="str">
        <f t="shared" si="7"/>
        <v>L</v>
      </c>
      <c r="BZ27" s="143" t="str">
        <f t="shared" si="7"/>
        <v>1</v>
      </c>
      <c r="CA27" s="143" t="str">
        <f t="shared" si="7"/>
        <v>7</v>
      </c>
      <c r="CB27" s="143" t="str">
        <f t="shared" si="7"/>
        <v>3</v>
      </c>
      <c r="CC27" s="143" t="str">
        <f t="shared" si="7"/>
        <v>2</v>
      </c>
      <c r="CD27" s="143" t="str">
        <f t="shared" si="7"/>
        <v>5</v>
      </c>
      <c r="CE27" s="143" t="str">
        <f t="shared" si="7"/>
        <v>4</v>
      </c>
      <c r="CF27" s="143" t="str">
        <f t="shared" si="7"/>
        <v>8</v>
      </c>
      <c r="CG27" s="143" t="str">
        <f t="shared" si="7"/>
        <v>0</v>
      </c>
      <c r="CH27" s="143" t="str">
        <f t="shared" si="7"/>
        <v>6</v>
      </c>
      <c r="CP27" s="5">
        <v>26</v>
      </c>
      <c r="CQ27" s="5" t="s">
        <v>226</v>
      </c>
      <c r="CR27" s="5" t="s">
        <v>117</v>
      </c>
      <c r="CS27" s="5" t="s">
        <v>94</v>
      </c>
      <c r="CT27" s="5" t="s">
        <v>175</v>
      </c>
    </row>
    <row r="28" spans="2:98" outlineLevel="1">
      <c r="I28" s="5">
        <v>27</v>
      </c>
      <c r="J28" s="18" t="s">
        <v>73</v>
      </c>
      <c r="K28" s="14" t="s">
        <v>201</v>
      </c>
      <c r="L28" s="25" t="s">
        <v>25</v>
      </c>
      <c r="M28" s="6" t="s">
        <v>162</v>
      </c>
      <c r="N28" s="156" t="s">
        <v>142</v>
      </c>
      <c r="P28" s="5">
        <v>4</v>
      </c>
      <c r="Q28" s="6" t="s">
        <v>621</v>
      </c>
      <c r="R28" s="25">
        <v>2</v>
      </c>
      <c r="S28" s="25">
        <v>3</v>
      </c>
      <c r="T28" s="6" t="s">
        <v>617</v>
      </c>
      <c r="U28" s="6" t="s">
        <v>716</v>
      </c>
      <c r="V28" s="6" t="s">
        <v>730</v>
      </c>
      <c r="Y28" s="17" t="s">
        <v>109</v>
      </c>
      <c r="AA28" s="146" t="str">
        <f t="shared" ref="AA28:BF28" si="8" xml:space="preserve"> MID($AA$24,AA$26,1)</f>
        <v>!</v>
      </c>
      <c r="AB28" s="146" t="str">
        <f t="shared" si="8"/>
        <v>1</v>
      </c>
      <c r="AC28" s="146" t="str">
        <f t="shared" si="8"/>
        <v>q</v>
      </c>
      <c r="AD28" s="146" t="str">
        <f t="shared" si="8"/>
        <v>a</v>
      </c>
      <c r="AE28" s="146" t="str">
        <f t="shared" si="8"/>
        <v>2</v>
      </c>
      <c r="AF28" s="146" t="str">
        <f t="shared" si="8"/>
        <v>w</v>
      </c>
      <c r="AG28" s="146" t="str">
        <f t="shared" si="8"/>
        <v>s</v>
      </c>
      <c r="AH28" s="146" t="str">
        <f t="shared" si="8"/>
        <v>x</v>
      </c>
      <c r="AI28" s="146" t="str">
        <f t="shared" si="8"/>
        <v>E</v>
      </c>
      <c r="AJ28" s="146" t="str">
        <f t="shared" si="8"/>
        <v>e</v>
      </c>
      <c r="AK28" s="146" t="str">
        <f t="shared" si="8"/>
        <v>d</v>
      </c>
      <c r="AL28" s="146" t="str">
        <f t="shared" si="8"/>
        <v>N</v>
      </c>
      <c r="AM28" s="146" t="str">
        <f t="shared" si="8"/>
        <v>c</v>
      </c>
      <c r="AN28" s="146" t="str">
        <f t="shared" si="8"/>
        <v>Y</v>
      </c>
      <c r="AO28" s="146" t="str">
        <f t="shared" si="8"/>
        <v>y</v>
      </c>
      <c r="AP28" s="146" t="str">
        <f t="shared" si="8"/>
        <v>h</v>
      </c>
      <c r="AQ28" s="146" t="str">
        <f t="shared" si="8"/>
        <v>n</v>
      </c>
      <c r="AR28" s="146" t="str">
        <f t="shared" si="8"/>
        <v>R</v>
      </c>
      <c r="AS28" s="146" t="str">
        <f t="shared" si="8"/>
        <v>r</v>
      </c>
      <c r="AT28" s="146" t="str">
        <f t="shared" si="8"/>
        <v>f</v>
      </c>
      <c r="AU28" s="146" t="str">
        <f t="shared" si="8"/>
        <v>v</v>
      </c>
      <c r="AV28" s="146" t="str">
        <f t="shared" si="8"/>
        <v>8</v>
      </c>
      <c r="AW28" s="146" t="str">
        <f t="shared" si="8"/>
        <v>u</v>
      </c>
      <c r="AX28" s="146" t="str">
        <f t="shared" si="8"/>
        <v>K</v>
      </c>
      <c r="AY28" s="146" t="str">
        <f t="shared" si="8"/>
        <v>j</v>
      </c>
      <c r="AZ28" s="146" t="str">
        <f t="shared" si="8"/>
        <v>,</v>
      </c>
      <c r="BA28" s="146" t="str">
        <f t="shared" si="8"/>
        <v>i</v>
      </c>
      <c r="BB28" s="146" t="str">
        <f t="shared" si="8"/>
        <v>k</v>
      </c>
      <c r="BC28" s="146" t="str">
        <f t="shared" si="8"/>
        <v>9</v>
      </c>
      <c r="BD28" s="146" t="str">
        <f t="shared" si="8"/>
        <v>l</v>
      </c>
      <c r="BE28" s="146" t="str">
        <f t="shared" si="8"/>
        <v>*</v>
      </c>
      <c r="BF28" s="146" t="str">
        <f t="shared" si="8"/>
        <v>U</v>
      </c>
      <c r="BG28" s="146" t="str">
        <f t="shared" ref="BG28:CH28" si="9" xml:space="preserve"> MID($AA$24,BG$26,1)</f>
        <v>J</v>
      </c>
      <c r="BH28" s="146" t="str">
        <f t="shared" si="9"/>
        <v>&lt;</v>
      </c>
      <c r="BI28" s="146" t="str">
        <f t="shared" si="9"/>
        <v>I</v>
      </c>
      <c r="BJ28" s="146" t="str">
        <f t="shared" si="9"/>
        <v>(</v>
      </c>
      <c r="BK28" s="146" t="str">
        <f t="shared" si="9"/>
        <v>L</v>
      </c>
      <c r="BL28" s="146" t="str">
        <f t="shared" si="9"/>
        <v>m</v>
      </c>
      <c r="BM28" s="146" t="str">
        <f t="shared" si="9"/>
        <v>/</v>
      </c>
      <c r="BN28" s="146" t="str">
        <f t="shared" si="9"/>
        <v>p</v>
      </c>
      <c r="BO28" s="146" t="str">
        <f t="shared" si="9"/>
        <v>M</v>
      </c>
      <c r="BP28" s="146" t="str">
        <f t="shared" si="9"/>
        <v>0</v>
      </c>
      <c r="BQ28" s="146" t="str">
        <f t="shared" si="9"/>
        <v>;</v>
      </c>
      <c r="BR28" s="146" t="str">
        <f t="shared" si="9"/>
        <v>O</v>
      </c>
      <c r="BS28" s="146" t="str">
        <f t="shared" si="9"/>
        <v>o</v>
      </c>
      <c r="BT28" s="146" t="str">
        <f t="shared" si="9"/>
        <v>b</v>
      </c>
      <c r="BU28" s="146" t="str">
        <f t="shared" si="9"/>
        <v>t</v>
      </c>
      <c r="BV28" s="146" t="str">
        <f t="shared" si="9"/>
        <v>g</v>
      </c>
      <c r="BW28" s="146" t="str">
        <f t="shared" si="9"/>
        <v>z</v>
      </c>
      <c r="BX28" s="146" t="str">
        <f t="shared" si="9"/>
        <v>=</v>
      </c>
      <c r="BY28" s="146" t="str">
        <f t="shared" si="9"/>
        <v>-</v>
      </c>
      <c r="BZ28" s="146" t="str">
        <f t="shared" si="9"/>
        <v>"</v>
      </c>
      <c r="CA28" s="146" t="str">
        <f t="shared" si="9"/>
        <v>5</v>
      </c>
      <c r="CB28" s="146" t="str">
        <f t="shared" si="9"/>
        <v>3</v>
      </c>
      <c r="CC28" s="146" t="str">
        <f t="shared" si="9"/>
        <v>4</v>
      </c>
      <c r="CD28" s="146" t="str">
        <f t="shared" si="9"/>
        <v>6</v>
      </c>
      <c r="CE28" s="146" t="str">
        <f t="shared" si="9"/>
        <v>[</v>
      </c>
      <c r="CF28" s="146" t="str">
        <f t="shared" si="9"/>
        <v>]</v>
      </c>
      <c r="CG28" s="146" t="str">
        <f t="shared" si="9"/>
        <v>.</v>
      </c>
      <c r="CH28" s="146" t="str">
        <f t="shared" si="9"/>
        <v>7</v>
      </c>
      <c r="CP28" s="5">
        <v>27</v>
      </c>
      <c r="CQ28" s="5" t="s">
        <v>228</v>
      </c>
      <c r="CR28" s="5" t="s">
        <v>101</v>
      </c>
      <c r="CS28" s="5" t="s">
        <v>128</v>
      </c>
      <c r="CT28" s="5" t="s">
        <v>176</v>
      </c>
    </row>
    <row r="29" spans="2:98" outlineLevel="1">
      <c r="I29" s="5">
        <v>28</v>
      </c>
      <c r="J29" s="18" t="s">
        <v>121</v>
      </c>
      <c r="K29" s="14" t="s">
        <v>93</v>
      </c>
      <c r="L29" s="25" t="s">
        <v>32</v>
      </c>
      <c r="M29" s="6" t="s">
        <v>163</v>
      </c>
      <c r="N29" s="156" t="s">
        <v>149</v>
      </c>
      <c r="P29" s="5">
        <v>5</v>
      </c>
      <c r="Q29" s="6" t="s">
        <v>120</v>
      </c>
      <c r="R29" s="25">
        <v>5</v>
      </c>
      <c r="S29" s="25">
        <v>2</v>
      </c>
      <c r="T29" s="6" t="s">
        <v>622</v>
      </c>
      <c r="U29" s="6" t="s">
        <v>714</v>
      </c>
      <c r="V29" s="6" t="s">
        <v>367</v>
      </c>
      <c r="CP29" s="5">
        <v>28</v>
      </c>
      <c r="CQ29" s="5" t="s">
        <v>229</v>
      </c>
      <c r="CR29" s="5" t="s">
        <v>115</v>
      </c>
      <c r="CS29" s="5" t="s">
        <v>102</v>
      </c>
      <c r="CT29" s="5" t="s">
        <v>177</v>
      </c>
    </row>
    <row r="30" spans="2:98" outlineLevel="1">
      <c r="J30" s="1"/>
      <c r="K30" s="1"/>
      <c r="L30" s="1"/>
      <c r="M30" s="1"/>
      <c r="N30" s="1"/>
      <c r="P30" s="5">
        <v>6</v>
      </c>
      <c r="Q30" s="6" t="s">
        <v>132</v>
      </c>
      <c r="R30" s="25">
        <v>4</v>
      </c>
      <c r="S30" s="25">
        <v>7</v>
      </c>
      <c r="T30" s="6" t="s">
        <v>609</v>
      </c>
      <c r="U30" s="6" t="s">
        <v>731</v>
      </c>
      <c r="V30" s="6" t="s">
        <v>371</v>
      </c>
    </row>
    <row r="31" spans="2:98" outlineLevel="1">
      <c r="J31" s="1"/>
      <c r="K31" s="1"/>
      <c r="L31" s="1"/>
      <c r="M31" s="1"/>
      <c r="N31" s="1"/>
      <c r="P31" s="5">
        <v>7</v>
      </c>
      <c r="Q31" s="6" t="s">
        <v>131</v>
      </c>
      <c r="R31" s="25">
        <v>8</v>
      </c>
      <c r="S31" s="25">
        <v>8</v>
      </c>
      <c r="T31" s="6" t="s">
        <v>635</v>
      </c>
      <c r="U31" s="6" t="s">
        <v>734</v>
      </c>
      <c r="V31" s="6" t="s">
        <v>367</v>
      </c>
      <c r="Y31" s="1" t="s">
        <v>227</v>
      </c>
    </row>
    <row r="32" spans="2:98" outlineLevel="1">
      <c r="I32" s="24" t="s">
        <v>1</v>
      </c>
      <c r="J32" s="24" t="s">
        <v>230</v>
      </c>
      <c r="K32" s="24" t="s">
        <v>4</v>
      </c>
      <c r="L32" s="24" t="s">
        <v>741</v>
      </c>
      <c r="M32" s="24" t="s">
        <v>740</v>
      </c>
      <c r="N32" s="66" t="s">
        <v>569</v>
      </c>
      <c r="P32" s="12"/>
      <c r="R32" s="12"/>
      <c r="S32" s="12"/>
      <c r="Z32" s="154">
        <f xml:space="preserve"> LEN(AA32)</f>
        <v>60</v>
      </c>
      <c r="AA32" s="137" t="str">
        <f>AA15</f>
        <v>!1qa2wsxEedNcYyhnRrfv8uKj,ik9l*UJ&lt;I(Lm/pM0;Oobtgz=-"5346[].7</v>
      </c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3"/>
      <c r="BD32" s="153"/>
      <c r="BE32" s="153"/>
      <c r="BF32" s="153"/>
      <c r="BG32" s="153"/>
      <c r="BH32" s="153"/>
      <c r="BI32" s="153"/>
      <c r="BJ32" s="153"/>
      <c r="BK32" s="153"/>
      <c r="BL32" s="153"/>
      <c r="BM32" s="153"/>
      <c r="BN32" s="153"/>
      <c r="BO32" s="153"/>
      <c r="BP32" s="153"/>
      <c r="BQ32" s="153"/>
      <c r="BR32" s="153"/>
      <c r="BS32" s="153"/>
      <c r="BT32" s="153"/>
      <c r="BU32" s="153"/>
      <c r="BV32" s="153"/>
      <c r="BW32" s="153"/>
      <c r="BX32" s="153"/>
      <c r="BY32" s="153"/>
      <c r="BZ32" s="153"/>
      <c r="CA32" s="153"/>
      <c r="CB32" s="153"/>
      <c r="CC32" s="153"/>
      <c r="CD32" s="153"/>
      <c r="CE32" s="153"/>
      <c r="CF32" s="153"/>
      <c r="CG32" s="153"/>
    </row>
    <row r="33" spans="9:99" outlineLevel="1">
      <c r="I33" s="5">
        <v>1</v>
      </c>
      <c r="J33" s="157" t="s">
        <v>129</v>
      </c>
      <c r="K33" s="14" t="s">
        <v>58</v>
      </c>
      <c r="L33" s="25" t="s">
        <v>179</v>
      </c>
      <c r="M33" s="6" t="s">
        <v>179</v>
      </c>
      <c r="N33" s="6" t="s">
        <v>179</v>
      </c>
      <c r="Y33" s="153"/>
      <c r="Z33" s="154">
        <f xml:space="preserve"> LEN(AA33)</f>
        <v>60</v>
      </c>
      <c r="AA33" s="137" t="str" cm="1">
        <f t="array" ref="AA33" xml:space="preserve"> _xlfn.CONCAT( TRANSPOSE(F2:F23), TRANSPOSE(M2:M29), TRANSPOSE(M33:M34), TRANSPOSE(T2:T10))</f>
        <v>ㆠㄅㄆㄇㄉㄊㄋㄌㆣㄍㄎㄫㄏㆡㄗㄘㄙㆢㄐㄑㄒㄚㄧㆨㄨㆤㆦㄜㄞㄠㆩㆪㆫㆥㆧㆮㆯㆬㆭㄣㆰㄢㄤㆱㆲㆴㆵㆻㆷØㄥ一七三二五四八輕ʔ</v>
      </c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153"/>
      <c r="BE33" s="153"/>
      <c r="BF33" s="153"/>
      <c r="BG33" s="153"/>
      <c r="BH33" s="153"/>
      <c r="BI33" s="153"/>
      <c r="BJ33" s="153"/>
      <c r="BK33" s="153"/>
      <c r="BL33" s="153"/>
      <c r="BM33" s="153"/>
      <c r="BN33" s="153"/>
      <c r="BO33" s="153"/>
      <c r="BP33" s="153"/>
      <c r="BQ33" s="153"/>
      <c r="BR33" s="153"/>
      <c r="BS33" s="153"/>
      <c r="BT33" s="153"/>
      <c r="BU33" s="153"/>
      <c r="BV33" s="153"/>
      <c r="BW33" s="153"/>
      <c r="BX33" s="153"/>
      <c r="BY33" s="153"/>
      <c r="BZ33" s="153"/>
      <c r="CA33" s="153"/>
      <c r="CB33" s="153"/>
      <c r="CC33" s="153"/>
      <c r="CD33" s="153"/>
      <c r="CE33" s="153"/>
      <c r="CF33" s="153"/>
      <c r="CG33" s="153"/>
      <c r="CH33" s="153"/>
    </row>
    <row r="34" spans="9:99" outlineLevel="1">
      <c r="I34" s="5">
        <v>2</v>
      </c>
      <c r="J34" s="18" t="s">
        <v>231</v>
      </c>
      <c r="K34" s="14" t="s">
        <v>102</v>
      </c>
      <c r="L34" s="25" t="s">
        <v>1243</v>
      </c>
      <c r="M34" s="6" t="s">
        <v>178</v>
      </c>
      <c r="N34" s="6" t="s">
        <v>1207</v>
      </c>
      <c r="Y34" s="153"/>
      <c r="AA34" s="158" t="str">
        <f xml:space="preserve"> _xlfn.CONCAT("    - xlit|", AA32, "|", AA33, "|")</f>
        <v xml:space="preserve">    - xlit|!1qa2wsxEedNcYyhnRrfv8uKj,ik9l*UJ&lt;I(Lm/pM0;Oobtgz=-"5346[].7|ㆠㄅㄆㄇㄉㄊㄋㄌㆣㄍㄎㄫㄏㆡㄗㄘㄙㆢㄐㄑㄒㄚㄧㆨㄨㆤㆦㄜㄞㄠㆩㆪㆫㆥㆧㆮㆯㆬㆭㄣㆰㄢㄤㆱㆲㆴㆵㆻㆷØㄥ一七三二五四八輕ʔ|</v>
      </c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59"/>
      <c r="BD34" s="159"/>
      <c r="BE34" s="159"/>
      <c r="BF34" s="159"/>
      <c r="BG34" s="159"/>
      <c r="BH34" s="159"/>
      <c r="BI34" s="159"/>
      <c r="BJ34" s="159"/>
      <c r="BK34" s="159"/>
      <c r="BL34" s="159"/>
      <c r="BM34" s="159"/>
      <c r="BN34" s="159"/>
      <c r="BO34" s="159"/>
      <c r="BP34" s="159"/>
      <c r="BQ34" s="159"/>
      <c r="BR34" s="159"/>
      <c r="BS34" s="159"/>
      <c r="BT34" s="159"/>
      <c r="BU34" s="159"/>
      <c r="BV34" s="159"/>
      <c r="BW34" s="159"/>
      <c r="BX34" s="159"/>
      <c r="BY34" s="159"/>
      <c r="BZ34" s="159"/>
      <c r="CA34" s="159"/>
      <c r="CB34" s="159"/>
      <c r="CC34" s="159"/>
      <c r="CD34" s="159"/>
      <c r="CE34" s="159"/>
      <c r="CF34" s="159"/>
      <c r="CG34" s="158"/>
      <c r="CH34" s="158"/>
      <c r="CI34" s="153"/>
      <c r="CJ34" s="153"/>
      <c r="CK34" s="153"/>
      <c r="CL34" s="153"/>
      <c r="CM34" s="153"/>
      <c r="CN34" s="153"/>
      <c r="CO34" s="153"/>
      <c r="CP34" s="153"/>
      <c r="CQ34" s="153"/>
      <c r="CR34" s="153"/>
      <c r="CS34" s="153"/>
      <c r="CT34" s="153"/>
      <c r="CU34" s="153"/>
    </row>
    <row r="35" spans="9:99">
      <c r="J35" s="1"/>
      <c r="K35" s="1"/>
      <c r="L35" s="1"/>
      <c r="M35" s="1"/>
      <c r="N35" s="1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3"/>
      <c r="BC35" s="153"/>
      <c r="BD35" s="153"/>
      <c r="BE35" s="153"/>
      <c r="BF35" s="153"/>
      <c r="BG35" s="153"/>
      <c r="BH35" s="153"/>
      <c r="BI35" s="153"/>
      <c r="BJ35" s="153"/>
      <c r="BK35" s="153"/>
      <c r="BL35" s="153"/>
      <c r="BM35" s="153"/>
      <c r="BN35" s="153"/>
      <c r="BO35" s="153"/>
      <c r="BP35" s="153"/>
      <c r="BQ35" s="153"/>
      <c r="BR35" s="153"/>
      <c r="BS35" s="153"/>
      <c r="BT35" s="153"/>
      <c r="BU35" s="153"/>
      <c r="BV35" s="153"/>
      <c r="BW35" s="153"/>
      <c r="BX35" s="153"/>
      <c r="BY35" s="153"/>
      <c r="BZ35" s="153"/>
      <c r="CA35" s="153"/>
      <c r="CB35" s="153"/>
      <c r="CC35" s="153"/>
      <c r="CD35" s="153"/>
      <c r="CE35" s="153"/>
      <c r="CF35" s="153"/>
      <c r="CG35" s="153"/>
      <c r="CH35" s="153"/>
      <c r="CI35" s="153"/>
    </row>
    <row r="36" spans="9:99">
      <c r="J36" s="1"/>
      <c r="K36" s="1"/>
      <c r="L36" s="1"/>
      <c r="M36" s="1"/>
      <c r="N36" s="1"/>
      <c r="CI36" s="153"/>
    </row>
    <row r="37" spans="9:99">
      <c r="I37" s="137" t="s">
        <v>194</v>
      </c>
      <c r="J37" s="137"/>
      <c r="K37" s="137"/>
      <c r="L37" s="137" t="str">
        <f xml:space="preserve"> _xlfn.UNICHAR(HEX2DEC(RIGHT("U+207F",4)))</f>
        <v>ⁿ</v>
      </c>
      <c r="M37" s="1"/>
      <c r="N37" s="1"/>
      <c r="Y37" s="1" t="s">
        <v>204</v>
      </c>
      <c r="Z37" s="137">
        <f xml:space="preserve"> SEARCH("|", $AA$34)</f>
        <v>11</v>
      </c>
    </row>
    <row r="38" spans="9:99">
      <c r="J38" s="1"/>
      <c r="K38" s="1"/>
      <c r="L38" s="1"/>
      <c r="M38" s="1"/>
      <c r="N38" s="1"/>
      <c r="Y38" s="1" t="s">
        <v>207</v>
      </c>
      <c r="Z38" s="137">
        <f xml:space="preserve"> SEARCH("|", $AA$34, Z37+1)</f>
        <v>72</v>
      </c>
    </row>
    <row r="39" spans="9:99">
      <c r="J39" s="1"/>
      <c r="K39" s="1"/>
      <c r="L39" s="1"/>
      <c r="M39" s="1"/>
      <c r="N39" s="1"/>
      <c r="Y39" s="1" t="s">
        <v>209</v>
      </c>
      <c r="Z39" s="137">
        <f xml:space="preserve"> SEARCH("|", $AA$34, Z38+1)</f>
        <v>133</v>
      </c>
    </row>
    <row r="40" spans="9:99">
      <c r="J40" s="1"/>
      <c r="K40" s="1"/>
      <c r="L40" s="1"/>
      <c r="M40" s="1"/>
      <c r="N40" s="1"/>
    </row>
    <row r="41" spans="9:99">
      <c r="J41" s="1"/>
      <c r="K41" s="1"/>
      <c r="L41" s="1"/>
      <c r="M41" s="1"/>
      <c r="N41" s="1"/>
      <c r="Y41" s="1" t="s">
        <v>216</v>
      </c>
      <c r="Z41" s="137">
        <f xml:space="preserve"> LEN(AA41)</f>
        <v>60</v>
      </c>
      <c r="AA41" s="137" t="str">
        <f xml:space="preserve"> MID($AA$34, Z37+1, (Z38-Z37-1))</f>
        <v>!1qa2wsxEedNcYyhnRrfv8uKj,ik9l*UJ&lt;I(Lm/pM0;Oobtgz=-"5346[].7</v>
      </c>
    </row>
    <row r="42" spans="9:99">
      <c r="J42" s="1"/>
      <c r="K42" s="1"/>
      <c r="L42" s="1"/>
      <c r="M42" s="1"/>
      <c r="N42" s="1"/>
      <c r="Y42" s="1" t="s">
        <v>136</v>
      </c>
      <c r="Z42" s="137">
        <f xml:space="preserve"> LEN(AA42)</f>
        <v>60</v>
      </c>
      <c r="AA42" s="137" t="str">
        <f xml:space="preserve"> MID($AA$34, Z38+1, (Z39-Z38-1))</f>
        <v>ㆠㄅㄆㄇㄉㄊㄋㄌㆣㄍㄎㄫㄏㆡㄗㄘㄙㆢㄐㄑㄒㄚㄧㆨㄨㆤㆦㄜㄞㄠㆩㆪㆫㆥㆧㆮㆯㆬㆭㄣㆰㄢㄤㆱㆲㆴㆵㆻㆷØㄥ一七三二五四八輕ʔ</v>
      </c>
    </row>
    <row r="43" spans="9:99">
      <c r="J43" s="1"/>
      <c r="K43" s="1"/>
      <c r="L43" s="1"/>
      <c r="M43" s="1"/>
      <c r="N43" s="1"/>
    </row>
    <row r="44" spans="9:99">
      <c r="J44" s="1"/>
      <c r="K44" s="1"/>
      <c r="L44" s="1"/>
      <c r="M44" s="1"/>
      <c r="N44" s="1"/>
      <c r="AA44" s="138" cm="1">
        <f t="array" ref="AA44" xml:space="preserve"> COLUMN() - COLUMN($Z:$Z)</f>
        <v>1</v>
      </c>
      <c r="AB44" s="138" cm="1">
        <f t="array" ref="AB44" xml:space="preserve"> COLUMN() - COLUMN($Z:$Z)</f>
        <v>2</v>
      </c>
      <c r="AC44" s="138" cm="1">
        <f t="array" ref="AC44" xml:space="preserve"> COLUMN() - COLUMN($Z:$Z)</f>
        <v>3</v>
      </c>
      <c r="AD44" s="138" cm="1">
        <f t="array" ref="AD44" xml:space="preserve"> COLUMN() - COLUMN($Z:$Z)</f>
        <v>4</v>
      </c>
      <c r="AE44" s="138" cm="1">
        <f t="array" ref="AE44" xml:space="preserve"> COLUMN() - COLUMN($Z:$Z)</f>
        <v>5</v>
      </c>
      <c r="AF44" s="138" cm="1">
        <f t="array" ref="AF44" xml:space="preserve"> COLUMN() - COLUMN($Z:$Z)</f>
        <v>6</v>
      </c>
      <c r="AG44" s="138" cm="1">
        <f t="array" ref="AG44" xml:space="preserve"> COLUMN() - COLUMN($Z:$Z)</f>
        <v>7</v>
      </c>
      <c r="AH44" s="138" cm="1">
        <f t="array" ref="AH44" xml:space="preserve"> COLUMN() - COLUMN($Z:$Z)</f>
        <v>8</v>
      </c>
      <c r="AI44" s="138" cm="1">
        <f t="array" ref="AI44" xml:space="preserve"> COLUMN() - COLUMN($Z:$Z)</f>
        <v>9</v>
      </c>
      <c r="AJ44" s="138" cm="1">
        <f t="array" ref="AJ44" xml:space="preserve"> COLUMN() - COLUMN($Z:$Z)</f>
        <v>10</v>
      </c>
      <c r="AK44" s="138" cm="1">
        <f t="array" ref="AK44" xml:space="preserve"> COLUMN() - COLUMN($Z:$Z)</f>
        <v>11</v>
      </c>
      <c r="AL44" s="138" cm="1">
        <f t="array" ref="AL44" xml:space="preserve"> COLUMN() - COLUMN($Z:$Z)</f>
        <v>12</v>
      </c>
      <c r="AM44" s="138" cm="1">
        <f t="array" ref="AM44" xml:space="preserve"> COLUMN() - COLUMN($Z:$Z)</f>
        <v>13</v>
      </c>
      <c r="AN44" s="138" cm="1">
        <f t="array" ref="AN44" xml:space="preserve"> COLUMN() - COLUMN($Z:$Z)</f>
        <v>14</v>
      </c>
      <c r="AO44" s="138" cm="1">
        <f t="array" ref="AO44" xml:space="preserve"> COLUMN() - COLUMN($Z:$Z)</f>
        <v>15</v>
      </c>
      <c r="AP44" s="138" cm="1">
        <f t="array" ref="AP44" xml:space="preserve"> COLUMN() - COLUMN($Z:$Z)</f>
        <v>16</v>
      </c>
      <c r="AQ44" s="138" cm="1">
        <f t="array" ref="AQ44" xml:space="preserve"> COLUMN() - COLUMN($Z:$Z)</f>
        <v>17</v>
      </c>
      <c r="AR44" s="138" cm="1">
        <f t="array" ref="AR44" xml:space="preserve"> COLUMN() - COLUMN($Z:$Z)</f>
        <v>18</v>
      </c>
      <c r="AS44" s="138" cm="1">
        <f t="array" ref="AS44" xml:space="preserve"> COLUMN() - COLUMN($Z:$Z)</f>
        <v>19</v>
      </c>
      <c r="AT44" s="138" cm="1">
        <f t="array" ref="AT44" xml:space="preserve"> COLUMN() - COLUMN($Z:$Z)</f>
        <v>20</v>
      </c>
      <c r="AU44" s="138" cm="1">
        <f t="array" ref="AU44" xml:space="preserve"> COLUMN() - COLUMN($Z:$Z)</f>
        <v>21</v>
      </c>
      <c r="AV44" s="138" cm="1">
        <f t="array" ref="AV44" xml:space="preserve"> COLUMN() - COLUMN($Z:$Z)</f>
        <v>22</v>
      </c>
      <c r="AW44" s="138" cm="1">
        <f t="array" ref="AW44" xml:space="preserve"> COLUMN() - COLUMN($Z:$Z)</f>
        <v>23</v>
      </c>
      <c r="AX44" s="138" cm="1">
        <f t="array" ref="AX44" xml:space="preserve"> COLUMN() - COLUMN($Z:$Z)</f>
        <v>24</v>
      </c>
      <c r="AY44" s="138" cm="1">
        <f t="array" ref="AY44" xml:space="preserve"> COLUMN() - COLUMN($Z:$Z)</f>
        <v>25</v>
      </c>
      <c r="AZ44" s="138" cm="1">
        <f t="array" ref="AZ44" xml:space="preserve"> COLUMN() - COLUMN($Z:$Z)</f>
        <v>26</v>
      </c>
      <c r="BA44" s="138" cm="1">
        <f t="array" ref="BA44" xml:space="preserve"> COLUMN() - COLUMN($Z:$Z)</f>
        <v>27</v>
      </c>
      <c r="BB44" s="138" cm="1">
        <f t="array" ref="BB44" xml:space="preserve"> COLUMN() - COLUMN($Z:$Z)</f>
        <v>28</v>
      </c>
      <c r="BC44" s="138" cm="1">
        <f t="array" ref="BC44" xml:space="preserve"> COLUMN() - COLUMN($Z:$Z)</f>
        <v>29</v>
      </c>
      <c r="BD44" s="138" cm="1">
        <f t="array" ref="BD44" xml:space="preserve"> COLUMN() - COLUMN($Z:$Z)</f>
        <v>30</v>
      </c>
      <c r="BE44" s="138" cm="1">
        <f t="array" ref="BE44" xml:space="preserve"> COLUMN() - COLUMN($Z:$Z)</f>
        <v>31</v>
      </c>
      <c r="BF44" s="138" cm="1">
        <f t="array" ref="BF44" xml:space="preserve"> COLUMN() - COLUMN($Z:$Z)</f>
        <v>32</v>
      </c>
      <c r="BG44" s="138" cm="1">
        <f t="array" ref="BG44" xml:space="preserve"> COLUMN() - COLUMN($Z:$Z)</f>
        <v>33</v>
      </c>
      <c r="BH44" s="138" cm="1">
        <f t="array" ref="BH44" xml:space="preserve"> COLUMN() - COLUMN($Z:$Z)</f>
        <v>34</v>
      </c>
      <c r="BI44" s="138" cm="1">
        <f t="array" ref="BI44" xml:space="preserve"> COLUMN() - COLUMN($Z:$Z)</f>
        <v>35</v>
      </c>
      <c r="BJ44" s="138" cm="1">
        <f t="array" ref="BJ44" xml:space="preserve"> COLUMN() - COLUMN($Z:$Z)</f>
        <v>36</v>
      </c>
      <c r="BK44" s="138" cm="1">
        <f t="array" ref="BK44" xml:space="preserve"> COLUMN() - COLUMN($Z:$Z)</f>
        <v>37</v>
      </c>
      <c r="BL44" s="138" cm="1">
        <f t="array" ref="BL44" xml:space="preserve"> COLUMN() - COLUMN($Z:$Z)</f>
        <v>38</v>
      </c>
      <c r="BM44" s="138" cm="1">
        <f t="array" ref="BM44" xml:space="preserve"> COLUMN() - COLUMN($Z:$Z)</f>
        <v>39</v>
      </c>
      <c r="BN44" s="138" cm="1">
        <f t="array" ref="BN44" xml:space="preserve"> COLUMN() - COLUMN($Z:$Z)</f>
        <v>40</v>
      </c>
      <c r="BO44" s="138" cm="1">
        <f t="array" ref="BO44" xml:space="preserve"> COLUMN() - COLUMN($Z:$Z)</f>
        <v>41</v>
      </c>
      <c r="BP44" s="138" cm="1">
        <f t="array" ref="BP44" xml:space="preserve"> COLUMN() - COLUMN($Z:$Z)</f>
        <v>42</v>
      </c>
      <c r="BQ44" s="138" cm="1">
        <f t="array" ref="BQ44" xml:space="preserve"> COLUMN() - COLUMN($Z:$Z)</f>
        <v>43</v>
      </c>
      <c r="BR44" s="138" cm="1">
        <f t="array" ref="BR44" xml:space="preserve"> COLUMN() - COLUMN($Z:$Z)</f>
        <v>44</v>
      </c>
      <c r="BS44" s="138" cm="1">
        <f t="array" ref="BS44" xml:space="preserve"> COLUMN() - COLUMN($Z:$Z)</f>
        <v>45</v>
      </c>
      <c r="BT44" s="138" cm="1">
        <f t="array" ref="BT44" xml:space="preserve"> COLUMN() - COLUMN($Z:$Z)</f>
        <v>46</v>
      </c>
      <c r="BU44" s="138" cm="1">
        <f t="array" ref="BU44" xml:space="preserve"> COLUMN() - COLUMN($Z:$Z)</f>
        <v>47</v>
      </c>
      <c r="BV44" s="138" cm="1">
        <f t="array" ref="BV44" xml:space="preserve"> COLUMN() - COLUMN($Z:$Z)</f>
        <v>48</v>
      </c>
      <c r="BW44" s="138" cm="1">
        <f t="array" ref="BW44" xml:space="preserve"> COLUMN() - COLUMN($Z:$Z)</f>
        <v>49</v>
      </c>
      <c r="BX44" s="138" cm="1">
        <f t="array" ref="BX44" xml:space="preserve"> COLUMN() - COLUMN($Z:$Z)</f>
        <v>50</v>
      </c>
      <c r="BY44" s="138" cm="1">
        <f t="array" ref="BY44" xml:space="preserve"> COLUMN() - COLUMN($Z:$Z)</f>
        <v>51</v>
      </c>
      <c r="BZ44" s="138" cm="1">
        <f t="array" ref="BZ44" xml:space="preserve"> COLUMN() - COLUMN($Z:$Z)</f>
        <v>52</v>
      </c>
      <c r="CA44" s="138" cm="1">
        <f t="array" ref="CA44" xml:space="preserve"> COLUMN() - COLUMN($Z:$Z)</f>
        <v>53</v>
      </c>
      <c r="CB44" s="138" cm="1">
        <f t="array" ref="CB44" xml:space="preserve"> COLUMN() - COLUMN($Z:$Z)</f>
        <v>54</v>
      </c>
      <c r="CC44" s="138" cm="1">
        <f t="array" ref="CC44" xml:space="preserve"> COLUMN() - COLUMN($Z:$Z)</f>
        <v>55</v>
      </c>
      <c r="CD44" s="138" cm="1">
        <f t="array" ref="CD44" xml:space="preserve"> COLUMN() - COLUMN($Z:$Z)</f>
        <v>56</v>
      </c>
      <c r="CE44" s="138" cm="1">
        <f t="array" ref="CE44" xml:space="preserve"> COLUMN() - COLUMN($Z:$Z)</f>
        <v>57</v>
      </c>
      <c r="CF44" s="138" cm="1">
        <f t="array" ref="CF44" xml:space="preserve"> COLUMN() - COLUMN($Z:$Z)</f>
        <v>58</v>
      </c>
      <c r="CG44" s="138" cm="1">
        <f t="array" ref="CG44" xml:space="preserve"> COLUMN() - COLUMN($Z:$Z)</f>
        <v>59</v>
      </c>
      <c r="CH44" s="138" cm="1">
        <f t="array" ref="CH44" xml:space="preserve"> COLUMN() - COLUMN($Z:$Z)</f>
        <v>60</v>
      </c>
    </row>
    <row r="45" spans="9:99">
      <c r="J45" s="1"/>
      <c r="K45" s="1"/>
      <c r="L45" s="1"/>
      <c r="M45" s="1"/>
      <c r="N45" s="1"/>
      <c r="Y45" s="13" t="s">
        <v>66</v>
      </c>
      <c r="AA45" s="143" t="str">
        <f t="shared" ref="AA45:BF45" si="10">AA27</f>
        <v>B</v>
      </c>
      <c r="AB45" s="143" t="str">
        <f t="shared" si="10"/>
        <v>b</v>
      </c>
      <c r="AC45" s="143" t="str">
        <f t="shared" si="10"/>
        <v>p</v>
      </c>
      <c r="AD45" s="143" t="str">
        <f t="shared" si="10"/>
        <v>m</v>
      </c>
      <c r="AE45" s="143" t="str">
        <f t="shared" si="10"/>
        <v>d</v>
      </c>
      <c r="AF45" s="143" t="str">
        <f t="shared" si="10"/>
        <v>t</v>
      </c>
      <c r="AG45" s="143" t="str">
        <f t="shared" si="10"/>
        <v>n</v>
      </c>
      <c r="AH45" s="143" t="str">
        <f t="shared" si="10"/>
        <v>l</v>
      </c>
      <c r="AI45" s="143" t="str">
        <f t="shared" si="10"/>
        <v>Ğ</v>
      </c>
      <c r="AJ45" s="143" t="str">
        <f t="shared" si="10"/>
        <v>g</v>
      </c>
      <c r="AK45" s="143" t="str">
        <f t="shared" si="10"/>
        <v>k</v>
      </c>
      <c r="AL45" s="143" t="str">
        <f t="shared" si="10"/>
        <v>ŋ</v>
      </c>
      <c r="AM45" s="143" t="str">
        <f t="shared" si="10"/>
        <v>h</v>
      </c>
      <c r="AN45" s="143" t="str">
        <f t="shared" si="10"/>
        <v>Z</v>
      </c>
      <c r="AO45" s="143" t="str">
        <f t="shared" si="10"/>
        <v>z</v>
      </c>
      <c r="AP45" s="143" t="str">
        <f t="shared" si="10"/>
        <v>c</v>
      </c>
      <c r="AQ45" s="143" t="str">
        <f t="shared" si="10"/>
        <v>s</v>
      </c>
      <c r="AR45" s="143" t="str">
        <f t="shared" si="10"/>
        <v>J</v>
      </c>
      <c r="AS45" s="143" t="str">
        <f t="shared" si="10"/>
        <v>j</v>
      </c>
      <c r="AT45" s="143" t="str">
        <f t="shared" si="10"/>
        <v>C</v>
      </c>
      <c r="AU45" s="143" t="str">
        <f t="shared" si="10"/>
        <v>S</v>
      </c>
      <c r="AV45" s="143" t="str">
        <f t="shared" si="10"/>
        <v>a</v>
      </c>
      <c r="AW45" s="143" t="str">
        <f t="shared" si="10"/>
        <v>i</v>
      </c>
      <c r="AX45" s="143" t="str">
        <f t="shared" si="10"/>
        <v>w</v>
      </c>
      <c r="AY45" s="143" t="str">
        <f t="shared" si="10"/>
        <v>u</v>
      </c>
      <c r="AZ45" s="143" t="str">
        <f t="shared" si="10"/>
        <v>e</v>
      </c>
      <c r="BA45" s="143" t="str">
        <f t="shared" si="10"/>
        <v>O</v>
      </c>
      <c r="BB45" s="143" t="str">
        <f t="shared" si="10"/>
        <v>ə</v>
      </c>
      <c r="BC45" s="143" t="str">
        <f t="shared" si="10"/>
        <v>I</v>
      </c>
      <c r="BD45" s="143" t="str">
        <f t="shared" si="10"/>
        <v>U</v>
      </c>
      <c r="BE45" s="143" t="str">
        <f t="shared" si="10"/>
        <v>D</v>
      </c>
      <c r="BF45" s="143" t="str">
        <f t="shared" si="10"/>
        <v>f</v>
      </c>
      <c r="BG45" s="143" t="str">
        <f t="shared" ref="BG45:CF45" si="11">BG27</f>
        <v>q</v>
      </c>
      <c r="BH45" s="143" t="str">
        <f t="shared" si="11"/>
        <v>r</v>
      </c>
      <c r="BI45" s="143" t="str">
        <f t="shared" si="11"/>
        <v>v</v>
      </c>
      <c r="BJ45" s="143" t="str">
        <f t="shared" si="11"/>
        <v>x</v>
      </c>
      <c r="BK45" s="143" t="str">
        <f t="shared" si="11"/>
        <v>y</v>
      </c>
      <c r="BL45" s="143" t="str">
        <f t="shared" si="11"/>
        <v>M</v>
      </c>
      <c r="BM45" s="143" t="str">
        <f t="shared" si="11"/>
        <v>G</v>
      </c>
      <c r="BN45" s="143" t="str">
        <f t="shared" si="11"/>
        <v>N</v>
      </c>
      <c r="BO45" s="143" t="str">
        <f t="shared" si="11"/>
        <v>Y</v>
      </c>
      <c r="BP45" s="143" t="str">
        <f t="shared" si="11"/>
        <v>@</v>
      </c>
      <c r="BQ45" s="143" t="str">
        <f t="shared" si="11"/>
        <v>A</v>
      </c>
      <c r="BR45" s="143" t="str">
        <f t="shared" si="11"/>
        <v>W</v>
      </c>
      <c r="BS45" s="143" t="str">
        <f t="shared" si="11"/>
        <v>H</v>
      </c>
      <c r="BT45" s="143" t="str">
        <f t="shared" si="11"/>
        <v>R</v>
      </c>
      <c r="BU45" s="143" t="str">
        <f t="shared" si="11"/>
        <v>F</v>
      </c>
      <c r="BV45" s="143" t="str">
        <f t="shared" si="11"/>
        <v>Q</v>
      </c>
      <c r="BW45" s="143" t="str">
        <f t="shared" si="11"/>
        <v>V</v>
      </c>
      <c r="BX45" s="143" t="str">
        <f t="shared" si="11"/>
        <v>Ø</v>
      </c>
      <c r="BY45" s="143" t="str">
        <f t="shared" si="11"/>
        <v>L</v>
      </c>
      <c r="BZ45" s="143" t="str">
        <f t="shared" si="11"/>
        <v>1</v>
      </c>
      <c r="CA45" s="143" t="str">
        <f t="shared" si="11"/>
        <v>7</v>
      </c>
      <c r="CB45" s="143" t="str">
        <f t="shared" si="11"/>
        <v>3</v>
      </c>
      <c r="CC45" s="143" t="str">
        <f t="shared" si="11"/>
        <v>2</v>
      </c>
      <c r="CD45" s="143" t="str">
        <f t="shared" si="11"/>
        <v>5</v>
      </c>
      <c r="CE45" s="143" t="str">
        <f t="shared" si="11"/>
        <v>4</v>
      </c>
      <c r="CF45" s="143" t="str">
        <f t="shared" si="11"/>
        <v>8</v>
      </c>
      <c r="CG45" s="143" t="str">
        <f xml:space="preserve"> _xlfn.XLOOKUP(CG46, $AA$28:$CH$28,$AA$27:$CH$27, "")</f>
        <v>0</v>
      </c>
      <c r="CH45" s="143" t="str">
        <f xml:space="preserve"> _xlfn.XLOOKUP(CH46, $AA$28:$CH$28,$AA$27:$CH$27, "")</f>
        <v>6</v>
      </c>
    </row>
    <row r="46" spans="9:99">
      <c r="J46" s="1"/>
      <c r="K46" s="1"/>
      <c r="L46" s="1"/>
      <c r="M46" s="1"/>
      <c r="N46" s="1"/>
      <c r="Y46" s="17" t="s">
        <v>109</v>
      </c>
      <c r="AA46" s="146" t="str">
        <f t="shared" ref="AA46:BF46" si="12" xml:space="preserve"> MID($AA$41,AA$44,1)</f>
        <v>!</v>
      </c>
      <c r="AB46" s="146" t="str">
        <f t="shared" si="12"/>
        <v>1</v>
      </c>
      <c r="AC46" s="146" t="str">
        <f t="shared" si="12"/>
        <v>q</v>
      </c>
      <c r="AD46" s="146" t="str">
        <f t="shared" si="12"/>
        <v>a</v>
      </c>
      <c r="AE46" s="146" t="str">
        <f t="shared" si="12"/>
        <v>2</v>
      </c>
      <c r="AF46" s="146" t="str">
        <f t="shared" si="12"/>
        <v>w</v>
      </c>
      <c r="AG46" s="146" t="str">
        <f t="shared" si="12"/>
        <v>s</v>
      </c>
      <c r="AH46" s="146" t="str">
        <f t="shared" si="12"/>
        <v>x</v>
      </c>
      <c r="AI46" s="146" t="str">
        <f t="shared" si="12"/>
        <v>E</v>
      </c>
      <c r="AJ46" s="146" t="str">
        <f t="shared" si="12"/>
        <v>e</v>
      </c>
      <c r="AK46" s="146" t="str">
        <f t="shared" si="12"/>
        <v>d</v>
      </c>
      <c r="AL46" s="146" t="str">
        <f t="shared" si="12"/>
        <v>N</v>
      </c>
      <c r="AM46" s="146" t="str">
        <f t="shared" si="12"/>
        <v>c</v>
      </c>
      <c r="AN46" s="146" t="str">
        <f t="shared" si="12"/>
        <v>Y</v>
      </c>
      <c r="AO46" s="146" t="str">
        <f t="shared" si="12"/>
        <v>y</v>
      </c>
      <c r="AP46" s="146" t="str">
        <f t="shared" si="12"/>
        <v>h</v>
      </c>
      <c r="AQ46" s="146" t="str">
        <f t="shared" si="12"/>
        <v>n</v>
      </c>
      <c r="AR46" s="146" t="str">
        <f t="shared" si="12"/>
        <v>R</v>
      </c>
      <c r="AS46" s="146" t="str">
        <f t="shared" si="12"/>
        <v>r</v>
      </c>
      <c r="AT46" s="146" t="str">
        <f t="shared" si="12"/>
        <v>f</v>
      </c>
      <c r="AU46" s="146" t="str">
        <f t="shared" si="12"/>
        <v>v</v>
      </c>
      <c r="AV46" s="146" t="str">
        <f t="shared" si="12"/>
        <v>8</v>
      </c>
      <c r="AW46" s="146" t="str">
        <f t="shared" si="12"/>
        <v>u</v>
      </c>
      <c r="AX46" s="146" t="str">
        <f t="shared" si="12"/>
        <v>K</v>
      </c>
      <c r="AY46" s="146" t="str">
        <f t="shared" si="12"/>
        <v>j</v>
      </c>
      <c r="AZ46" s="146" t="str">
        <f t="shared" si="12"/>
        <v>,</v>
      </c>
      <c r="BA46" s="146" t="str">
        <f t="shared" si="12"/>
        <v>i</v>
      </c>
      <c r="BB46" s="146" t="str">
        <f t="shared" si="12"/>
        <v>k</v>
      </c>
      <c r="BC46" s="146" t="str">
        <f t="shared" si="12"/>
        <v>9</v>
      </c>
      <c r="BD46" s="146" t="str">
        <f t="shared" si="12"/>
        <v>l</v>
      </c>
      <c r="BE46" s="146" t="str">
        <f t="shared" si="12"/>
        <v>*</v>
      </c>
      <c r="BF46" s="146" t="str">
        <f t="shared" si="12"/>
        <v>U</v>
      </c>
      <c r="BG46" s="146" t="str">
        <f t="shared" ref="BG46:CH46" si="13" xml:space="preserve"> MID($AA$41,BG$44,1)</f>
        <v>J</v>
      </c>
      <c r="BH46" s="146" t="str">
        <f t="shared" si="13"/>
        <v>&lt;</v>
      </c>
      <c r="BI46" s="146" t="str">
        <f t="shared" si="13"/>
        <v>I</v>
      </c>
      <c r="BJ46" s="146" t="str">
        <f t="shared" si="13"/>
        <v>(</v>
      </c>
      <c r="BK46" s="146" t="str">
        <f t="shared" si="13"/>
        <v>L</v>
      </c>
      <c r="BL46" s="146" t="str">
        <f t="shared" si="13"/>
        <v>m</v>
      </c>
      <c r="BM46" s="146" t="str">
        <f t="shared" si="13"/>
        <v>/</v>
      </c>
      <c r="BN46" s="146" t="str">
        <f t="shared" si="13"/>
        <v>p</v>
      </c>
      <c r="BO46" s="146" t="str">
        <f t="shared" si="13"/>
        <v>M</v>
      </c>
      <c r="BP46" s="146" t="str">
        <f t="shared" si="13"/>
        <v>0</v>
      </c>
      <c r="BQ46" s="146" t="str">
        <f t="shared" si="13"/>
        <v>;</v>
      </c>
      <c r="BR46" s="146" t="str">
        <f t="shared" si="13"/>
        <v>O</v>
      </c>
      <c r="BS46" s="146" t="str">
        <f t="shared" si="13"/>
        <v>o</v>
      </c>
      <c r="BT46" s="146" t="str">
        <f t="shared" si="13"/>
        <v>b</v>
      </c>
      <c r="BU46" s="146" t="str">
        <f t="shared" si="13"/>
        <v>t</v>
      </c>
      <c r="BV46" s="146" t="str">
        <f t="shared" si="13"/>
        <v>g</v>
      </c>
      <c r="BW46" s="146" t="str">
        <f t="shared" si="13"/>
        <v>z</v>
      </c>
      <c r="BX46" s="146" t="str">
        <f t="shared" si="13"/>
        <v>=</v>
      </c>
      <c r="BY46" s="146" t="str">
        <f t="shared" si="13"/>
        <v>-</v>
      </c>
      <c r="BZ46" s="146" t="str">
        <f t="shared" si="13"/>
        <v>"</v>
      </c>
      <c r="CA46" s="146" t="str">
        <f t="shared" si="13"/>
        <v>5</v>
      </c>
      <c r="CB46" s="146" t="str">
        <f t="shared" si="13"/>
        <v>3</v>
      </c>
      <c r="CC46" s="146" t="str">
        <f t="shared" si="13"/>
        <v>4</v>
      </c>
      <c r="CD46" s="146" t="str">
        <f t="shared" si="13"/>
        <v>6</v>
      </c>
      <c r="CE46" s="146" t="str">
        <f t="shared" si="13"/>
        <v>[</v>
      </c>
      <c r="CF46" s="146" t="str">
        <f t="shared" si="13"/>
        <v>]</v>
      </c>
      <c r="CG46" s="146" t="str">
        <f t="shared" si="13"/>
        <v>.</v>
      </c>
      <c r="CH46" s="146" t="str">
        <f t="shared" si="13"/>
        <v>7</v>
      </c>
    </row>
    <row r="47" spans="9:99">
      <c r="J47" s="1"/>
      <c r="K47" s="1"/>
      <c r="L47" s="1"/>
      <c r="M47" s="1"/>
      <c r="N47" s="1"/>
      <c r="Y47" s="21" t="s">
        <v>136</v>
      </c>
      <c r="AA47" s="149" t="str">
        <f t="shared" ref="AA47:BF47" si="14" xml:space="preserve"> MID($AA$42,AA$44,1)</f>
        <v>ㆠ</v>
      </c>
      <c r="AB47" s="149" t="str">
        <f t="shared" si="14"/>
        <v>ㄅ</v>
      </c>
      <c r="AC47" s="149" t="str">
        <f t="shared" si="14"/>
        <v>ㄆ</v>
      </c>
      <c r="AD47" s="149" t="str">
        <f t="shared" si="14"/>
        <v>ㄇ</v>
      </c>
      <c r="AE47" s="149" t="str">
        <f t="shared" si="14"/>
        <v>ㄉ</v>
      </c>
      <c r="AF47" s="149" t="str">
        <f t="shared" si="14"/>
        <v>ㄊ</v>
      </c>
      <c r="AG47" s="149" t="str">
        <f t="shared" si="14"/>
        <v>ㄋ</v>
      </c>
      <c r="AH47" s="149" t="str">
        <f t="shared" si="14"/>
        <v>ㄌ</v>
      </c>
      <c r="AI47" s="149" t="str">
        <f t="shared" si="14"/>
        <v>ㆣ</v>
      </c>
      <c r="AJ47" s="149" t="str">
        <f t="shared" si="14"/>
        <v>ㄍ</v>
      </c>
      <c r="AK47" s="149" t="str">
        <f t="shared" si="14"/>
        <v>ㄎ</v>
      </c>
      <c r="AL47" s="149" t="str">
        <f t="shared" si="14"/>
        <v>ㄫ</v>
      </c>
      <c r="AM47" s="149" t="str">
        <f t="shared" si="14"/>
        <v>ㄏ</v>
      </c>
      <c r="AN47" s="149" t="str">
        <f t="shared" si="14"/>
        <v>ㆡ</v>
      </c>
      <c r="AO47" s="149" t="str">
        <f t="shared" si="14"/>
        <v>ㄗ</v>
      </c>
      <c r="AP47" s="149" t="str">
        <f t="shared" si="14"/>
        <v>ㄘ</v>
      </c>
      <c r="AQ47" s="149" t="str">
        <f t="shared" si="14"/>
        <v>ㄙ</v>
      </c>
      <c r="AR47" s="149" t="str">
        <f t="shared" si="14"/>
        <v>ㆢ</v>
      </c>
      <c r="AS47" s="149" t="str">
        <f t="shared" si="14"/>
        <v>ㄐ</v>
      </c>
      <c r="AT47" s="149" t="str">
        <f t="shared" si="14"/>
        <v>ㄑ</v>
      </c>
      <c r="AU47" s="149" t="str">
        <f t="shared" si="14"/>
        <v>ㄒ</v>
      </c>
      <c r="AV47" s="149" t="str">
        <f t="shared" si="14"/>
        <v>ㄚ</v>
      </c>
      <c r="AW47" s="149" t="str">
        <f t="shared" si="14"/>
        <v>ㄧ</v>
      </c>
      <c r="AX47" s="149" t="str">
        <f t="shared" si="14"/>
        <v>ㆨ</v>
      </c>
      <c r="AY47" s="149" t="str">
        <f t="shared" si="14"/>
        <v>ㄨ</v>
      </c>
      <c r="AZ47" s="149" t="str">
        <f t="shared" si="14"/>
        <v>ㆤ</v>
      </c>
      <c r="BA47" s="149" t="str">
        <f t="shared" si="14"/>
        <v>ㆦ</v>
      </c>
      <c r="BB47" s="149" t="str">
        <f t="shared" si="14"/>
        <v>ㄜ</v>
      </c>
      <c r="BC47" s="149" t="str">
        <f t="shared" si="14"/>
        <v>ㄞ</v>
      </c>
      <c r="BD47" s="149" t="str">
        <f t="shared" si="14"/>
        <v>ㄠ</v>
      </c>
      <c r="BE47" s="149" t="str">
        <f t="shared" si="14"/>
        <v>ㆩ</v>
      </c>
      <c r="BF47" s="149" t="str">
        <f t="shared" si="14"/>
        <v>ㆪ</v>
      </c>
      <c r="BG47" s="149" t="str">
        <f t="shared" ref="BG47:CH47" si="15" xml:space="preserve"> MID($AA$42,BG$44,1)</f>
        <v>ㆫ</v>
      </c>
      <c r="BH47" s="149" t="str">
        <f t="shared" si="15"/>
        <v>ㆥ</v>
      </c>
      <c r="BI47" s="149" t="str">
        <f t="shared" si="15"/>
        <v>ㆧ</v>
      </c>
      <c r="BJ47" s="149" t="str">
        <f t="shared" si="15"/>
        <v>ㆮ</v>
      </c>
      <c r="BK47" s="149" t="str">
        <f t="shared" si="15"/>
        <v>ㆯ</v>
      </c>
      <c r="BL47" s="149" t="str">
        <f t="shared" si="15"/>
        <v>ㆬ</v>
      </c>
      <c r="BM47" s="149" t="str">
        <f t="shared" si="15"/>
        <v>ㆭ</v>
      </c>
      <c r="BN47" s="149" t="str">
        <f t="shared" si="15"/>
        <v>ㄣ</v>
      </c>
      <c r="BO47" s="149" t="str">
        <f t="shared" si="15"/>
        <v>ㆰ</v>
      </c>
      <c r="BP47" s="149" t="str">
        <f t="shared" si="15"/>
        <v>ㄢ</v>
      </c>
      <c r="BQ47" s="149" t="str">
        <f t="shared" si="15"/>
        <v>ㄤ</v>
      </c>
      <c r="BR47" s="149" t="str">
        <f t="shared" si="15"/>
        <v>ㆱ</v>
      </c>
      <c r="BS47" s="149" t="str">
        <f t="shared" si="15"/>
        <v>ㆲ</v>
      </c>
      <c r="BT47" s="149" t="str">
        <f t="shared" si="15"/>
        <v>ㆴ</v>
      </c>
      <c r="BU47" s="149" t="str">
        <f t="shared" si="15"/>
        <v>ㆵ</v>
      </c>
      <c r="BV47" s="149" t="str">
        <f t="shared" si="15"/>
        <v>ㆻ</v>
      </c>
      <c r="BW47" s="149" t="str">
        <f t="shared" si="15"/>
        <v>ㆷ</v>
      </c>
      <c r="BX47" s="149" t="str">
        <f t="shared" si="15"/>
        <v>Ø</v>
      </c>
      <c r="BY47" s="149" t="str">
        <f t="shared" si="15"/>
        <v>ㄥ</v>
      </c>
      <c r="BZ47" s="149" t="str">
        <f t="shared" si="15"/>
        <v>一</v>
      </c>
      <c r="CA47" s="149" t="str">
        <f t="shared" si="15"/>
        <v>七</v>
      </c>
      <c r="CB47" s="149" t="str">
        <f t="shared" si="15"/>
        <v>三</v>
      </c>
      <c r="CC47" s="149" t="str">
        <f t="shared" si="15"/>
        <v>二</v>
      </c>
      <c r="CD47" s="149" t="str">
        <f t="shared" si="15"/>
        <v>五</v>
      </c>
      <c r="CE47" s="149" t="str">
        <f t="shared" si="15"/>
        <v>四</v>
      </c>
      <c r="CF47" s="149" t="str">
        <f t="shared" si="15"/>
        <v>八</v>
      </c>
      <c r="CG47" s="149" t="str">
        <f t="shared" si="15"/>
        <v>輕</v>
      </c>
      <c r="CH47" s="149" t="str">
        <f t="shared" si="15"/>
        <v>ʔ</v>
      </c>
    </row>
    <row r="48" spans="9:99">
      <c r="J48" s="1"/>
      <c r="K48" s="1"/>
      <c r="L48" s="1"/>
      <c r="M48" s="1"/>
      <c r="N48" s="1"/>
    </row>
    <row r="49" spans="10:14">
      <c r="J49" s="1"/>
      <c r="K49" s="1"/>
      <c r="L49" s="1"/>
      <c r="M49" s="1"/>
      <c r="N49" s="1"/>
    </row>
    <row r="50" spans="10:14">
      <c r="J50" s="1"/>
      <c r="K50" s="1"/>
      <c r="L50" s="1"/>
      <c r="M50" s="1"/>
      <c r="N50" s="1"/>
    </row>
    <row r="51" spans="10:14">
      <c r="J51" s="1"/>
      <c r="K51" s="1"/>
      <c r="L51" s="1"/>
      <c r="M51" s="1"/>
      <c r="N51" s="1"/>
    </row>
    <row r="52" spans="10:14">
      <c r="J52" s="1"/>
      <c r="K52" s="1"/>
      <c r="L52" s="1"/>
      <c r="M52" s="1"/>
      <c r="N52" s="1"/>
    </row>
    <row r="53" spans="10:14">
      <c r="J53" s="1"/>
      <c r="K53" s="1"/>
      <c r="L53" s="1"/>
      <c r="M53" s="1"/>
      <c r="N53" s="1"/>
    </row>
    <row r="54" spans="10:14">
      <c r="J54" s="1"/>
      <c r="K54" s="1"/>
      <c r="L54" s="1"/>
      <c r="M54" s="1"/>
      <c r="N54" s="1"/>
    </row>
    <row r="55" spans="10:14">
      <c r="J55" s="1"/>
      <c r="K55" s="1"/>
      <c r="L55" s="1"/>
      <c r="M55" s="1"/>
      <c r="N55" s="1"/>
    </row>
    <row r="56" spans="10:14">
      <c r="J56" s="1"/>
      <c r="K56" s="1"/>
      <c r="L56" s="1"/>
      <c r="M56" s="1"/>
      <c r="N56" s="1"/>
    </row>
    <row r="57" spans="10:14">
      <c r="J57" s="1"/>
      <c r="K57" s="1"/>
      <c r="L57" s="1"/>
      <c r="M57" s="1"/>
      <c r="N57" s="1"/>
    </row>
    <row r="58" spans="10:14">
      <c r="J58" s="1"/>
      <c r="K58" s="1"/>
      <c r="L58" s="1"/>
      <c r="M58" s="1"/>
      <c r="N58" s="1"/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B3C0-BCC8-4104-BB48-7883C0F2AE32}">
  <dimension ref="A1:AF95"/>
  <sheetViews>
    <sheetView topLeftCell="A6" workbookViewId="0"/>
  </sheetViews>
  <sheetFormatPr defaultRowHeight="26.25"/>
  <cols>
    <col min="1" max="1" width="2.09765625" style="115" customWidth="1"/>
    <col min="2" max="5" width="12.296875" style="115" customWidth="1"/>
    <col min="6" max="6" width="8.796875" style="115"/>
    <col min="7" max="7" width="5.8984375" style="115" customWidth="1"/>
    <col min="8" max="11" width="12.296875" style="116" customWidth="1"/>
    <col min="12" max="12" width="8.796875" style="116"/>
    <col min="13" max="13" width="1.8984375" style="115" customWidth="1"/>
    <col min="14" max="14" width="26.8984375" style="134" customWidth="1"/>
    <col min="15" max="15" width="25.09765625" style="134" customWidth="1"/>
    <col min="16" max="16" width="1.8984375" style="115" customWidth="1"/>
    <col min="17" max="17" width="26.8984375" style="135" customWidth="1"/>
    <col min="18" max="18" width="25.09765625" style="135" customWidth="1"/>
    <col min="19" max="16384" width="8.796875" style="115"/>
  </cols>
  <sheetData>
    <row r="1" spans="1:18" ht="12.75" customHeight="1" thickBot="1">
      <c r="B1" s="118"/>
      <c r="C1" s="118"/>
      <c r="D1" s="118"/>
      <c r="H1" s="133"/>
      <c r="I1" s="133"/>
      <c r="J1" s="133"/>
    </row>
    <row r="2" spans="1:18" ht="48.75" thickBot="1">
      <c r="A2" s="122"/>
      <c r="B2" s="121" t="s">
        <v>758</v>
      </c>
      <c r="C2" s="121" t="s">
        <v>763</v>
      </c>
      <c r="D2" s="121" t="s">
        <v>761</v>
      </c>
      <c r="E2" s="121" t="s">
        <v>766</v>
      </c>
      <c r="F2" s="121" t="s">
        <v>767</v>
      </c>
      <c r="G2" s="122"/>
      <c r="H2" s="121" t="s">
        <v>758</v>
      </c>
      <c r="I2" s="121" t="s">
        <v>763</v>
      </c>
      <c r="J2" s="121" t="s">
        <v>761</v>
      </c>
      <c r="K2" s="121" t="s">
        <v>766</v>
      </c>
      <c r="L2" s="121" t="s">
        <v>767</v>
      </c>
    </row>
    <row r="3" spans="1:18">
      <c r="A3" s="129"/>
      <c r="B3" s="116" t="str" cm="1">
        <f t="array" ref="B3:E19">_xlfn.LET(_xlpm.crit,韻母對照表[聲韻調類]="韻-鼻",_xlfn.SORTBY(_xlfn._xlws.FILTER(_xlfn.HSTACK(韻母對照表[台語注音二式],韻母對照表[十五音],韻母對照表[方音符號],韻母對照表[聲韻調類]),_xlpm.crit,"無符合資料"),_xlfn._xlws.FILTER(韻母對照表[字長],_xlpm.crit),-1))</f>
        <v>uainnh</v>
      </c>
      <c r="C3" s="116" t="str">
        <v>閂</v>
      </c>
      <c r="D3" s="116" t="str">
        <v>ㄨㆮㆷ</v>
      </c>
      <c r="E3" s="116" t="str">
        <v>韻-鼻</v>
      </c>
      <c r="F3" s="116">
        <f xml:space="preserve"> LEN(B3)</f>
        <v>6</v>
      </c>
      <c r="G3" s="129"/>
      <c r="H3" s="116" t="str" cm="1">
        <f t="array" ref="H3:K71">_xlfn.LET(_xlpm.crit,(韻母對照表[聲韻調類]&lt;&gt;"韻-鼻")*(韻母對照表[台語注音二式]&lt;&gt;""),_xlfn.SORTBY(_xlfn._xlws.FILTER(_xlfn.HSTACK(韻母對照表[台語注音二式],韻母對照表[十五音],韻母對照表[方音符號],韻母對照表[聲韻調類]),_xlpm.crit,"無符合資料"),_xlfn._xlws.FILTER(韻母對照表[字長],_xlpm.crit),-1))</f>
        <v>aunn</v>
      </c>
      <c r="I3" s="116" t="str">
        <v>爻</v>
      </c>
      <c r="J3" s="116" t="str">
        <v>ㆯ</v>
      </c>
      <c r="K3" s="116">
        <v>0</v>
      </c>
      <c r="L3" s="116">
        <f xml:space="preserve"> LEN(H3)</f>
        <v>4</v>
      </c>
      <c r="N3" s="134" t="str">
        <f t="shared" ref="N3:N19" si="0" xml:space="preserve"> _xlfn.CONCAT("    - xform/", "》", $B3, "/", C3, "》", "/")</f>
        <v xml:space="preserve">    - xform/》uainnh/閂》/</v>
      </c>
      <c r="O3" s="134" t="str">
        <f t="shared" ref="O3:O18" si="1" xml:space="preserve"> _xlfn.CONCAT("    - xform/", "》", $H3, "/", I3, "》", "/")</f>
        <v xml:space="preserve">    - xform/》aunn/爻》/</v>
      </c>
      <c r="Q3" s="135" t="str">
        <f t="shared" ref="Q3:Q18" si="2" xml:space="preserve"> _xlfn.CONCAT("    - xform/", "〉", $B3, "/", D3, "〉", "/")</f>
        <v xml:space="preserve">    - xform/〉uainnh/ㄨㆮㆷ〉/</v>
      </c>
      <c r="R3" s="135" t="str">
        <f xml:space="preserve"> _xlfn.CONCAT("    - xform/", "〉", $H3, "/", J3, "〉", "/")</f>
        <v xml:space="preserve">    - xform/〉aunn/ㆯ〉/</v>
      </c>
    </row>
    <row r="4" spans="1:18">
      <c r="A4" s="129"/>
      <c r="B4" s="116" t="str">
        <v>iannh</v>
      </c>
      <c r="C4" s="116" t="str">
        <v>迦</v>
      </c>
      <c r="D4" s="116" t="str">
        <v>ㄧㆩㆷ</v>
      </c>
      <c r="E4" s="116" t="str">
        <v>韻-鼻</v>
      </c>
      <c r="F4" s="116">
        <f t="shared" ref="F4:F19" si="3" xml:space="preserve"> LEN(B4)</f>
        <v>5</v>
      </c>
      <c r="G4" s="129"/>
      <c r="H4" s="116" t="str">
        <v>iang</v>
      </c>
      <c r="I4" s="116" t="str">
        <v>姜</v>
      </c>
      <c r="J4" s="116" t="str">
        <v>ㄧㄤ</v>
      </c>
      <c r="K4" s="116">
        <v>0</v>
      </c>
      <c r="L4" s="116">
        <f t="shared" ref="L4:L67" si="4" xml:space="preserve"> LEN(H4)</f>
        <v>4</v>
      </c>
      <c r="N4" s="134" t="str">
        <f t="shared" si="0"/>
        <v xml:space="preserve">    - xform/》iannh/迦》/</v>
      </c>
      <c r="O4" s="134" t="str">
        <f t="shared" si="1"/>
        <v xml:space="preserve">    - xform/》iang/姜》/</v>
      </c>
      <c r="Q4" s="135" t="str">
        <f t="shared" si="2"/>
        <v xml:space="preserve">    - xform/〉iannh/ㄧㆩㆷ〉/</v>
      </c>
      <c r="R4" s="135" t="str">
        <f t="shared" ref="R4:R67" si="5" xml:space="preserve"> _xlfn.CONCAT("    - xform/", "〉", $H4, "/", J4, "〉", "/")</f>
        <v xml:space="preserve">    - xform/〉iang/ㄧㄤ〉/</v>
      </c>
    </row>
    <row r="5" spans="1:18">
      <c r="A5" s="129"/>
      <c r="B5" s="116" t="str">
        <v>iaunn</v>
      </c>
      <c r="C5" s="116" t="str">
        <v>嘄</v>
      </c>
      <c r="D5" s="116" t="str">
        <v>ㄧㆯ</v>
      </c>
      <c r="E5" s="116" t="str">
        <v>韻-鼻</v>
      </c>
      <c r="F5" s="116">
        <f t="shared" si="3"/>
        <v>5</v>
      </c>
      <c r="G5" s="129"/>
      <c r="H5" s="116" t="str">
        <v>iauh</v>
      </c>
      <c r="I5" s="116" t="str">
        <v>嬌</v>
      </c>
      <c r="J5" s="116" t="str">
        <v>ㄧㄠㆷ</v>
      </c>
      <c r="K5" s="116">
        <v>0</v>
      </c>
      <c r="L5" s="116">
        <f t="shared" si="4"/>
        <v>4</v>
      </c>
      <c r="N5" s="134" t="str">
        <f t="shared" si="0"/>
        <v xml:space="preserve">    - xform/》iaunn/嘄》/</v>
      </c>
      <c r="O5" s="134" t="str">
        <f t="shared" si="1"/>
        <v xml:space="preserve">    - xform/》iauh/嬌》/</v>
      </c>
      <c r="Q5" s="135" t="str">
        <f t="shared" si="2"/>
        <v xml:space="preserve">    - xform/〉iaunn/ㄧㆯ〉/</v>
      </c>
      <c r="R5" s="135" t="str">
        <f t="shared" si="5"/>
        <v xml:space="preserve">    - xform/〉iauh/ㄧㄠㆷ〉/</v>
      </c>
    </row>
    <row r="6" spans="1:18">
      <c r="A6" s="129"/>
      <c r="B6" s="116" t="str">
        <v>iunnh</v>
      </c>
      <c r="C6" s="116" t="str">
        <v>牛</v>
      </c>
      <c r="D6" s="116" t="str">
        <v>ㄧㆫㆷ</v>
      </c>
      <c r="E6" s="116" t="str">
        <v>韻-鼻</v>
      </c>
      <c r="F6" s="116">
        <f t="shared" si="3"/>
        <v>5</v>
      </c>
      <c r="G6" s="129"/>
      <c r="H6" s="116" t="str">
        <v>iooh</v>
      </c>
      <c r="I6" s="116">
        <v>0</v>
      </c>
      <c r="J6" s="116" t="str">
        <v>ㄧㆦㆷ</v>
      </c>
      <c r="K6" s="116">
        <v>0</v>
      </c>
      <c r="L6" s="116">
        <f t="shared" si="4"/>
        <v>4</v>
      </c>
      <c r="N6" s="134" t="str">
        <f t="shared" si="0"/>
        <v xml:space="preserve">    - xform/》iunnh/牛》/</v>
      </c>
      <c r="O6" s="134" t="str">
        <f t="shared" si="1"/>
        <v xml:space="preserve">    - xform/》iooh/0》/</v>
      </c>
      <c r="Q6" s="135" t="str">
        <f t="shared" si="2"/>
        <v xml:space="preserve">    - xform/〉iunnh/ㄧㆫㆷ〉/</v>
      </c>
      <c r="R6" s="135" t="str">
        <f t="shared" si="5"/>
        <v xml:space="preserve">    - xform/〉iooh/ㄧㆦㆷ〉/</v>
      </c>
    </row>
    <row r="7" spans="1:18">
      <c r="A7" s="129"/>
      <c r="B7" s="116" t="str">
        <v>uainn</v>
      </c>
      <c r="C7" s="116" t="str">
        <v>閂</v>
      </c>
      <c r="D7" s="116" t="str">
        <v>ㄨㆮ</v>
      </c>
      <c r="E7" s="116" t="str">
        <v>韻-鼻</v>
      </c>
      <c r="F7" s="116">
        <f t="shared" si="3"/>
        <v>5</v>
      </c>
      <c r="G7" s="129"/>
      <c r="H7" s="116" t="str">
        <v>iong</v>
      </c>
      <c r="I7" s="116" t="str">
        <v>恭</v>
      </c>
      <c r="J7" s="116" t="str">
        <v>ㄧㆲ</v>
      </c>
      <c r="K7" s="116">
        <v>0</v>
      </c>
      <c r="L7" s="116">
        <f t="shared" si="4"/>
        <v>4</v>
      </c>
      <c r="N7" s="134" t="str">
        <f t="shared" si="0"/>
        <v xml:space="preserve">    - xform/》uainn/閂》/</v>
      </c>
      <c r="O7" s="134" t="str">
        <f t="shared" si="1"/>
        <v xml:space="preserve">    - xform/》iong/恭》/</v>
      </c>
      <c r="Q7" s="135" t="str">
        <f t="shared" si="2"/>
        <v xml:space="preserve">    - xform/〉uainn/ㄨㆮ〉/</v>
      </c>
      <c r="R7" s="135" t="str">
        <f t="shared" si="5"/>
        <v xml:space="preserve">    - xform/〉iong/ㄧㆲ〉/</v>
      </c>
    </row>
    <row r="8" spans="1:18">
      <c r="A8" s="129"/>
      <c r="B8" s="116" t="str">
        <v>ainn</v>
      </c>
      <c r="C8" s="116" t="str">
        <v>閒</v>
      </c>
      <c r="D8" s="116" t="str">
        <v>ㆮ</v>
      </c>
      <c r="E8" s="116" t="str">
        <v>韻-鼻</v>
      </c>
      <c r="F8" s="116">
        <f t="shared" si="3"/>
        <v>4</v>
      </c>
      <c r="G8" s="129"/>
      <c r="H8" s="116" t="str">
        <v>uaih</v>
      </c>
      <c r="I8" s="116" t="str">
        <v>乖</v>
      </c>
      <c r="J8" s="116" t="str">
        <v>ㄨㄞㆷ</v>
      </c>
      <c r="K8" s="116">
        <v>0</v>
      </c>
      <c r="L8" s="116">
        <f t="shared" si="4"/>
        <v>4</v>
      </c>
      <c r="N8" s="134" t="str">
        <f t="shared" si="0"/>
        <v xml:space="preserve">    - xform/》ainn/閒》/</v>
      </c>
      <c r="O8" s="134" t="str">
        <f t="shared" si="1"/>
        <v xml:space="preserve">    - xform/》uaih/乖》/</v>
      </c>
      <c r="Q8" s="135" t="str">
        <f t="shared" si="2"/>
        <v xml:space="preserve">    - xform/〉ainn/ㆮ〉/</v>
      </c>
      <c r="R8" s="135" t="str">
        <f t="shared" si="5"/>
        <v xml:space="preserve">    - xform/〉uaih/ㄨㄞㆷ〉/</v>
      </c>
    </row>
    <row r="9" spans="1:18">
      <c r="A9" s="129"/>
      <c r="B9" s="116" t="str">
        <v>annh</v>
      </c>
      <c r="C9" s="116" t="str">
        <v>監</v>
      </c>
      <c r="D9" s="116" t="str">
        <v>ㆩㆷ</v>
      </c>
      <c r="E9" s="116" t="str">
        <v>韻-鼻</v>
      </c>
      <c r="F9" s="116">
        <f t="shared" si="3"/>
        <v>4</v>
      </c>
      <c r="G9" s="129"/>
      <c r="H9" s="116" t="str">
        <v>uang</v>
      </c>
      <c r="I9" s="116" t="str">
        <v>光</v>
      </c>
      <c r="J9" s="116" t="str">
        <v>ㄨㄤ</v>
      </c>
      <c r="K9" s="116">
        <v>0</v>
      </c>
      <c r="L9" s="116">
        <f t="shared" si="4"/>
        <v>4</v>
      </c>
      <c r="N9" s="134" t="str">
        <f t="shared" si="0"/>
        <v xml:space="preserve">    - xform/》annh/監》/</v>
      </c>
      <c r="O9" s="134" t="str">
        <f t="shared" si="1"/>
        <v xml:space="preserve">    - xform/》uang/光》/</v>
      </c>
      <c r="Q9" s="135" t="str">
        <f t="shared" si="2"/>
        <v xml:space="preserve">    - xform/〉annh/ㆩㆷ〉/</v>
      </c>
      <c r="R9" s="135" t="str">
        <f t="shared" si="5"/>
        <v xml:space="preserve">    - xform/〉uang/ㄨㄤ〉/</v>
      </c>
    </row>
    <row r="10" spans="1:18">
      <c r="A10" s="129"/>
      <c r="B10" s="116" t="str">
        <v>ennh</v>
      </c>
      <c r="C10" s="116" t="str">
        <v>更</v>
      </c>
      <c r="D10" s="116" t="str">
        <v>ㆥㆷ</v>
      </c>
      <c r="E10" s="116" t="str">
        <v>韻-鼻</v>
      </c>
      <c r="F10" s="116">
        <f t="shared" si="3"/>
        <v>4</v>
      </c>
      <c r="G10" s="129"/>
      <c r="H10" s="116" t="str">
        <v>uann</v>
      </c>
      <c r="I10" s="116" t="str">
        <v>官</v>
      </c>
      <c r="J10" s="116" t="str">
        <v>ㄨㆩ</v>
      </c>
      <c r="K10" s="116">
        <v>0</v>
      </c>
      <c r="L10" s="116">
        <f t="shared" si="4"/>
        <v>4</v>
      </c>
      <c r="N10" s="134" t="str">
        <f t="shared" si="0"/>
        <v xml:space="preserve">    - xform/》ennh/更》/</v>
      </c>
      <c r="O10" s="134" t="str">
        <f t="shared" si="1"/>
        <v xml:space="preserve">    - xform/》uann/官》/</v>
      </c>
      <c r="Q10" s="135" t="str">
        <f t="shared" si="2"/>
        <v xml:space="preserve">    - xform/〉ennh/ㆥㆷ〉/</v>
      </c>
      <c r="R10" s="135" t="str">
        <f t="shared" si="5"/>
        <v xml:space="preserve">    - xform/〉uann/ㄨㆩ〉/</v>
      </c>
    </row>
    <row r="11" spans="1:18">
      <c r="A11" s="129"/>
      <c r="B11" s="116" t="str">
        <v>iann</v>
      </c>
      <c r="C11" s="116" t="str">
        <v>驚</v>
      </c>
      <c r="D11" s="116" t="str">
        <v>ㄧㆩ</v>
      </c>
      <c r="E11" s="116" t="str">
        <v>韻-鼻</v>
      </c>
      <c r="F11" s="116">
        <f t="shared" si="3"/>
        <v>4</v>
      </c>
      <c r="G11" s="129"/>
      <c r="H11" s="116" t="str">
        <v>aih</v>
      </c>
      <c r="I11" s="116" t="str">
        <v>皆</v>
      </c>
      <c r="J11" s="116" t="str">
        <v>ㄞㆷ</v>
      </c>
      <c r="K11" s="116">
        <v>0</v>
      </c>
      <c r="L11" s="116">
        <f t="shared" si="4"/>
        <v>3</v>
      </c>
      <c r="N11" s="134" t="str">
        <f t="shared" si="0"/>
        <v xml:space="preserve">    - xform/》iann/驚》/</v>
      </c>
      <c r="O11" s="134" t="str">
        <f t="shared" si="1"/>
        <v xml:space="preserve">    - xform/》aih/皆》/</v>
      </c>
      <c r="Q11" s="135" t="str">
        <f t="shared" si="2"/>
        <v xml:space="preserve">    - xform/〉iann/ㄧㆩ〉/</v>
      </c>
      <c r="R11" s="135" t="str">
        <f t="shared" si="5"/>
        <v xml:space="preserve">    - xform/〉aih/ㄞㆷ〉/</v>
      </c>
    </row>
    <row r="12" spans="1:18">
      <c r="A12" s="129"/>
      <c r="B12" s="116" t="str">
        <v>ioonn</v>
      </c>
      <c r="C12" s="116" t="str">
        <v>薑</v>
      </c>
      <c r="D12" s="116" t="str">
        <v>ㄧㆧ</v>
      </c>
      <c r="E12" s="116" t="str">
        <v>韻-鼻</v>
      </c>
      <c r="F12" s="116">
        <f t="shared" si="3"/>
        <v>5</v>
      </c>
      <c r="G12" s="129"/>
      <c r="H12" s="116" t="str">
        <v>ang</v>
      </c>
      <c r="I12" s="116" t="str">
        <v>江</v>
      </c>
      <c r="J12" s="116" t="str">
        <v>ㄤ</v>
      </c>
      <c r="K12" s="116">
        <v>0</v>
      </c>
      <c r="L12" s="116">
        <f t="shared" si="4"/>
        <v>3</v>
      </c>
      <c r="N12" s="134" t="str">
        <f t="shared" si="0"/>
        <v xml:space="preserve">    - xform/》ioonn/薑》/</v>
      </c>
      <c r="O12" s="134" t="str">
        <f t="shared" si="1"/>
        <v xml:space="preserve">    - xform/》ang/江》/</v>
      </c>
      <c r="Q12" s="135" t="str">
        <f t="shared" si="2"/>
        <v xml:space="preserve">    - xform/〉ioonn/ㄧㆧ〉/</v>
      </c>
      <c r="R12" s="135" t="str">
        <f t="shared" si="5"/>
        <v xml:space="preserve">    - xform/〉ang/ㄤ〉/</v>
      </c>
    </row>
    <row r="13" spans="1:18">
      <c r="A13" s="129"/>
      <c r="B13" s="116" t="str">
        <v>iunn</v>
      </c>
      <c r="C13" s="116" t="str">
        <v>牛</v>
      </c>
      <c r="D13" s="116" t="str">
        <v>ㄧㆫ</v>
      </c>
      <c r="E13" s="116" t="str">
        <v>韻-鼻</v>
      </c>
      <c r="F13" s="116">
        <f t="shared" si="3"/>
        <v>4</v>
      </c>
      <c r="G13" s="129"/>
      <c r="H13" s="116" t="str">
        <v>auh</v>
      </c>
      <c r="I13" s="116" t="str">
        <v>交</v>
      </c>
      <c r="J13" s="116" t="str">
        <v>ㄠㆷ</v>
      </c>
      <c r="K13" s="116">
        <v>0</v>
      </c>
      <c r="L13" s="116">
        <f t="shared" si="4"/>
        <v>3</v>
      </c>
      <c r="N13" s="134" t="str">
        <f t="shared" si="0"/>
        <v xml:space="preserve">    - xform/》iunn/牛》/</v>
      </c>
      <c r="O13" s="134" t="str">
        <f t="shared" si="1"/>
        <v xml:space="preserve">    - xform/》auh/交》/</v>
      </c>
      <c r="Q13" s="135" t="str">
        <f t="shared" si="2"/>
        <v xml:space="preserve">    - xform/〉iunn/ㄧㆫ〉/</v>
      </c>
      <c r="R13" s="135" t="str">
        <f t="shared" si="5"/>
        <v xml:space="preserve">    - xform/〉auh/ㄠㆷ〉/</v>
      </c>
    </row>
    <row r="14" spans="1:18">
      <c r="A14" s="129"/>
      <c r="B14" s="116" t="str">
        <v>onnh</v>
      </c>
      <c r="C14" s="116" t="str">
        <v>扛</v>
      </c>
      <c r="D14" s="116" t="str">
        <v>ㆧㆷ</v>
      </c>
      <c r="E14" s="116" t="str">
        <v>韻-鼻</v>
      </c>
      <c r="F14" s="116">
        <f t="shared" si="3"/>
        <v>4</v>
      </c>
      <c r="G14" s="129"/>
      <c r="H14" s="116" t="str">
        <v>iah</v>
      </c>
      <c r="I14" s="116" t="str">
        <v>迦</v>
      </c>
      <c r="J14" s="116" t="str">
        <v>ㄧㄚㆷ</v>
      </c>
      <c r="K14" s="116">
        <v>0</v>
      </c>
      <c r="L14" s="116">
        <f t="shared" si="4"/>
        <v>3</v>
      </c>
      <c r="N14" s="134" t="str">
        <f t="shared" si="0"/>
        <v xml:space="preserve">    - xform/》onnh/扛》/</v>
      </c>
      <c r="O14" s="134" t="str">
        <f t="shared" si="1"/>
        <v xml:space="preserve">    - xform/》iah/迦》/</v>
      </c>
      <c r="Q14" s="135" t="str">
        <f t="shared" si="2"/>
        <v xml:space="preserve">    - xform/〉onnh/ㆧㆷ〉/</v>
      </c>
      <c r="R14" s="135" t="str">
        <f t="shared" si="5"/>
        <v xml:space="preserve">    - xform/〉iah/ㄧㄚㆷ〉/</v>
      </c>
    </row>
    <row r="15" spans="1:18">
      <c r="A15" s="129"/>
      <c r="B15" s="116" t="str">
        <v>uinn</v>
      </c>
      <c r="C15" s="116" t="str">
        <v>褌</v>
      </c>
      <c r="D15" s="116" t="str">
        <v>ㄨㆪ</v>
      </c>
      <c r="E15" s="116" t="str">
        <v>韻-鼻</v>
      </c>
      <c r="F15" s="116">
        <f t="shared" si="3"/>
        <v>4</v>
      </c>
      <c r="G15" s="129"/>
      <c r="H15" s="116" t="str">
        <v>iak</v>
      </c>
      <c r="I15" s="116" t="str">
        <v>姜</v>
      </c>
      <c r="J15" s="116" t="str">
        <v>ㄧㄚㆻ</v>
      </c>
      <c r="K15" s="116">
        <v>0</v>
      </c>
      <c r="L15" s="116">
        <f t="shared" si="4"/>
        <v>3</v>
      </c>
      <c r="N15" s="134" t="str">
        <f t="shared" si="0"/>
        <v xml:space="preserve">    - xform/》uinn/褌》/</v>
      </c>
      <c r="O15" s="134" t="str">
        <f t="shared" si="1"/>
        <v xml:space="preserve">    - xform/》iak/姜》/</v>
      </c>
      <c r="Q15" s="135" t="str">
        <f t="shared" si="2"/>
        <v xml:space="preserve">    - xform/〉uinn/ㄨㆪ〉/</v>
      </c>
      <c r="R15" s="135" t="str">
        <f t="shared" si="5"/>
        <v xml:space="preserve">    - xform/〉iak/ㄧㄚㆻ〉/</v>
      </c>
    </row>
    <row r="16" spans="1:18">
      <c r="A16" s="129"/>
      <c r="B16" s="116" t="str">
        <v>ann</v>
      </c>
      <c r="C16" s="116" t="str">
        <v>監</v>
      </c>
      <c r="D16" s="116" t="str">
        <v>ㆩ</v>
      </c>
      <c r="E16" s="116" t="str">
        <v>韻-鼻</v>
      </c>
      <c r="F16" s="116">
        <f t="shared" si="3"/>
        <v>3</v>
      </c>
      <c r="G16" s="129"/>
      <c r="H16" s="116" t="str">
        <v>iam</v>
      </c>
      <c r="I16" s="116" t="str">
        <v>兼</v>
      </c>
      <c r="J16" s="116" t="str">
        <v>ㄧㆰ</v>
      </c>
      <c r="K16" s="116">
        <v>0</v>
      </c>
      <c r="L16" s="116">
        <f t="shared" si="4"/>
        <v>3</v>
      </c>
      <c r="N16" s="134" t="str">
        <f t="shared" si="0"/>
        <v xml:space="preserve">    - xform/》ann/監》/</v>
      </c>
      <c r="O16" s="134" t="str">
        <f t="shared" si="1"/>
        <v xml:space="preserve">    - xform/》iam/兼》/</v>
      </c>
      <c r="Q16" s="135" t="str">
        <f t="shared" si="2"/>
        <v xml:space="preserve">    - xform/〉ann/ㆩ〉/</v>
      </c>
      <c r="R16" s="135" t="str">
        <f t="shared" si="5"/>
        <v xml:space="preserve">    - xform/〉iam/ㄧㆰ〉/</v>
      </c>
    </row>
    <row r="17" spans="1:18">
      <c r="A17" s="129"/>
      <c r="B17" s="116" t="str">
        <v>enn</v>
      </c>
      <c r="C17" s="116" t="str">
        <v>更</v>
      </c>
      <c r="D17" s="116" t="str">
        <v>ㆥ</v>
      </c>
      <c r="E17" s="116" t="str">
        <v>韻-鼻</v>
      </c>
      <c r="F17" s="116">
        <f t="shared" si="3"/>
        <v>3</v>
      </c>
      <c r="G17" s="129"/>
      <c r="H17" s="116" t="str">
        <v>ian</v>
      </c>
      <c r="I17" s="116" t="str">
        <v>堅</v>
      </c>
      <c r="J17" s="116" t="str">
        <v>ㄧㄢ</v>
      </c>
      <c r="K17" s="116">
        <v>0</v>
      </c>
      <c r="L17" s="116">
        <f t="shared" si="4"/>
        <v>3</v>
      </c>
      <c r="N17" s="134" t="str">
        <f t="shared" si="0"/>
        <v xml:space="preserve">    - xform/》enn/更》/</v>
      </c>
      <c r="O17" s="134" t="str">
        <f t="shared" si="1"/>
        <v xml:space="preserve">    - xform/》ian/堅》/</v>
      </c>
      <c r="Q17" s="135" t="str">
        <f t="shared" si="2"/>
        <v xml:space="preserve">    - xform/〉enn/ㆥ〉/</v>
      </c>
      <c r="R17" s="135" t="str">
        <f t="shared" si="5"/>
        <v xml:space="preserve">    - xform/〉ian/ㄧㄢ〉/</v>
      </c>
    </row>
    <row r="18" spans="1:18">
      <c r="A18" s="129"/>
      <c r="B18" s="116" t="str">
        <v>inn</v>
      </c>
      <c r="C18" s="116" t="str">
        <v>梔</v>
      </c>
      <c r="D18" s="116" t="str">
        <v>ㆪ</v>
      </c>
      <c r="E18" s="116" t="str">
        <v>韻-鼻</v>
      </c>
      <c r="F18" s="116">
        <f t="shared" si="3"/>
        <v>3</v>
      </c>
      <c r="G18" s="129"/>
      <c r="H18" s="116" t="str">
        <v>iap</v>
      </c>
      <c r="I18" s="116" t="str">
        <v>兼</v>
      </c>
      <c r="J18" s="116" t="str">
        <v>ㄧㄚㆴ</v>
      </c>
      <c r="K18" s="116">
        <v>0</v>
      </c>
      <c r="L18" s="116">
        <f t="shared" si="4"/>
        <v>3</v>
      </c>
      <c r="N18" s="134" t="str">
        <f t="shared" si="0"/>
        <v xml:space="preserve">    - xform/》inn/梔》/</v>
      </c>
      <c r="O18" s="134" t="str">
        <f t="shared" si="1"/>
        <v xml:space="preserve">    - xform/》iap/兼》/</v>
      </c>
      <c r="Q18" s="135" t="str">
        <f t="shared" si="2"/>
        <v xml:space="preserve">    - xform/〉inn/ㆪ〉/</v>
      </c>
      <c r="R18" s="135" t="str">
        <f t="shared" si="5"/>
        <v xml:space="preserve">    - xform/〉iap/ㄧㄚㆴ〉/</v>
      </c>
    </row>
    <row r="19" spans="1:18">
      <c r="A19" s="129"/>
      <c r="B19" s="116" t="str">
        <v>oonn</v>
      </c>
      <c r="C19" s="116" t="str">
        <v>姑</v>
      </c>
      <c r="D19" s="116" t="str">
        <v>ㆧ</v>
      </c>
      <c r="E19" s="116" t="str">
        <v>韻-鼻</v>
      </c>
      <c r="F19" s="116">
        <f t="shared" si="3"/>
        <v>4</v>
      </c>
      <c r="G19" s="129"/>
      <c r="H19" s="116" t="str">
        <v>iat</v>
      </c>
      <c r="I19" s="116" t="str">
        <v>堅</v>
      </c>
      <c r="J19" s="116" t="str">
        <v>ㄧㄚㆵ</v>
      </c>
      <c r="K19" s="116">
        <v>0</v>
      </c>
      <c r="L19" s="116">
        <f t="shared" si="4"/>
        <v>3</v>
      </c>
      <c r="N19" s="134" t="str">
        <f t="shared" si="0"/>
        <v xml:space="preserve">    - xform/》oonn/姑》/</v>
      </c>
      <c r="O19" s="134" t="str">
        <f t="shared" ref="O19:O68" si="6" xml:space="preserve"> _xlfn.CONCAT("    - xform/", "》", $H19, "/", I19, "》", "/")</f>
        <v xml:space="preserve">    - xform/》iat/堅》/</v>
      </c>
      <c r="R19" s="135" t="str">
        <f t="shared" si="5"/>
        <v xml:space="preserve">    - xform/〉iat/ㄧㄚㆵ〉/</v>
      </c>
    </row>
    <row r="20" spans="1:18">
      <c r="A20" s="129"/>
      <c r="G20" s="129"/>
      <c r="H20" s="116" t="str">
        <v>iau</v>
      </c>
      <c r="I20" s="116" t="str">
        <v>嬌</v>
      </c>
      <c r="J20" s="116" t="str">
        <v>ㄧㄠ</v>
      </c>
      <c r="K20" s="116">
        <v>0</v>
      </c>
      <c r="L20" s="116">
        <f t="shared" si="4"/>
        <v>3</v>
      </c>
      <c r="O20" s="134" t="str">
        <f t="shared" si="6"/>
        <v xml:space="preserve">    - xform/》iau/嬌》/</v>
      </c>
      <c r="R20" s="135" t="str">
        <f t="shared" si="5"/>
        <v xml:space="preserve">    - xform/〉iau/ㄧㄠ〉/</v>
      </c>
    </row>
    <row r="21" spans="1:18">
      <c r="A21" s="129"/>
      <c r="G21" s="129"/>
      <c r="H21" s="116" t="str">
        <v>ing</v>
      </c>
      <c r="I21" s="116" t="str">
        <v>經</v>
      </c>
      <c r="J21" s="116" t="str">
        <v>ㄧㄥ</v>
      </c>
      <c r="K21" s="116">
        <v>0</v>
      </c>
      <c r="L21" s="116">
        <f t="shared" si="4"/>
        <v>3</v>
      </c>
      <c r="O21" s="134" t="str">
        <f t="shared" si="6"/>
        <v xml:space="preserve">    - xform/》ing/經》/</v>
      </c>
      <c r="R21" s="135" t="str">
        <f t="shared" si="5"/>
        <v xml:space="preserve">    - xform/〉ing/ㄧㄥ〉/</v>
      </c>
    </row>
    <row r="22" spans="1:18">
      <c r="A22" s="129"/>
      <c r="G22" s="129"/>
      <c r="H22" s="116" t="str">
        <v>iorh</v>
      </c>
      <c r="I22" s="116" t="str">
        <v>茄</v>
      </c>
      <c r="J22" s="116" t="str">
        <v>ㄧㄜㆷ</v>
      </c>
      <c r="K22" s="116">
        <v>0</v>
      </c>
      <c r="L22" s="116">
        <f t="shared" si="4"/>
        <v>4</v>
      </c>
      <c r="O22" s="134" t="str">
        <f t="shared" si="6"/>
        <v xml:space="preserve">    - xform/》iorh/茄》/</v>
      </c>
      <c r="R22" s="135" t="str">
        <f t="shared" si="5"/>
        <v xml:space="preserve">    - xform/〉iorh/ㄧㄜㆷ〉/</v>
      </c>
    </row>
    <row r="23" spans="1:18">
      <c r="A23" s="129"/>
      <c r="G23" s="129"/>
      <c r="H23" s="116" t="str">
        <v>ioo</v>
      </c>
      <c r="I23" s="116">
        <v>0</v>
      </c>
      <c r="J23" s="116" t="str">
        <v>ㄧㆦ</v>
      </c>
      <c r="K23" s="116">
        <v>0</v>
      </c>
      <c r="L23" s="116">
        <f t="shared" si="4"/>
        <v>3</v>
      </c>
      <c r="O23" s="134" t="str">
        <f t="shared" si="6"/>
        <v xml:space="preserve">    - xform/》ioo/0》/</v>
      </c>
      <c r="R23" s="135" t="str">
        <f t="shared" si="5"/>
        <v xml:space="preserve">    - xform/〉ioo/ㄧㆦ〉/</v>
      </c>
    </row>
    <row r="24" spans="1:18">
      <c r="A24" s="129"/>
      <c r="G24" s="129"/>
      <c r="H24" s="116" t="str">
        <v>iook</v>
      </c>
      <c r="I24" s="116" t="str">
        <v>恭</v>
      </c>
      <c r="J24" s="116" t="str">
        <v>ㄧㆦㆻ</v>
      </c>
      <c r="K24" s="116">
        <v>0</v>
      </c>
      <c r="L24" s="116">
        <f t="shared" si="4"/>
        <v>4</v>
      </c>
      <c r="O24" s="134" t="str">
        <f t="shared" si="6"/>
        <v xml:space="preserve">    - xform/》iook/恭》/</v>
      </c>
      <c r="R24" s="135" t="str">
        <f t="shared" si="5"/>
        <v xml:space="preserve">    - xform/〉iook/ㄧㆦㆻ〉/</v>
      </c>
    </row>
    <row r="25" spans="1:18">
      <c r="A25" s="129"/>
      <c r="G25" s="129"/>
      <c r="H25" s="116" t="str">
        <v>ngh</v>
      </c>
      <c r="I25" s="116" t="str">
        <v>鋼</v>
      </c>
      <c r="J25" s="116" t="str">
        <v>ㆭㆷ</v>
      </c>
      <c r="K25" s="116">
        <v>0</v>
      </c>
      <c r="L25" s="116">
        <f t="shared" si="4"/>
        <v>3</v>
      </c>
      <c r="O25" s="134" t="str">
        <f t="shared" si="6"/>
        <v xml:space="preserve">    - xform/》ngh/鋼》/</v>
      </c>
      <c r="R25" s="135" t="str">
        <f t="shared" si="5"/>
        <v xml:space="preserve">    - xform/〉ngh/ㆭㆷ〉/</v>
      </c>
    </row>
    <row r="26" spans="1:18">
      <c r="A26" s="129"/>
      <c r="G26" s="129"/>
      <c r="H26" s="116" t="str">
        <v>ong</v>
      </c>
      <c r="I26" s="116" t="str">
        <v>公</v>
      </c>
      <c r="J26" s="116" t="str">
        <v>ㆲ</v>
      </c>
      <c r="K26" s="116">
        <v>0</v>
      </c>
      <c r="L26" s="116">
        <f t="shared" si="4"/>
        <v>3</v>
      </c>
      <c r="O26" s="134" t="str">
        <f t="shared" si="6"/>
        <v xml:space="preserve">    - xform/》ong/公》/</v>
      </c>
      <c r="R26" s="135" t="str">
        <f t="shared" si="5"/>
        <v xml:space="preserve">    - xform/〉ong/ㆲ〉/</v>
      </c>
    </row>
    <row r="27" spans="1:18">
      <c r="A27" s="129"/>
      <c r="G27" s="129"/>
      <c r="H27" s="116" t="str">
        <v>ooh</v>
      </c>
      <c r="I27" s="116" t="str">
        <v>沽</v>
      </c>
      <c r="J27" s="116" t="str">
        <v>ㆦㆷ</v>
      </c>
      <c r="K27" s="116">
        <v>0</v>
      </c>
      <c r="L27" s="116">
        <f t="shared" si="4"/>
        <v>3</v>
      </c>
      <c r="O27" s="134" t="str">
        <f t="shared" si="6"/>
        <v xml:space="preserve">    - xform/》ooh/沽》/</v>
      </c>
      <c r="R27" s="135" t="str">
        <f t="shared" si="5"/>
        <v xml:space="preserve">    - xform/〉ooh/ㆦㆷ〉/</v>
      </c>
    </row>
    <row r="28" spans="1:18">
      <c r="A28" s="129"/>
      <c r="G28" s="129"/>
      <c r="H28" s="116" t="str">
        <v>uah</v>
      </c>
      <c r="I28" s="116" t="str">
        <v>瓜</v>
      </c>
      <c r="J28" s="116" t="str">
        <v>ㄨㄚㆷ</v>
      </c>
      <c r="K28" s="116">
        <v>0</v>
      </c>
      <c r="L28" s="116">
        <f t="shared" si="4"/>
        <v>3</v>
      </c>
      <c r="O28" s="134" t="str">
        <f t="shared" si="6"/>
        <v xml:space="preserve">    - xform/》uah/瓜》/</v>
      </c>
      <c r="R28" s="135" t="str">
        <f t="shared" si="5"/>
        <v xml:space="preserve">    - xform/〉uah/ㄨㄚㆷ〉/</v>
      </c>
    </row>
    <row r="29" spans="1:18">
      <c r="A29" s="129"/>
      <c r="G29" s="129"/>
      <c r="H29" s="116" t="str">
        <v>uai</v>
      </c>
      <c r="I29" s="116" t="str">
        <v>乖</v>
      </c>
      <c r="J29" s="116" t="str">
        <v>ㄨㄞ</v>
      </c>
      <c r="K29" s="116">
        <v>0</v>
      </c>
      <c r="L29" s="116">
        <f t="shared" si="4"/>
        <v>3</v>
      </c>
      <c r="O29" s="134" t="str">
        <f t="shared" si="6"/>
        <v xml:space="preserve">    - xform/》uai/乖》/</v>
      </c>
      <c r="R29" s="135" t="str">
        <f t="shared" si="5"/>
        <v xml:space="preserve">    - xform/〉uai/ㄨㄞ〉/</v>
      </c>
    </row>
    <row r="30" spans="1:18">
      <c r="A30" s="129"/>
      <c r="G30" s="129"/>
      <c r="H30" s="116" t="str">
        <v>uan</v>
      </c>
      <c r="I30" s="116" t="str">
        <v>觀</v>
      </c>
      <c r="J30" s="116" t="str">
        <v>ㄨㄢ</v>
      </c>
      <c r="K30" s="116">
        <v>0</v>
      </c>
      <c r="L30" s="116">
        <f t="shared" si="4"/>
        <v>3</v>
      </c>
      <c r="O30" s="134" t="str">
        <f t="shared" si="6"/>
        <v xml:space="preserve">    - xform/》uan/觀》/</v>
      </c>
      <c r="R30" s="135" t="str">
        <f t="shared" si="5"/>
        <v xml:space="preserve">    - xform/〉uan/ㄨㄢ〉/</v>
      </c>
    </row>
    <row r="31" spans="1:18">
      <c r="A31" s="129"/>
      <c r="G31" s="129"/>
      <c r="H31" s="116" t="str">
        <v>uat</v>
      </c>
      <c r="I31" s="116" t="str">
        <v>觀</v>
      </c>
      <c r="J31" s="116" t="str">
        <v>ㄨㄚㆵ</v>
      </c>
      <c r="K31" s="116">
        <v>0</v>
      </c>
      <c r="L31" s="116">
        <f t="shared" si="4"/>
        <v>3</v>
      </c>
      <c r="O31" s="134" t="str">
        <f t="shared" si="6"/>
        <v xml:space="preserve">    - xform/》uat/觀》/</v>
      </c>
      <c r="R31" s="135" t="str">
        <f t="shared" si="5"/>
        <v xml:space="preserve">    - xform/〉uat/ㄨㄚㆵ〉/</v>
      </c>
    </row>
    <row r="32" spans="1:18">
      <c r="A32" s="129"/>
      <c r="G32" s="129"/>
      <c r="H32" s="116" t="str">
        <v>ueh</v>
      </c>
      <c r="I32" s="116" t="str">
        <v>檜</v>
      </c>
      <c r="J32" s="116" t="str">
        <v>ㄨㆤㆷ</v>
      </c>
      <c r="K32" s="116">
        <v>0</v>
      </c>
      <c r="L32" s="116">
        <f t="shared" si="4"/>
        <v>3</v>
      </c>
      <c r="O32" s="134" t="str">
        <f t="shared" si="6"/>
        <v xml:space="preserve">    - xform/》ueh/檜》/</v>
      </c>
      <c r="R32" s="135" t="str">
        <f t="shared" si="5"/>
        <v xml:space="preserve">    - xform/〉ueh/ㄨㆤㆷ〉/</v>
      </c>
    </row>
    <row r="33" spans="1:18">
      <c r="A33" s="129"/>
      <c r="G33" s="129"/>
      <c r="H33" s="116" t="str">
        <v>uih</v>
      </c>
      <c r="I33" s="116" t="str">
        <v>褌</v>
      </c>
      <c r="J33" s="116" t="str">
        <v>ㄨㄧㆷ</v>
      </c>
      <c r="K33" s="116">
        <v>0</v>
      </c>
      <c r="L33" s="116">
        <f t="shared" si="4"/>
        <v>3</v>
      </c>
      <c r="O33" s="134" t="str">
        <f t="shared" si="6"/>
        <v xml:space="preserve">    - xform/》uih/褌》/</v>
      </c>
      <c r="R33" s="135" t="str">
        <f t="shared" si="5"/>
        <v xml:space="preserve">    - xform/〉uih/ㄨㄧㆷ〉/</v>
      </c>
    </row>
    <row r="34" spans="1:18">
      <c r="A34" s="129"/>
      <c r="G34" s="129"/>
      <c r="H34" s="116" t="str">
        <v>unn</v>
      </c>
      <c r="I34" s="116">
        <v>0</v>
      </c>
      <c r="J34" s="116" t="str">
        <v>ㆫ</v>
      </c>
      <c r="K34" s="116">
        <v>0</v>
      </c>
      <c r="L34" s="116">
        <f t="shared" si="4"/>
        <v>3</v>
      </c>
      <c r="O34" s="134" t="str">
        <f t="shared" si="6"/>
        <v xml:space="preserve">    - xform/》unn/0》/</v>
      </c>
      <c r="R34" s="135" t="str">
        <f t="shared" si="5"/>
        <v xml:space="preserve">    - xform/〉unn/ㆫ〉/</v>
      </c>
    </row>
    <row r="35" spans="1:18">
      <c r="A35" s="129"/>
      <c r="G35" s="129"/>
      <c r="H35" s="116" t="str">
        <v>ah</v>
      </c>
      <c r="I35" s="116" t="str">
        <v>膠</v>
      </c>
      <c r="J35" s="116" t="str">
        <v>ㄚㆷ</v>
      </c>
      <c r="K35" s="116">
        <v>0</v>
      </c>
      <c r="L35" s="116">
        <f t="shared" si="4"/>
        <v>2</v>
      </c>
      <c r="O35" s="134" t="str">
        <f t="shared" si="6"/>
        <v xml:space="preserve">    - xform/》ah/膠》/</v>
      </c>
      <c r="R35" s="135" t="str">
        <f t="shared" si="5"/>
        <v xml:space="preserve">    - xform/〉ah/ㄚㆷ〉/</v>
      </c>
    </row>
    <row r="36" spans="1:18">
      <c r="A36" s="129"/>
      <c r="G36" s="129"/>
      <c r="H36" s="116" t="str">
        <v>ai</v>
      </c>
      <c r="I36" s="116" t="str">
        <v>皆</v>
      </c>
      <c r="J36" s="116" t="str">
        <v>ㄞ</v>
      </c>
      <c r="K36" s="116">
        <v>0</v>
      </c>
      <c r="L36" s="116">
        <f t="shared" si="4"/>
        <v>2</v>
      </c>
      <c r="O36" s="134" t="str">
        <f t="shared" si="6"/>
        <v xml:space="preserve">    - xform/》ai/皆》/</v>
      </c>
      <c r="R36" s="135" t="str">
        <f t="shared" si="5"/>
        <v xml:space="preserve">    - xform/〉ai/ㄞ〉/</v>
      </c>
    </row>
    <row r="37" spans="1:18">
      <c r="A37" s="129"/>
      <c r="G37" s="129"/>
      <c r="H37" s="116" t="str">
        <v>ak</v>
      </c>
      <c r="I37" s="116" t="str">
        <v>江</v>
      </c>
      <c r="J37" s="116" t="str">
        <v>ㄚㆻ</v>
      </c>
      <c r="K37" s="116">
        <v>0</v>
      </c>
      <c r="L37" s="116">
        <f t="shared" si="4"/>
        <v>2</v>
      </c>
      <c r="O37" s="134" t="str">
        <f t="shared" si="6"/>
        <v xml:space="preserve">    - xform/》ak/江》/</v>
      </c>
      <c r="R37" s="135" t="str">
        <f t="shared" si="5"/>
        <v xml:space="preserve">    - xform/〉ak/ㄚㆻ〉/</v>
      </c>
    </row>
    <row r="38" spans="1:18">
      <c r="A38" s="129"/>
      <c r="G38" s="129"/>
      <c r="H38" s="116" t="str">
        <v>am</v>
      </c>
      <c r="I38" s="116" t="str">
        <v>甘</v>
      </c>
      <c r="J38" s="116" t="str">
        <v>ㆰ</v>
      </c>
      <c r="K38" s="116">
        <v>0</v>
      </c>
      <c r="L38" s="116">
        <f t="shared" si="4"/>
        <v>2</v>
      </c>
      <c r="O38" s="134" t="str">
        <f t="shared" si="6"/>
        <v xml:space="preserve">    - xform/》am/甘》/</v>
      </c>
      <c r="R38" s="135" t="str">
        <f t="shared" si="5"/>
        <v xml:space="preserve">    - xform/〉am/ㆰ〉/</v>
      </c>
    </row>
    <row r="39" spans="1:18">
      <c r="A39" s="129"/>
      <c r="G39" s="129"/>
      <c r="H39" s="116" t="str">
        <v>an</v>
      </c>
      <c r="I39" s="116" t="str">
        <v>干</v>
      </c>
      <c r="J39" s="116" t="str">
        <v>ㄢ</v>
      </c>
      <c r="K39" s="116">
        <v>0</v>
      </c>
      <c r="L39" s="116">
        <f t="shared" si="4"/>
        <v>2</v>
      </c>
      <c r="O39" s="134" t="str">
        <f t="shared" si="6"/>
        <v xml:space="preserve">    - xform/》an/干》/</v>
      </c>
      <c r="R39" s="135" t="str">
        <f t="shared" si="5"/>
        <v xml:space="preserve">    - xform/〉an/ㄢ〉/</v>
      </c>
    </row>
    <row r="40" spans="1:18">
      <c r="A40" s="129"/>
      <c r="G40" s="129"/>
      <c r="H40" s="116" t="str">
        <v>ap</v>
      </c>
      <c r="I40" s="116" t="str">
        <v>甘</v>
      </c>
      <c r="J40" s="116" t="str">
        <v>ㄚㆴ</v>
      </c>
      <c r="K40" s="116">
        <v>0</v>
      </c>
      <c r="L40" s="116">
        <f t="shared" si="4"/>
        <v>2</v>
      </c>
      <c r="O40" s="134" t="str">
        <f t="shared" si="6"/>
        <v xml:space="preserve">    - xform/》ap/甘》/</v>
      </c>
      <c r="R40" s="135" t="str">
        <f t="shared" si="5"/>
        <v xml:space="preserve">    - xform/〉ap/ㄚㆴ〉/</v>
      </c>
    </row>
    <row r="41" spans="1:18">
      <c r="A41" s="129"/>
      <c r="G41" s="129"/>
      <c r="H41" s="116" t="str">
        <v>at</v>
      </c>
      <c r="I41" s="116" t="str">
        <v>干</v>
      </c>
      <c r="J41" s="116" t="str">
        <v>ㄚㆵ</v>
      </c>
      <c r="K41" s="116">
        <v>0</v>
      </c>
      <c r="L41" s="116">
        <f t="shared" si="4"/>
        <v>2</v>
      </c>
      <c r="O41" s="134" t="str">
        <f t="shared" si="6"/>
        <v xml:space="preserve">    - xform/》at/干》/</v>
      </c>
      <c r="R41" s="135" t="str">
        <f t="shared" si="5"/>
        <v xml:space="preserve">    - xform/〉at/ㄚㆵ〉/</v>
      </c>
    </row>
    <row r="42" spans="1:18">
      <c r="A42" s="129"/>
      <c r="G42" s="129"/>
      <c r="H42" s="116" t="str">
        <v>au</v>
      </c>
      <c r="I42" s="116" t="str">
        <v>交</v>
      </c>
      <c r="J42" s="116" t="str">
        <v>ㄠ</v>
      </c>
      <c r="K42" s="116">
        <v>0</v>
      </c>
      <c r="L42" s="116">
        <f t="shared" si="4"/>
        <v>2</v>
      </c>
      <c r="O42" s="134" t="str">
        <f t="shared" si="6"/>
        <v xml:space="preserve">    - xform/》au/交》/</v>
      </c>
      <c r="R42" s="135" t="str">
        <f t="shared" si="5"/>
        <v xml:space="preserve">    - xform/〉au/ㄠ〉/</v>
      </c>
    </row>
    <row r="43" spans="1:18">
      <c r="A43" s="129"/>
      <c r="G43" s="129"/>
      <c r="H43" s="116" t="str">
        <v>eh</v>
      </c>
      <c r="I43" s="116" t="str">
        <v>伽</v>
      </c>
      <c r="J43" s="116" t="str">
        <v>ㆤㆷ</v>
      </c>
      <c r="K43" s="116">
        <v>0</v>
      </c>
      <c r="L43" s="116">
        <f t="shared" si="4"/>
        <v>2</v>
      </c>
      <c r="O43" s="134" t="str">
        <f t="shared" si="6"/>
        <v xml:space="preserve">    - xform/》eh/伽》/</v>
      </c>
      <c r="R43" s="135" t="str">
        <f t="shared" si="5"/>
        <v xml:space="preserve">    - xform/〉eh/ㆤㆷ〉/</v>
      </c>
    </row>
    <row r="44" spans="1:18">
      <c r="A44" s="129"/>
      <c r="G44" s="129"/>
      <c r="H44" s="116" t="str">
        <v>ia</v>
      </c>
      <c r="I44" s="116" t="str">
        <v>迦</v>
      </c>
      <c r="J44" s="116" t="str">
        <v>ㄧㄚ</v>
      </c>
      <c r="K44" s="116">
        <v>0</v>
      </c>
      <c r="L44" s="116">
        <f t="shared" si="4"/>
        <v>2</v>
      </c>
      <c r="O44" s="134" t="str">
        <f t="shared" si="6"/>
        <v xml:space="preserve">    - xform/》ia/迦》/</v>
      </c>
      <c r="R44" s="135" t="str">
        <f t="shared" si="5"/>
        <v xml:space="preserve">    - xform/〉ia/ㄧㄚ〉/</v>
      </c>
    </row>
    <row r="45" spans="1:18">
      <c r="A45" s="129"/>
      <c r="G45" s="129"/>
      <c r="H45" s="116" t="str">
        <v>ih</v>
      </c>
      <c r="I45" s="116" t="str">
        <v>居</v>
      </c>
      <c r="J45" s="116" t="str">
        <v>ㄧㆷ</v>
      </c>
      <c r="K45" s="116">
        <v>0</v>
      </c>
      <c r="L45" s="116">
        <f t="shared" si="4"/>
        <v>2</v>
      </c>
      <c r="O45" s="134" t="str">
        <f t="shared" si="6"/>
        <v xml:space="preserve">    - xform/》ih/居》/</v>
      </c>
      <c r="R45" s="135" t="str">
        <f t="shared" si="5"/>
        <v xml:space="preserve">    - xform/〉ih/ㄧㆷ〉/</v>
      </c>
    </row>
    <row r="46" spans="1:18">
      <c r="A46" s="129"/>
      <c r="G46" s="129"/>
      <c r="H46" s="116" t="str">
        <v>iek</v>
      </c>
      <c r="I46" s="116" t="str">
        <v>經</v>
      </c>
      <c r="J46" s="116" t="str">
        <v>ㄧㆻ</v>
      </c>
      <c r="K46" s="116">
        <v>0</v>
      </c>
      <c r="L46" s="116">
        <f t="shared" si="4"/>
        <v>3</v>
      </c>
      <c r="O46" s="134" t="str">
        <f t="shared" si="6"/>
        <v xml:space="preserve">    - xform/》iek/經》/</v>
      </c>
      <c r="R46" s="135" t="str">
        <f t="shared" si="5"/>
        <v xml:space="preserve">    - xform/〉iek/ㄧㆻ〉/</v>
      </c>
    </row>
    <row r="47" spans="1:18">
      <c r="A47" s="129"/>
      <c r="G47" s="129"/>
      <c r="H47" s="116" t="str">
        <v>im</v>
      </c>
      <c r="I47" s="116" t="str">
        <v>金</v>
      </c>
      <c r="J47" s="116" t="str">
        <v>ㄧㆬ</v>
      </c>
      <c r="K47" s="116">
        <v>0</v>
      </c>
      <c r="L47" s="116">
        <f t="shared" si="4"/>
        <v>2</v>
      </c>
      <c r="O47" s="134" t="str">
        <f t="shared" si="6"/>
        <v xml:space="preserve">    - xform/》im/金》/</v>
      </c>
      <c r="R47" s="135" t="str">
        <f t="shared" si="5"/>
        <v xml:space="preserve">    - xform/〉im/ㄧㆬ〉/</v>
      </c>
    </row>
    <row r="48" spans="1:18">
      <c r="A48" s="129"/>
      <c r="G48" s="129"/>
      <c r="H48" s="116" t="str">
        <v>in</v>
      </c>
      <c r="I48" s="116" t="str">
        <v>巾</v>
      </c>
      <c r="J48" s="116" t="str">
        <v>ㄧㄣ</v>
      </c>
      <c r="K48" s="116">
        <v>0</v>
      </c>
      <c r="L48" s="116">
        <f t="shared" si="4"/>
        <v>2</v>
      </c>
      <c r="O48" s="134" t="str">
        <f t="shared" si="6"/>
        <v xml:space="preserve">    - xform/》in/巾》/</v>
      </c>
      <c r="R48" s="135" t="str">
        <f t="shared" si="5"/>
        <v xml:space="preserve">    - xform/〉in/ㄧㄣ〉/</v>
      </c>
    </row>
    <row r="49" spans="1:18">
      <c r="A49" s="129"/>
      <c r="G49" s="129"/>
      <c r="H49" s="116" t="str">
        <v>ior</v>
      </c>
      <c r="I49" s="116" t="str">
        <v>茄</v>
      </c>
      <c r="J49" s="116" t="str">
        <v>ㄧㄜ</v>
      </c>
      <c r="K49" s="116">
        <v>0</v>
      </c>
      <c r="L49" s="116">
        <f t="shared" si="4"/>
        <v>3</v>
      </c>
      <c r="O49" s="134" t="str">
        <f t="shared" si="6"/>
        <v xml:space="preserve">    - xform/》ior/茄》/</v>
      </c>
      <c r="R49" s="135" t="str">
        <f t="shared" si="5"/>
        <v xml:space="preserve">    - xform/〉ior/ㄧㄜ〉/</v>
      </c>
    </row>
    <row r="50" spans="1:18">
      <c r="A50" s="129"/>
      <c r="G50" s="129"/>
      <c r="H50" s="116" t="str">
        <v>ip</v>
      </c>
      <c r="I50" s="116" t="str">
        <v>金</v>
      </c>
      <c r="J50" s="116" t="str">
        <v>一ㆴ</v>
      </c>
      <c r="K50" s="116">
        <v>0</v>
      </c>
      <c r="L50" s="116">
        <f t="shared" si="4"/>
        <v>2</v>
      </c>
      <c r="O50" s="134" t="str">
        <f t="shared" si="6"/>
        <v xml:space="preserve">    - xform/》ip/金》/</v>
      </c>
      <c r="R50" s="135" t="str">
        <f t="shared" si="5"/>
        <v xml:space="preserve">    - xform/〉ip/一ㆴ〉/</v>
      </c>
    </row>
    <row r="51" spans="1:18">
      <c r="A51" s="129"/>
      <c r="G51" s="129"/>
      <c r="H51" s="116" t="str">
        <v>it</v>
      </c>
      <c r="I51" s="116" t="str">
        <v>巾</v>
      </c>
      <c r="J51" s="116" t="str">
        <v>ㄧㆵ</v>
      </c>
      <c r="K51" s="116">
        <v>0</v>
      </c>
      <c r="L51" s="116">
        <f t="shared" si="4"/>
        <v>2</v>
      </c>
      <c r="O51" s="134" t="str">
        <f t="shared" si="6"/>
        <v xml:space="preserve">    - xform/》it/巾》/</v>
      </c>
      <c r="R51" s="135" t="str">
        <f t="shared" si="5"/>
        <v xml:space="preserve">    - xform/〉it/ㄧㆵ〉/</v>
      </c>
    </row>
    <row r="52" spans="1:18">
      <c r="A52" s="129"/>
      <c r="G52" s="129"/>
      <c r="H52" s="116" t="str">
        <v>iu</v>
      </c>
      <c r="I52" s="116" t="str">
        <v>丩</v>
      </c>
      <c r="J52" s="116" t="str">
        <v>ㄧㄨ</v>
      </c>
      <c r="K52" s="116">
        <v>0</v>
      </c>
      <c r="L52" s="116">
        <f t="shared" si="4"/>
        <v>2</v>
      </c>
      <c r="O52" s="134" t="str">
        <f t="shared" si="6"/>
        <v xml:space="preserve">    - xform/》iu/丩》/</v>
      </c>
      <c r="R52" s="135" t="str">
        <f t="shared" si="5"/>
        <v xml:space="preserve">    - xform/〉iu/ㄧㄨ〉/</v>
      </c>
    </row>
    <row r="53" spans="1:18">
      <c r="A53" s="129"/>
      <c r="G53" s="129"/>
      <c r="H53" s="116" t="str">
        <v>mh</v>
      </c>
      <c r="I53" s="116" t="str">
        <v>姆</v>
      </c>
      <c r="J53" s="116" t="str">
        <v>ㆬㆷ</v>
      </c>
      <c r="K53" s="116">
        <v>0</v>
      </c>
      <c r="L53" s="116">
        <f t="shared" si="4"/>
        <v>2</v>
      </c>
      <c r="O53" s="134" t="str">
        <f t="shared" si="6"/>
        <v xml:space="preserve">    - xform/》mh/姆》/</v>
      </c>
      <c r="R53" s="135" t="str">
        <f t="shared" si="5"/>
        <v xml:space="preserve">    - xform/〉mh/ㆬㆷ〉/</v>
      </c>
    </row>
    <row r="54" spans="1:18">
      <c r="A54" s="129"/>
      <c r="G54" s="129"/>
      <c r="H54" s="116" t="str">
        <v>ng</v>
      </c>
      <c r="I54" s="116" t="str">
        <v>鋼</v>
      </c>
      <c r="J54" s="116" t="str">
        <v>ㆭ</v>
      </c>
      <c r="K54" s="116">
        <v>0</v>
      </c>
      <c r="L54" s="116">
        <f t="shared" si="4"/>
        <v>2</v>
      </c>
      <c r="O54" s="134" t="str">
        <f t="shared" si="6"/>
        <v xml:space="preserve">    - xform/》ng/鋼》/</v>
      </c>
      <c r="R54" s="135" t="str">
        <f t="shared" si="5"/>
        <v xml:space="preserve">    - xform/〉ng/ㆭ〉/</v>
      </c>
    </row>
    <row r="55" spans="1:18">
      <c r="A55" s="129"/>
      <c r="G55" s="129"/>
      <c r="H55" s="116" t="str">
        <v>orh</v>
      </c>
      <c r="I55" s="116" t="str">
        <v>高</v>
      </c>
      <c r="J55" s="116" t="str">
        <v>ㄜㆷ</v>
      </c>
      <c r="K55" s="116">
        <v>0</v>
      </c>
      <c r="L55" s="116">
        <f t="shared" si="4"/>
        <v>3</v>
      </c>
      <c r="O55" s="134" t="str">
        <f t="shared" si="6"/>
        <v xml:space="preserve">    - xform/》orh/高》/</v>
      </c>
      <c r="R55" s="135" t="str">
        <f t="shared" si="5"/>
        <v xml:space="preserve">    - xform/〉orh/ㄜㆷ〉/</v>
      </c>
    </row>
    <row r="56" spans="1:18">
      <c r="H56" s="116" t="str">
        <v>ok</v>
      </c>
      <c r="I56" s="116" t="str">
        <v>公</v>
      </c>
      <c r="J56" s="116" t="str">
        <v>ㆦㆻ</v>
      </c>
      <c r="K56" s="116">
        <v>0</v>
      </c>
      <c r="L56" s="116">
        <f t="shared" si="4"/>
        <v>2</v>
      </c>
      <c r="O56" s="134" t="str">
        <f t="shared" si="6"/>
        <v xml:space="preserve">    - xform/》ok/公》/</v>
      </c>
      <c r="R56" s="135" t="str">
        <f t="shared" si="5"/>
        <v xml:space="preserve">    - xform/〉ok/ㆦㆻ〉/</v>
      </c>
    </row>
    <row r="57" spans="1:18">
      <c r="H57" s="116" t="str">
        <v>oom</v>
      </c>
      <c r="I57" s="116" t="str">
        <v>箴</v>
      </c>
      <c r="J57" s="116" t="str">
        <v>ㆱ</v>
      </c>
      <c r="K57" s="116">
        <v>0</v>
      </c>
      <c r="L57" s="116">
        <f t="shared" si="4"/>
        <v>3</v>
      </c>
      <c r="O57" s="134" t="str">
        <f t="shared" si="6"/>
        <v xml:space="preserve">    - xform/》oom/箴》/</v>
      </c>
      <c r="R57" s="135" t="str">
        <f t="shared" si="5"/>
        <v xml:space="preserve">    - xform/〉oom/ㆱ〉/</v>
      </c>
    </row>
    <row r="58" spans="1:18">
      <c r="H58" s="116" t="str">
        <v>oo</v>
      </c>
      <c r="I58" s="116" t="str">
        <v>沽</v>
      </c>
      <c r="J58" s="116" t="str">
        <v>ㆦ</v>
      </c>
      <c r="K58" s="116">
        <v>0</v>
      </c>
      <c r="L58" s="116">
        <f t="shared" si="4"/>
        <v>2</v>
      </c>
      <c r="O58" s="134" t="str">
        <f t="shared" si="6"/>
        <v xml:space="preserve">    - xform/》oo/沽》/</v>
      </c>
      <c r="R58" s="135" t="str">
        <f t="shared" si="5"/>
        <v xml:space="preserve">    - xform/〉oo/ㆦ〉/</v>
      </c>
    </row>
    <row r="59" spans="1:18">
      <c r="H59" s="116" t="str">
        <v>oop</v>
      </c>
      <c r="I59" s="116" t="str">
        <v>箴</v>
      </c>
      <c r="J59" s="116" t="str">
        <v>ㆦㆴ</v>
      </c>
      <c r="K59" s="116">
        <v>0</v>
      </c>
      <c r="L59" s="116">
        <f t="shared" si="4"/>
        <v>3</v>
      </c>
      <c r="O59" s="134" t="str">
        <f t="shared" si="6"/>
        <v xml:space="preserve">    - xform/》oop/箴》/</v>
      </c>
      <c r="R59" s="135" t="str">
        <f t="shared" si="5"/>
        <v xml:space="preserve">    - xform/〉oop/ㆦㆴ〉/</v>
      </c>
    </row>
    <row r="60" spans="1:18">
      <c r="A60" s="129"/>
      <c r="G60" s="129"/>
      <c r="H60" s="116" t="str">
        <v>ua</v>
      </c>
      <c r="I60" s="116" t="str">
        <v>瓜</v>
      </c>
      <c r="J60" s="116" t="str">
        <v>ㄨㄚ</v>
      </c>
      <c r="K60" s="116">
        <v>0</v>
      </c>
      <c r="L60" s="116">
        <f t="shared" si="4"/>
        <v>2</v>
      </c>
      <c r="O60" s="134" t="str">
        <f t="shared" si="6"/>
        <v xml:space="preserve">    - xform/》ua/瓜》/</v>
      </c>
      <c r="R60" s="135" t="str">
        <f t="shared" si="5"/>
        <v xml:space="preserve">    - xform/〉ua/ㄨㄚ〉/</v>
      </c>
    </row>
    <row r="61" spans="1:18">
      <c r="A61" s="129"/>
      <c r="G61" s="129"/>
      <c r="H61" s="116" t="str">
        <v>ue</v>
      </c>
      <c r="I61" s="116" t="str">
        <v>檜</v>
      </c>
      <c r="J61" s="116" t="str">
        <v>ㄨㆤ</v>
      </c>
      <c r="K61" s="116">
        <v>0</v>
      </c>
      <c r="L61" s="116">
        <f t="shared" si="4"/>
        <v>2</v>
      </c>
      <c r="O61" s="134" t="str">
        <f t="shared" si="6"/>
        <v xml:space="preserve">    - xform/》ue/檜》/</v>
      </c>
      <c r="R61" s="135" t="str">
        <f t="shared" si="5"/>
        <v xml:space="preserve">    - xform/〉ue/ㄨㆤ〉/</v>
      </c>
    </row>
    <row r="62" spans="1:18">
      <c r="A62" s="129"/>
      <c r="G62" s="129"/>
      <c r="H62" s="116" t="str">
        <v>uh</v>
      </c>
      <c r="I62" s="116" t="str">
        <v>艍</v>
      </c>
      <c r="J62" s="116" t="str">
        <v>ㄨㆷ</v>
      </c>
      <c r="K62" s="116">
        <v>0</v>
      </c>
      <c r="L62" s="116">
        <f t="shared" si="4"/>
        <v>2</v>
      </c>
      <c r="O62" s="134" t="str">
        <f t="shared" si="6"/>
        <v xml:space="preserve">    - xform/》uh/艍》/</v>
      </c>
      <c r="R62" s="135" t="str">
        <f t="shared" si="5"/>
        <v xml:space="preserve">    - xform/〉uh/ㄨㆷ〉/</v>
      </c>
    </row>
    <row r="63" spans="1:18">
      <c r="A63" s="129"/>
      <c r="G63" s="129"/>
      <c r="H63" s="116" t="str">
        <v>ui</v>
      </c>
      <c r="I63" s="116" t="str">
        <v>規</v>
      </c>
      <c r="J63" s="116" t="str">
        <v>ㄨㄧ</v>
      </c>
      <c r="K63" s="116">
        <v>0</v>
      </c>
      <c r="L63" s="116">
        <f t="shared" si="4"/>
        <v>2</v>
      </c>
      <c r="O63" s="134" t="str">
        <f t="shared" si="6"/>
        <v xml:space="preserve">    - xform/》ui/規》/</v>
      </c>
      <c r="R63" s="135" t="str">
        <f t="shared" si="5"/>
        <v xml:space="preserve">    - xform/〉ui/ㄨㄧ〉/</v>
      </c>
    </row>
    <row r="64" spans="1:18">
      <c r="A64" s="129"/>
      <c r="G64" s="129"/>
      <c r="H64" s="116" t="str">
        <v>un</v>
      </c>
      <c r="I64" s="116" t="str">
        <v>君</v>
      </c>
      <c r="J64" s="116" t="str">
        <v>ㄨㄣ</v>
      </c>
      <c r="K64" s="116">
        <v>0</v>
      </c>
      <c r="L64" s="116">
        <f t="shared" si="4"/>
        <v>2</v>
      </c>
      <c r="O64" s="134" t="str">
        <f t="shared" si="6"/>
        <v xml:space="preserve">    - xform/》un/君》/</v>
      </c>
      <c r="R64" s="135" t="str">
        <f t="shared" si="5"/>
        <v xml:space="preserve">    - xform/〉un/ㄨㄣ〉/</v>
      </c>
    </row>
    <row r="65" spans="1:32">
      <c r="A65" s="129"/>
      <c r="G65" s="129"/>
      <c r="H65" s="116" t="str">
        <v>ut</v>
      </c>
      <c r="I65" s="116" t="str">
        <v>君</v>
      </c>
      <c r="J65" s="116" t="str">
        <v>ㄨㆵ</v>
      </c>
      <c r="K65" s="116">
        <v>0</v>
      </c>
      <c r="L65" s="116">
        <f t="shared" si="4"/>
        <v>2</v>
      </c>
      <c r="O65" s="134" t="str">
        <f t="shared" si="6"/>
        <v xml:space="preserve">    - xform/》ut/君》/</v>
      </c>
      <c r="R65" s="135" t="str">
        <f t="shared" si="5"/>
        <v xml:space="preserve">    - xform/〉ut/ㄨㆵ〉/</v>
      </c>
    </row>
    <row r="66" spans="1:32">
      <c r="A66" s="129"/>
      <c r="G66" s="129"/>
      <c r="H66" s="116" t="str">
        <v>a</v>
      </c>
      <c r="I66" s="116" t="str">
        <v>膠</v>
      </c>
      <c r="J66" s="116" t="str">
        <v>ㄚ</v>
      </c>
      <c r="K66" s="116">
        <v>0</v>
      </c>
      <c r="L66" s="116">
        <f t="shared" si="4"/>
        <v>1</v>
      </c>
      <c r="O66" s="134" t="str">
        <f t="shared" si="6"/>
        <v xml:space="preserve">    - xform/》a/膠》/</v>
      </c>
      <c r="R66" s="135" t="str">
        <f t="shared" si="5"/>
        <v xml:space="preserve">    - xform/〉a/ㄚ〉/</v>
      </c>
    </row>
    <row r="67" spans="1:32">
      <c r="A67" s="129"/>
      <c r="G67" s="129"/>
      <c r="H67" s="116" t="str">
        <v>e</v>
      </c>
      <c r="I67" s="116" t="str">
        <v>伽</v>
      </c>
      <c r="J67" s="116" t="str">
        <v>ㆤ</v>
      </c>
      <c r="K67" s="116">
        <v>0</v>
      </c>
      <c r="L67" s="116">
        <f t="shared" si="4"/>
        <v>1</v>
      </c>
      <c r="O67" s="134" t="str">
        <f t="shared" si="6"/>
        <v xml:space="preserve">    - xform/》e/伽》/</v>
      </c>
      <c r="R67" s="135" t="str">
        <f t="shared" si="5"/>
        <v xml:space="preserve">    - xform/〉e/ㆤ〉/</v>
      </c>
    </row>
    <row r="68" spans="1:32">
      <c r="A68" s="129"/>
      <c r="G68" s="129"/>
      <c r="H68" s="116" t="str">
        <v>i</v>
      </c>
      <c r="I68" s="116" t="str">
        <v>居</v>
      </c>
      <c r="J68" s="116" t="str">
        <v>ㄧ</v>
      </c>
      <c r="K68" s="116">
        <v>0</v>
      </c>
      <c r="O68" s="134" t="str">
        <f t="shared" si="6"/>
        <v xml:space="preserve">    - xform/》i/居》/</v>
      </c>
      <c r="R68" s="135" t="str">
        <f t="shared" ref="R68" si="7" xml:space="preserve"> _xlfn.CONCAT("    - xform/", "〉", $H68, "/", J68, "〉", "/")</f>
        <v xml:space="preserve">    - xform/〉i/ㄧ〉/</v>
      </c>
    </row>
    <row r="69" spans="1:32">
      <c r="A69" s="129"/>
      <c r="G69" s="129"/>
      <c r="H69" s="116" t="str">
        <v>m</v>
      </c>
      <c r="I69" s="116" t="str">
        <v>姆</v>
      </c>
      <c r="J69" s="116" t="str">
        <v>ㆬ</v>
      </c>
      <c r="K69" s="116">
        <v>0</v>
      </c>
    </row>
    <row r="70" spans="1:32">
      <c r="A70" s="129"/>
      <c r="G70" s="129"/>
      <c r="H70" s="116" t="str">
        <v>or</v>
      </c>
      <c r="I70" s="116" t="str">
        <v>高</v>
      </c>
      <c r="J70" s="116" t="str">
        <v>ㄜ</v>
      </c>
      <c r="K70" s="116">
        <v>0</v>
      </c>
    </row>
    <row r="71" spans="1:32">
      <c r="A71" s="129"/>
      <c r="G71" s="129"/>
      <c r="H71" s="116" t="str">
        <v>u</v>
      </c>
      <c r="I71" s="116" t="str">
        <v>艍</v>
      </c>
      <c r="J71" s="116" t="str">
        <v>ㄨ</v>
      </c>
      <c r="K71" s="116">
        <v>0</v>
      </c>
    </row>
    <row r="72" spans="1:32">
      <c r="A72" s="129"/>
      <c r="G72" s="129"/>
    </row>
    <row r="73" spans="1:32">
      <c r="A73" s="129"/>
      <c r="G73" s="129"/>
    </row>
    <row r="74" spans="1:32">
      <c r="A74" s="129"/>
      <c r="G74" s="129"/>
    </row>
    <row r="75" spans="1:32">
      <c r="A75" s="129"/>
      <c r="G75" s="129"/>
    </row>
    <row r="76" spans="1:32">
      <c r="A76" s="129"/>
      <c r="G76" s="129"/>
    </row>
    <row r="77" spans="1:32">
      <c r="A77" s="129"/>
      <c r="G77" s="129"/>
    </row>
    <row r="78" spans="1:32">
      <c r="A78" s="129"/>
      <c r="G78" s="129"/>
    </row>
    <row r="79" spans="1:32">
      <c r="A79" s="129"/>
      <c r="G79" s="129"/>
    </row>
    <row r="80" spans="1:32" s="116" customFormat="1">
      <c r="A80" s="129"/>
      <c r="B80" s="115"/>
      <c r="C80" s="115"/>
      <c r="D80" s="115"/>
      <c r="E80" s="115"/>
      <c r="F80" s="115"/>
      <c r="G80" s="129"/>
      <c r="M80" s="115"/>
      <c r="N80" s="134"/>
      <c r="O80" s="134"/>
      <c r="P80" s="115"/>
      <c r="Q80" s="135"/>
      <c r="R80" s="13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</row>
    <row r="81" spans="1:32" s="116" customFormat="1">
      <c r="A81" s="129"/>
      <c r="B81" s="115"/>
      <c r="C81" s="115"/>
      <c r="D81" s="115"/>
      <c r="E81" s="115"/>
      <c r="F81" s="115"/>
      <c r="G81" s="129"/>
      <c r="M81" s="115"/>
      <c r="N81" s="134"/>
      <c r="O81" s="134"/>
      <c r="P81" s="115"/>
      <c r="Q81" s="135"/>
      <c r="R81" s="13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</row>
    <row r="82" spans="1:32" s="116" customFormat="1">
      <c r="A82" s="129"/>
      <c r="B82" s="115"/>
      <c r="C82" s="115"/>
      <c r="D82" s="115"/>
      <c r="E82" s="115"/>
      <c r="F82" s="115"/>
      <c r="G82" s="129"/>
      <c r="M82" s="115"/>
      <c r="N82" s="134"/>
      <c r="O82" s="134"/>
      <c r="P82" s="115"/>
      <c r="Q82" s="135"/>
      <c r="R82" s="13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</row>
    <row r="83" spans="1:32" s="116" customFormat="1">
      <c r="A83" s="129"/>
      <c r="B83" s="115"/>
      <c r="C83" s="115"/>
      <c r="D83" s="115"/>
      <c r="E83" s="115"/>
      <c r="F83" s="115"/>
      <c r="G83" s="129"/>
      <c r="M83" s="115"/>
      <c r="N83" s="134"/>
      <c r="O83" s="134"/>
      <c r="P83" s="115"/>
      <c r="Q83" s="135"/>
      <c r="R83" s="13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</row>
    <row r="84" spans="1:32" s="116" customFormat="1">
      <c r="A84" s="129"/>
      <c r="B84" s="115"/>
      <c r="C84" s="115"/>
      <c r="D84" s="115"/>
      <c r="E84" s="115"/>
      <c r="F84" s="115"/>
      <c r="G84" s="129"/>
      <c r="M84" s="115"/>
      <c r="N84" s="134"/>
      <c r="O84" s="134"/>
      <c r="P84" s="115"/>
      <c r="Q84" s="135"/>
      <c r="R84" s="13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</row>
    <row r="85" spans="1:32" s="116" customFormat="1">
      <c r="A85" s="129"/>
      <c r="B85" s="115"/>
      <c r="C85" s="115"/>
      <c r="D85" s="115"/>
      <c r="E85" s="115"/>
      <c r="F85" s="115"/>
      <c r="G85" s="129"/>
      <c r="M85" s="115"/>
      <c r="N85" s="134"/>
      <c r="O85" s="134"/>
      <c r="P85" s="115"/>
      <c r="Q85" s="135"/>
      <c r="R85" s="13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</row>
    <row r="86" spans="1:32" s="116" customFormat="1">
      <c r="A86" s="129"/>
      <c r="B86" s="115"/>
      <c r="C86" s="115"/>
      <c r="D86" s="115"/>
      <c r="E86" s="115"/>
      <c r="F86" s="115"/>
      <c r="G86" s="129"/>
      <c r="M86" s="115"/>
      <c r="N86" s="134"/>
      <c r="O86" s="134"/>
      <c r="P86" s="115"/>
      <c r="Q86" s="135"/>
      <c r="R86" s="13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</row>
    <row r="87" spans="1:32" s="116" customFormat="1">
      <c r="A87" s="129"/>
      <c r="B87" s="115"/>
      <c r="C87" s="115"/>
      <c r="D87" s="115"/>
      <c r="E87" s="115"/>
      <c r="F87" s="115"/>
      <c r="G87" s="129"/>
      <c r="M87" s="115"/>
      <c r="N87" s="134"/>
      <c r="O87" s="134"/>
      <c r="P87" s="115"/>
      <c r="Q87" s="135"/>
      <c r="R87" s="13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</row>
    <row r="88" spans="1:32" s="116" customFormat="1">
      <c r="A88" s="129"/>
      <c r="B88" s="115"/>
      <c r="C88" s="115"/>
      <c r="D88" s="115"/>
      <c r="E88" s="115"/>
      <c r="F88" s="115"/>
      <c r="G88" s="129"/>
      <c r="M88" s="115"/>
      <c r="N88" s="134"/>
      <c r="O88" s="134"/>
      <c r="P88" s="115"/>
      <c r="Q88" s="135"/>
      <c r="R88" s="13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</row>
    <row r="89" spans="1:32" s="116" customFormat="1">
      <c r="A89" s="115"/>
      <c r="B89" s="115"/>
      <c r="C89" s="115"/>
      <c r="D89" s="115"/>
      <c r="E89" s="115"/>
      <c r="F89" s="115"/>
      <c r="G89" s="115"/>
      <c r="M89" s="115"/>
      <c r="N89" s="134"/>
      <c r="O89" s="134"/>
      <c r="P89" s="115"/>
      <c r="Q89" s="135"/>
      <c r="R89" s="13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</row>
    <row r="90" spans="1:32" s="116" customFormat="1">
      <c r="A90" s="115"/>
      <c r="B90" s="115"/>
      <c r="C90" s="115"/>
      <c r="D90" s="115"/>
      <c r="E90" s="115"/>
      <c r="F90" s="115"/>
      <c r="G90" s="115"/>
      <c r="M90" s="115"/>
      <c r="N90" s="134"/>
      <c r="O90" s="134"/>
      <c r="P90" s="115"/>
      <c r="Q90" s="135"/>
      <c r="R90" s="13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</row>
    <row r="91" spans="1:32" s="116" customFormat="1">
      <c r="A91" s="115"/>
      <c r="B91" s="115"/>
      <c r="C91" s="115"/>
      <c r="D91" s="115"/>
      <c r="E91" s="115"/>
      <c r="F91" s="115"/>
      <c r="G91" s="115"/>
      <c r="M91" s="115"/>
      <c r="N91" s="134"/>
      <c r="O91" s="134"/>
      <c r="P91" s="115"/>
      <c r="Q91" s="135"/>
      <c r="R91" s="13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</row>
    <row r="92" spans="1:32" s="116" customFormat="1">
      <c r="A92" s="115"/>
      <c r="B92" s="115"/>
      <c r="C92" s="115"/>
      <c r="D92" s="115"/>
      <c r="E92" s="115"/>
      <c r="F92" s="115"/>
      <c r="G92" s="115"/>
      <c r="M92" s="115"/>
      <c r="N92" s="134"/>
      <c r="O92" s="134"/>
      <c r="P92" s="115"/>
      <c r="Q92" s="135"/>
      <c r="R92" s="13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</row>
    <row r="93" spans="1:32" s="116" customFormat="1">
      <c r="A93" s="115"/>
      <c r="B93" s="115"/>
      <c r="C93" s="115"/>
      <c r="D93" s="115"/>
      <c r="E93" s="115"/>
      <c r="F93" s="115"/>
      <c r="G93" s="115"/>
      <c r="M93" s="115"/>
      <c r="N93" s="134"/>
      <c r="O93" s="134"/>
      <c r="P93" s="115"/>
      <c r="Q93" s="135"/>
      <c r="R93" s="13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</row>
    <row r="94" spans="1:32" s="116" customFormat="1">
      <c r="A94" s="115"/>
      <c r="B94" s="115"/>
      <c r="C94" s="115"/>
      <c r="D94" s="115"/>
      <c r="E94" s="115"/>
      <c r="F94" s="115"/>
      <c r="G94" s="115"/>
      <c r="M94" s="115"/>
      <c r="N94" s="134"/>
      <c r="O94" s="134"/>
      <c r="P94" s="115"/>
      <c r="Q94" s="135"/>
      <c r="R94" s="13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</row>
    <row r="95" spans="1:32" s="116" customFormat="1">
      <c r="A95" s="115"/>
      <c r="B95" s="115"/>
      <c r="C95" s="115"/>
      <c r="D95" s="115"/>
      <c r="E95" s="115"/>
      <c r="F95" s="115"/>
      <c r="G95" s="115"/>
      <c r="M95" s="115"/>
      <c r="N95" s="134"/>
      <c r="O95" s="134"/>
      <c r="P95" s="115"/>
      <c r="Q95" s="135"/>
      <c r="R95" s="13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具名範圍</vt:lpstr>
      </vt:variant>
      <vt:variant>
        <vt:i4>2</vt:i4>
      </vt:variant>
    </vt:vector>
  </HeadingPairs>
  <TitlesOfParts>
    <vt:vector size="15" baseType="lpstr">
      <vt:lpstr>【拼音類】鍵盤</vt:lpstr>
      <vt:lpstr>【方音符號】鍵盤</vt:lpstr>
      <vt:lpstr>【聲】聲母對照表</vt:lpstr>
      <vt:lpstr>工作表3</vt:lpstr>
      <vt:lpstr>【韻】韻母對照表</vt:lpstr>
      <vt:lpstr>工作表4</vt:lpstr>
      <vt:lpstr>【韻】拉丁字母加調符</vt:lpstr>
      <vt:lpstr>【調】聲調對照表</vt:lpstr>
      <vt:lpstr> 【TL】鍵盤對映表</vt:lpstr>
      <vt:lpstr>工作表1</vt:lpstr>
      <vt:lpstr>【TL】韻母對照表</vt:lpstr>
      <vt:lpstr> 【BPM2】鍵盤對映表</vt:lpstr>
      <vt:lpstr>【BPM2】韻母對照表</vt:lpstr>
      <vt:lpstr>【方音符號】鍵盤!Criteria</vt:lpstr>
      <vt:lpstr>【方音符號】鍵盤!Extract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2026-06-06T04:29:34Z</dcterms:created>
  <dcterms:modified xsi:type="dcterms:W3CDTF">2026-08-26T03:08:09Z</dcterms:modified>
</cp:coreProperties>
</file>